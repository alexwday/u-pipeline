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Z:\1a. Quarterly Reporting\10. Final Documents\Q425\"/>
    </mc:Choice>
  </mc:AlternateContent>
  <xr:revisionPtr revIDLastSave="0" documentId="8_{B6BB4DAC-3A3C-488E-B168-450CA083F6F7}" xr6:coauthVersionLast="47" xr6:coauthVersionMax="47" xr10:uidLastSave="{00000000-0000-0000-0000-000000000000}"/>
  <bookViews>
    <workbookView xWindow="14244" yWindow="-16308" windowWidth="29016" windowHeight="15696" xr2:uid="{9D3DF315-F0F3-439A-A204-A1198B18983B}"/>
  </bookViews>
  <sheets>
    <sheet name="Cover" sheetId="1" r:id="rId1"/>
    <sheet name="ToC" sheetId="2" r:id="rId2"/>
    <sheet name="Notes_1" sheetId="3" r:id="rId3"/>
    <sheet name="Notes_2" sheetId="4" r:id="rId4"/>
    <sheet name="Notes_3" sheetId="5" r:id="rId5"/>
    <sheet name="EDTF" sheetId="6" r:id="rId6"/>
    <sheet name="1" sheetId="7" r:id="rId7"/>
    <sheet name="2" sheetId="8" r:id="rId8"/>
    <sheet name="3" sheetId="9" r:id="rId9"/>
    <sheet name="4" sheetId="10" r:id="rId10"/>
    <sheet name="5" sheetId="11" r:id="rId11"/>
    <sheet name="6" sheetId="12" r:id="rId12"/>
    <sheet name="7" sheetId="13" r:id="rId13"/>
    <sheet name="8" sheetId="14" r:id="rId14"/>
    <sheet name="9" sheetId="15" r:id="rId15"/>
    <sheet name="10" sheetId="16" r:id="rId16"/>
    <sheet name="11" sheetId="17" r:id="rId17"/>
    <sheet name="12" sheetId="18" r:id="rId18"/>
    <sheet name="13" sheetId="19" r:id="rId19"/>
    <sheet name="14" sheetId="20" r:id="rId20"/>
    <sheet name="15" sheetId="21" r:id="rId21"/>
    <sheet name="16" sheetId="22" r:id="rId22"/>
    <sheet name="17" sheetId="23" r:id="rId23"/>
    <sheet name="18" sheetId="24" r:id="rId24"/>
    <sheet name="19" sheetId="25" r:id="rId25"/>
    <sheet name="20" sheetId="26" r:id="rId26"/>
    <sheet name="21" sheetId="27" r:id="rId27"/>
    <sheet name="22" sheetId="28" r:id="rId28"/>
    <sheet name="23" sheetId="29" r:id="rId29"/>
    <sheet name="24" sheetId="30" r:id="rId30"/>
    <sheet name="25" sheetId="31" r:id="rId31"/>
    <sheet name="26" sheetId="32" r:id="rId32"/>
    <sheet name="27" sheetId="33" r:id="rId33"/>
    <sheet name="28" sheetId="34" r:id="rId34"/>
    <sheet name="29" sheetId="35" r:id="rId35"/>
    <sheet name="30" sheetId="36" r:id="rId36"/>
    <sheet name="31" sheetId="37" r:id="rId37"/>
    <sheet name="32" sheetId="38" r:id="rId38"/>
    <sheet name="33" sheetId="39" r:id="rId39"/>
    <sheet name="34" sheetId="40" r:id="rId40"/>
    <sheet name="35" sheetId="41" r:id="rId41"/>
    <sheet name="36" sheetId="42" r:id="rId42"/>
    <sheet name="37" sheetId="43" r:id="rId43"/>
    <sheet name="38" sheetId="44" r:id="rId44"/>
    <sheet name="39" sheetId="45" r:id="rId45"/>
    <sheet name="40" sheetId="46" r:id="rId46"/>
  </sheets>
  <externalReferences>
    <externalReference r:id="rId47"/>
  </externalReferences>
  <definedNames>
    <definedName name="Cover" localSheetId="0">Cover!$B$20:$P$22</definedName>
    <definedName name="FiscalYear">[1]Home!$D$7</definedName>
    <definedName name="HeadingVariance">Cover!#REF!</definedName>
    <definedName name="HeadingVarianceOther">Cover!#REF!</definedName>
    <definedName name="Language">[1]Home!$I$20:$I$21</definedName>
    <definedName name="_xlnm.Print_Area" localSheetId="0">Cover!$A$1:$Q$35</definedName>
    <definedName name="ReportPeriod">[1]Home!$D$8</definedName>
    <definedName name="VarianceMax">Cover!#REF!</definedName>
    <definedName name="VarianceMin">Cover!#REF!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2" l="1"/>
  <c r="A53" i="2"/>
  <c r="B52" i="2"/>
  <c r="A52" i="2"/>
  <c r="B51" i="2"/>
  <c r="A51" i="2"/>
  <c r="B50" i="2"/>
  <c r="A50" i="2"/>
  <c r="B49" i="2"/>
  <c r="A49" i="2"/>
  <c r="B48" i="2"/>
  <c r="A48" i="2"/>
  <c r="B47" i="2"/>
  <c r="A47" i="2"/>
  <c r="B46" i="2"/>
  <c r="A46" i="2"/>
  <c r="B45" i="2"/>
  <c r="A45" i="2"/>
  <c r="B44" i="2"/>
  <c r="A44" i="2"/>
  <c r="B43" i="2"/>
  <c r="A43" i="2"/>
  <c r="B42" i="2"/>
  <c r="A42" i="2"/>
  <c r="B41" i="2"/>
  <c r="A41" i="2"/>
  <c r="B40" i="2"/>
  <c r="A40" i="2"/>
  <c r="B38" i="2"/>
  <c r="A38" i="2"/>
  <c r="B37" i="2"/>
  <c r="A37" i="2"/>
  <c r="B35" i="2"/>
  <c r="A35" i="2"/>
  <c r="B34" i="2"/>
  <c r="A34" i="2"/>
  <c r="B33" i="2"/>
  <c r="A33" i="2"/>
  <c r="B32" i="2"/>
  <c r="A32" i="2"/>
  <c r="B31" i="2"/>
  <c r="A31" i="2"/>
  <c r="B30" i="2"/>
  <c r="A30" i="2"/>
  <c r="B29" i="2"/>
  <c r="A29" i="2"/>
  <c r="B26" i="2"/>
  <c r="A26" i="2"/>
  <c r="B25" i="2"/>
  <c r="A25" i="2"/>
  <c r="B24" i="2"/>
  <c r="A24" i="2"/>
  <c r="B23" i="2"/>
  <c r="A23" i="2"/>
  <c r="B22" i="2"/>
  <c r="A22" i="2"/>
  <c r="B21" i="2"/>
  <c r="A21" i="2"/>
  <c r="B20" i="2"/>
  <c r="A20" i="2"/>
  <c r="B19" i="2"/>
  <c r="A19" i="2"/>
  <c r="B17" i="2"/>
  <c r="A17" i="2"/>
  <c r="B16" i="2"/>
  <c r="A16" i="2"/>
  <c r="B15" i="2"/>
  <c r="A15" i="2"/>
  <c r="B14" i="2"/>
  <c r="A14" i="2"/>
  <c r="B13" i="2"/>
  <c r="A13" i="2"/>
  <c r="B12" i="2"/>
  <c r="A12" i="2"/>
  <c r="B9" i="2"/>
  <c r="A9" i="2"/>
  <c r="B8" i="2"/>
  <c r="A8" i="2"/>
  <c r="B7" i="2"/>
  <c r="A7" i="2"/>
  <c r="B6" i="2"/>
  <c r="A6" i="2"/>
  <c r="B5" i="2"/>
  <c r="A5" i="2"/>
  <c r="A3" i="2"/>
</calcChain>
</file>

<file path=xl/sharedStrings.xml><?xml version="1.0" encoding="utf-8"?>
<sst xmlns="http://schemas.openxmlformats.org/spreadsheetml/2006/main" count="4817" uniqueCount="1092">
  <si>
    <t>Supplementary</t>
  </si>
  <si>
    <t>Financial Information</t>
  </si>
  <si>
    <t>Q4 2025</t>
  </si>
  <si>
    <t>For the period ended: October 31, 2025</t>
  </si>
  <si>
    <t>For further information, contact Scotiabank Investor Relations:</t>
  </si>
  <si>
    <t>Meny Grauman (meny.grauman@scotiabank.com)</t>
  </si>
  <si>
    <t>Rebecca Hoang (rebecca.hoang@scotiabank.com)</t>
  </si>
  <si>
    <t>Supplementary Financial Information (SFI)</t>
  </si>
  <si>
    <t>Page</t>
  </si>
  <si>
    <t>Business Segment Performance</t>
  </si>
  <si>
    <t>Credit-Related Information</t>
  </si>
  <si>
    <r>
      <t>Note:</t>
    </r>
    <r>
      <rPr>
        <sz val="9"/>
        <color theme="1"/>
        <rFont val="Scotia"/>
        <family val="2"/>
      </rPr>
      <t xml:space="preserve"> The supplementary financial information package contains comparative figures that have been reclassified in prior periods, where applicable, to conform with the current reporting period presentation.</t>
    </r>
  </si>
  <si>
    <t>Back to Table of Contents</t>
  </si>
  <si>
    <r>
      <rPr>
        <b/>
        <sz val="14"/>
        <color rgb="FFFFFFFF"/>
        <rFont val="Scotia"/>
        <family val="2"/>
      </rPr>
      <t>Notes</t>
    </r>
  </si>
  <si>
    <r>
      <rPr>
        <b/>
        <sz val="11"/>
        <color rgb="FF000000"/>
        <rFont val="Scotia"/>
        <family val="2"/>
      </rPr>
      <t>This document is not audited and should be read in conjunction with our Q4 2025 Press Release and 2025 Annual Report.</t>
    </r>
  </si>
  <si>
    <t/>
  </si>
  <si>
    <r>
      <rPr>
        <b/>
        <sz val="11"/>
        <color rgb="FF000000"/>
        <rFont val="Scotia"/>
        <family val="2"/>
      </rPr>
      <t xml:space="preserve">Non-GAAP Measures: </t>
    </r>
  </si>
  <si>
    <r>
      <rPr>
        <sz val="11"/>
        <color rgb="FF000000"/>
        <rFont val="Scotia"/>
        <family val="2"/>
      </rPr>
      <t>The Bank uses a number of financial measures and ratios to assess its performance, as well as the performance of its operating segments. Some of these financial measures and ratios are presented on a non-GAAP basis and are not calculated in accordance with Generally Accepted Accounting Principles (GAAP), which are based on International Financial Reporting Standards (IFRS) as issued by the International Accounting Standards Board (IASB), are not defined by GAAP and do not have standardized meanings and therefore might not be comparable to similar financial measures and ratios disclosed by other issuers. The Bank believes that non-GAAP measures and ratios are useful as they provide readers with a better understanding of how management assesses performance. These non-GAAP measures and ratios are used throughout this report and defined below.</t>
    </r>
  </si>
  <si>
    <r>
      <rPr>
        <b/>
        <sz val="11"/>
        <color rgb="FF000000"/>
        <rFont val="Scotia"/>
        <family val="2"/>
      </rPr>
      <t xml:space="preserve">Adjusted results and adjusted diluted earnings per share: </t>
    </r>
  </si>
  <si>
    <r>
      <rPr>
        <sz val="11"/>
        <color rgb="FF000000"/>
        <rFont val="Scotia"/>
        <family val="2"/>
      </rPr>
      <t>Management considers both reported and adjusted results and measures useful in assessing underlying ongoing business performance. Adjusted results and measures remove certain specified items from revenue, non-interest expenses, income taxes and non-controlling interest. Presenting results on both a reported basis and adjusted basis allows readers to assess the impact of certain items on results for the periods presented, and to better assess results and trends excluding those items that may not be reflective of ongoing business performance.</t>
    </r>
  </si>
  <si>
    <r>
      <rPr>
        <b/>
        <sz val="11"/>
        <color rgb="FF000000"/>
        <rFont val="Scotia"/>
        <family val="2"/>
      </rPr>
      <t>The Bank’s 2025, 2024 and 2023 results were adjusted for the following items. These amounts were recorded in the Other operating segment, unless otherwise noted.</t>
    </r>
  </si>
  <si>
    <r>
      <rPr>
        <sz val="11"/>
        <color rgb="FF000000"/>
        <rFont val="Scotia"/>
        <family val="2"/>
      </rPr>
      <t>a) Divestitures and wind-down of operations</t>
    </r>
  </si>
  <si>
    <t>In Q1 2025, the Bank entered into an agreement to sell its banking operations in Colombia, Costa Rica and Panama in exchange for an approximately 20% ownership stake in the newly combined entity of Davivienda. On that date, the Bank recognized an impairment loss of $1,362 million ($1,355 million after-tax) as the banking operations that are part of the transaction were classified as held for sale. As of October 31, 2025, the Bank has recognized a total impairment loss of $1,422 million in non-interest expense and a credit of $45 million in non-interest income (collectively $1,342 million after-tax). These subsequent changes represent changes in the carrying value of net assets being sold and fair value of shares to be received less costs to sell, as well as changes in foreign currency. _x000D_
_x000D_
In Q2 2025, the Bank completed the sale of CrediScotia Financiera S.A. (CrediScotia), a wholly-owned consumer finance subsidiary in Peru, to Banco Santander S.A. (Espana). The Bank recognized an additional loss of $9 million in non-interest income – other upon closing. In Q3 2024, the Bank had recognized an impairment loss of $143 million in non-interest income and a recovery of expenses of $7 million in non-interest expenses – salaries and employee benefits (collectively $90 million after-tax), the majority of which relates to goodwill. _x000D_
_x000D_
For further details, please refer to Note 35 of the consolidated financial statements in the 2025 Annual Report to Shareholders._x000D_
_x000D_
In Q4 2023, the Bank sold its 20% equity interest in Canadian Tire’s Financial Services business (CTFS) to Canadian Tire Corporation. The sale resulted in a net gain of $367 million ($319 million after-tax) and was recorded in non-interest income – other.</t>
  </si>
  <si>
    <r>
      <rPr>
        <sz val="11"/>
        <color rgb="FF000000"/>
        <rFont val="Scotia"/>
        <family val="2"/>
      </rPr>
      <t>b) Restructuring charge and severance provisions</t>
    </r>
    <r>
      <rPr>
        <sz val="11"/>
        <color theme="1"/>
        <rFont val="Scotia"/>
        <family val="2"/>
      </rPr>
      <t xml:space="preserve">_x000D_
</t>
    </r>
  </si>
  <si>
    <r>
      <rPr>
        <sz val="11"/>
        <color rgb="FF000000"/>
        <rFont val="Scotia"/>
        <family val="2"/>
      </rPr>
      <t>In Q4 2025, the Bank recorded a restructuring charge and severance provision as well as other related charges of $373 million ($270 million after-tax) primarily related to workforce reductions. These amounts reflect actions taken by the Bank to simplify its organizational structure in Canadian Banking, restructure and right-size Asia operations in Global Banking and Markets and regionalize activities across its international footprint, in line with the Bank’s enterprise strategy. For further details, please refer to Note 22 of the consolidated financial statements in the 2025 Annual Report to Shareholders._x000D_
_x000D_
In Q4 2024, the Bank recorded severance provisions of $53 million ($38 million after-tax) related to the Bank’s continued efforts to streamline its organizational structure and support execution of the Bank’s strategy._x000D_
_x000D_
In Q4 2023, the Bank recorded a restructuring charge and severance provisions of $354 million ($258 million after-tax) related to workforce reductions and changing business needs, as well as ongoing efforts to streamline operational processes and optimize distribution c</t>
    </r>
    <r>
      <rPr>
        <sz val="11"/>
        <color theme="1"/>
        <rFont val="Scotia"/>
        <family val="2"/>
      </rPr>
      <t>hannels.</t>
    </r>
  </si>
  <si>
    <r>
      <rPr>
        <sz val="11"/>
        <color rgb="FF000000"/>
        <rFont val="Scotia"/>
        <family val="2"/>
      </rPr>
      <t>c) Legal provision</t>
    </r>
  </si>
  <si>
    <r>
      <rPr>
        <sz val="11"/>
        <color rgb="FF000000"/>
        <rFont val="Scotia"/>
        <family val="2"/>
      </rPr>
      <t>In Q4 2025, the Bank recognized a legal provision of $74 million ($54 million after-tax) related to several civil and other litigation matters_x000D_
_x000D_
In Q3 2024, the Bank recognized a $176 million expense for legal actions in Peru relating to certain value-added tax assessed amounts and associated interest. The legal actions arose from certain client transactions that occurred prior to the Bank’s acquisition of its Peruvian subsidiary. For further details, please refer to Note 22 of the consolidated financial statements in the 2025 Annual Report to Sharehold</t>
    </r>
    <r>
      <rPr>
        <sz val="11"/>
        <color theme="1"/>
        <rFont val="Scotia"/>
        <family val="2"/>
      </rPr>
      <t>ers.</t>
    </r>
  </si>
  <si>
    <r>
      <rPr>
        <sz val="11"/>
        <color rgb="FF000000"/>
        <rFont val="Scotia"/>
        <family val="2"/>
      </rPr>
      <t>d) Amortization of acquisition-related intangible assets</t>
    </r>
  </si>
  <si>
    <r>
      <rPr>
        <sz val="11"/>
        <color rgb="FF000000"/>
        <rFont val="Scotia"/>
        <family val="2"/>
      </rPr>
      <t>These costs relate to the amortization of intangible assets recognized upon the acquisition of businesses, excluding software. The costs are recorded in non-interest expenses - depreciation and amortization for the Canadian Banking, International Banking and Global Wealth Management operating segments, and non-interest income - net income from investments in associated corporations for the Other operating segment.</t>
    </r>
  </si>
  <si>
    <r>
      <rPr>
        <sz val="11"/>
        <color rgb="FF000000"/>
        <rFont val="Scotia"/>
        <family val="2"/>
      </rPr>
      <t>e) Impairment of non-financial assets</t>
    </r>
    <r>
      <rPr>
        <sz val="11"/>
        <color theme="1"/>
        <rFont val="Scotia"/>
        <family val="2"/>
      </rPr>
      <t xml:space="preserve">_x000D_
</t>
    </r>
  </si>
  <si>
    <r>
      <rPr>
        <sz val="11"/>
        <color rgb="FF000000"/>
        <rFont val="Scotia"/>
        <family val="2"/>
      </rPr>
      <t>In Q4 2024, the Bank recorded impairment charges of $343 million ($309 million after-tax) related to its investment in associate, Bank of Xi’an Co. Ltd. in China, driven primarily by the continued weakening of the economic outlook in China and whose market value has remained below the Bank’s carrying value for a prolonged period (Q4 2023 - $185 million pre-tax and $159 million after-tax).  In Q4 2024, the Bank recorded an impairment of software intangible assets of $97 million ($70 million after-tax). _x000D_
_x000D_
In Q4 2023, the Bank recorded an impairment of software and other intangible assets of $161 million ($114 million after-ta</t>
    </r>
    <r>
      <rPr>
        <sz val="11"/>
        <color theme="1"/>
        <rFont val="Scotia"/>
        <family val="2"/>
      </rPr>
      <t xml:space="preserve">x). _x000D_
</t>
    </r>
  </si>
  <si>
    <r>
      <rPr>
        <sz val="11"/>
        <color rgb="FF000000"/>
        <rFont val="Scotia"/>
        <family val="2"/>
      </rPr>
      <t>f) Consolidation of real estate and contract termination costs</t>
    </r>
    <r>
      <rPr>
        <sz val="11"/>
        <color theme="1"/>
        <rFont val="Scotia"/>
        <family val="2"/>
      </rPr>
      <t xml:space="preserve">_x000D_
</t>
    </r>
  </si>
  <si>
    <r>
      <rPr>
        <sz val="11"/>
        <color rgb="FF000000"/>
        <rFont val="Scotia"/>
        <family val="2"/>
      </rPr>
      <t>In Q4 2023, the Bank recorded costs of $87 million ($63 million after-tax) related to the consolidation and exit of certain real estate premises, as well as service contract termination costs, as part of the Bank’s optimization strategy.</t>
    </r>
  </si>
  <si>
    <r>
      <rPr>
        <b/>
        <sz val="11"/>
        <color rgb="FF000000"/>
        <rFont val="Scotia"/>
        <family val="2"/>
      </rPr>
      <t>In addition to the above, the following adjustment also impacted earnings per share calculation.</t>
    </r>
  </si>
  <si>
    <r>
      <rPr>
        <sz val="11"/>
        <color rgb="FF000000"/>
        <rFont val="Scotia"/>
        <family val="2"/>
      </rPr>
      <t>g) Foreign currency loss on redemption of Subordinated Additional Tier 1 Capital Note</t>
    </r>
  </si>
  <si>
    <t>In Q3 2025, the Bank redeemed all outstanding U.S. $1,250 million 4.900% Fixed Rate Resetting Perpetual Subordinated Additional Tier 1 Capital Notes (AT1 Note). The redemption resulted in a foreign currency loss of $22 million, which was recognized in retained earnings. The loss was deducted from net income attributable to common shareholders for the purposes of calculating basic and diluted earnings per share (EPS). For the adjusted diluted EPS calculation, the loss was added back as an adjusting item (refer to Table T2A for reconciliation). Please also refer to Note 23 (b) and Note 32 of the consolidated financial statements in the 2025 Annual Report to Shareholders.</t>
  </si>
  <si>
    <r>
      <rPr>
        <b/>
        <sz val="14"/>
        <color rgb="FFFFFFFF"/>
        <rFont val="Scotia"/>
        <family val="2"/>
      </rPr>
      <t>Notes (Cont'd)</t>
    </r>
  </si>
  <si>
    <r>
      <rPr>
        <b/>
        <sz val="10"/>
        <color rgb="FF000000"/>
        <rFont val="Scotia"/>
        <family val="2"/>
      </rPr>
      <t>Adjusting Items⁽¹⁾ :</t>
    </r>
    <r>
      <rPr>
        <sz val="10"/>
        <color rgb="FF000000"/>
        <rFont val="Scotia"/>
        <family val="2"/>
      </rPr>
      <t xml:space="preserve"> Adjusted results exclude the following items:</t>
    </r>
  </si>
  <si>
    <r>
      <rPr>
        <i/>
        <sz val="10"/>
        <color rgb="FFFF0000"/>
        <rFont val="Scotia"/>
        <family val="2"/>
      </rPr>
      <t xml:space="preserve">($ millions) </t>
    </r>
  </si>
  <si>
    <r>
      <rPr>
        <sz val="10"/>
        <color rgb="FF000000"/>
        <rFont val="Scotia"/>
        <family val="2"/>
      </rPr>
      <t>Full Year</t>
    </r>
  </si>
  <si>
    <r>
      <rPr>
        <b/>
        <sz val="10"/>
        <color rgb="FFFF0000"/>
        <rFont val="Scotia"/>
        <family val="2"/>
      </rPr>
      <t>Adjusting Items (Pre-Tax)</t>
    </r>
  </si>
  <si>
    <r>
      <rPr>
        <b/>
        <sz val="10"/>
        <color rgb="FF000000"/>
        <rFont val="Scotia"/>
        <family val="2"/>
      </rPr>
      <t>Q4/25</t>
    </r>
  </si>
  <si>
    <r>
      <rPr>
        <sz val="10"/>
        <color rgb="FF000000"/>
        <rFont val="Scotia"/>
        <family val="2"/>
      </rPr>
      <t>Q3/25</t>
    </r>
  </si>
  <si>
    <r>
      <rPr>
        <sz val="10"/>
        <color rgb="FF000000"/>
        <rFont val="Scotia"/>
        <family val="2"/>
      </rPr>
      <t>Q2/25</t>
    </r>
  </si>
  <si>
    <r>
      <rPr>
        <sz val="10"/>
        <color rgb="FF000000"/>
        <rFont val="Scotia"/>
        <family val="2"/>
      </rPr>
      <t>Q1/25</t>
    </r>
  </si>
  <si>
    <r>
      <rPr>
        <sz val="10"/>
        <color rgb="FF000000"/>
        <rFont val="Scotia"/>
        <family val="2"/>
      </rPr>
      <t>Q4/24</t>
    </r>
  </si>
  <si>
    <r>
      <rPr>
        <sz val="10"/>
        <color rgb="FF000000"/>
        <rFont val="Scotia"/>
        <family val="2"/>
      </rPr>
      <t>Q3/24</t>
    </r>
  </si>
  <si>
    <r>
      <rPr>
        <sz val="10"/>
        <color rgb="FF000000"/>
        <rFont val="Scotia"/>
        <family val="2"/>
      </rPr>
      <t>Q2/24</t>
    </r>
  </si>
  <si>
    <r>
      <rPr>
        <sz val="10"/>
        <color rgb="FF000000"/>
        <rFont val="Scotia"/>
        <family val="2"/>
      </rPr>
      <t>Q1/24</t>
    </r>
  </si>
  <si>
    <r>
      <rPr>
        <sz val="10"/>
        <color rgb="FF000000"/>
        <rFont val="Scotia"/>
        <family val="2"/>
      </rPr>
      <t>Q4/23</t>
    </r>
  </si>
  <si>
    <r>
      <rPr>
        <b/>
        <sz val="10"/>
        <color rgb="FF000000"/>
        <rFont val="Scotia"/>
        <family val="2"/>
      </rPr>
      <t>Acquisition-Related Costs</t>
    </r>
  </si>
  <si>
    <r>
      <rPr>
        <b/>
        <sz val="10"/>
        <color rgb="FF000000"/>
        <rFont val="Scotia"/>
        <family val="2"/>
      </rPr>
      <t>Amortization of acquisition-related intangible assets⁽²⁾</t>
    </r>
  </si>
  <si>
    <r>
      <rPr>
        <sz val="10"/>
        <color rgb="FF000000"/>
        <rFont val="Scotia"/>
        <family val="2"/>
      </rPr>
      <t xml:space="preserve">Canadian Banking </t>
    </r>
  </si>
  <si>
    <r>
      <rPr>
        <sz val="10"/>
        <color rgb="FF000000"/>
        <rFont val="Scotia"/>
        <family val="2"/>
      </rPr>
      <t>International Banking</t>
    </r>
  </si>
  <si>
    <r>
      <rPr>
        <sz val="10"/>
        <color rgb="FF000000"/>
        <rFont val="Scotia"/>
        <family val="2"/>
      </rPr>
      <t xml:space="preserve">Global Wealth Management </t>
    </r>
  </si>
  <si>
    <r>
      <rPr>
        <sz val="10"/>
        <color rgb="FF000000"/>
        <rFont val="Scotia"/>
        <family val="2"/>
      </rPr>
      <t>Other</t>
    </r>
  </si>
  <si>
    <r>
      <rPr>
        <b/>
        <sz val="10"/>
        <color rgb="FF000000"/>
        <rFont val="Scotia"/>
        <family val="2"/>
      </rPr>
      <t>Other</t>
    </r>
  </si>
  <si>
    <r>
      <rPr>
        <b/>
        <sz val="10"/>
        <color rgb="FF000000"/>
        <rFont val="Scotia"/>
        <family val="2"/>
      </rPr>
      <t>Divestitures and wind-down of operations⁽³⁾</t>
    </r>
  </si>
  <si>
    <r>
      <rPr>
        <b/>
        <sz val="10"/>
        <color rgb="FF000000"/>
        <rFont val="Scotia"/>
        <family val="2"/>
      </rPr>
      <t>Impairment of non-financial assets⁽⁴⁾</t>
    </r>
  </si>
  <si>
    <r>
      <rPr>
        <b/>
        <sz val="10"/>
        <color rgb="FF000000"/>
        <rFont val="Scotia"/>
        <family val="2"/>
      </rPr>
      <t>Restructuring charge and severance provisions⁽⁴⁾</t>
    </r>
  </si>
  <si>
    <r>
      <rPr>
        <b/>
        <sz val="10"/>
        <color rgb="FF000000"/>
        <rFont val="Scotia"/>
        <family val="2"/>
      </rPr>
      <t>Legal provision⁽⁴⁾</t>
    </r>
  </si>
  <si>
    <r>
      <rPr>
        <b/>
        <sz val="10"/>
        <color rgb="FF000000"/>
        <rFont val="Scotia"/>
        <family val="2"/>
      </rPr>
      <t>Consolidation of real estate and contract termination costs⁽⁴⁾</t>
    </r>
  </si>
  <si>
    <r>
      <rPr>
        <b/>
        <sz val="10"/>
        <color rgb="FF000000"/>
        <rFont val="Scotia"/>
        <family val="2"/>
      </rPr>
      <t>Total (Pre-Tax)</t>
    </r>
  </si>
  <si>
    <r>
      <rPr>
        <b/>
        <sz val="10"/>
        <color rgb="FFFF0000"/>
        <rFont val="Scotia"/>
        <family val="2"/>
      </rPr>
      <t>Adjusting Items (After-Tax, NCI)</t>
    </r>
  </si>
  <si>
    <r>
      <rPr>
        <b/>
        <sz val="10"/>
        <color rgb="FF000000"/>
        <rFont val="Scotia"/>
        <family val="2"/>
      </rPr>
      <t>Amortization of Intangibles⁽²⁾</t>
    </r>
  </si>
  <si>
    <r>
      <rPr>
        <b/>
        <sz val="10"/>
        <color rgb="FF000000"/>
        <rFont val="Scotia"/>
        <family val="2"/>
      </rPr>
      <t>Total (After-Tax, NCI)</t>
    </r>
  </si>
  <si>
    <r>
      <rPr>
        <sz val="7"/>
        <color rgb="FF000000"/>
        <rFont val="Scotia"/>
        <family val="2"/>
      </rPr>
      <t>(1) Refer to non-GAAP Measures on Notes Page 1 of the Supplementary Financial Information Report.</t>
    </r>
  </si>
  <si>
    <r>
      <rPr>
        <sz val="7"/>
        <color rgb="FF000000"/>
        <rFont val="Scotia"/>
        <family val="2"/>
      </rPr>
      <t>(2) Excludes amortization of intangibles related to software. Recorded in non-interest expenses - depreciation and amortization for the Canadian Banking, International Banking and Global Wealth Management operating segments and non-interest income - net income from investments in associated corporations for the Other operating segment.</t>
    </r>
  </si>
  <si>
    <r>
      <rPr>
        <sz val="7"/>
        <color rgb="FF000000"/>
        <rFont val="Scotia"/>
        <family val="2"/>
      </rPr>
      <t xml:space="preserve">(3) Recognized impairment loss of $1,362 million in Q1 2025, $26 million in Q2 2025, partial recovery of loss of $23 million in Q3 2025, and $57 million in Q4 2025 in non-interest expenses, as well as a credit of $45 million in non-interest income in Q4 2025, related to the announced sale of operations in in Colombia, Costa Rica and Panama. Recognized an additional loss of $9 million in non-interest income in Q2 2025 relating to the sale of CrediScotia (impairment loss of $143 million in non-interest income and a recovery of expenses in non-interest expenses of $7 million in Q3 2024). Recognized a gain of $367 million in Q4 2023 in non-interest income, related to the sale of equity interest in CTFS.  All amounts were recognized in the Other operating segment. </t>
    </r>
  </si>
  <si>
    <r>
      <rPr>
        <sz val="7"/>
        <color rgb="FF000000"/>
        <rFont val="Scotia"/>
        <family val="2"/>
      </rPr>
      <t>(4)</t>
    </r>
    <r>
      <rPr>
        <vertAlign val="superscript"/>
        <sz val="7"/>
        <color rgb="FF000000"/>
        <rFont val="Scotia"/>
        <family val="2"/>
      </rPr>
      <t xml:space="preserve"> </t>
    </r>
    <r>
      <rPr>
        <sz val="7"/>
        <color rgb="FF000000"/>
        <rFont val="Scotia"/>
        <family val="2"/>
      </rPr>
      <t>Recorded in Other operating segment - Non Interest Expenses.</t>
    </r>
  </si>
  <si>
    <r>
      <rPr>
        <b/>
        <sz val="11"/>
        <color rgb="FF000000"/>
        <rFont val="Scotia"/>
        <family val="2"/>
      </rPr>
      <t>Changes in business line allocation methodology</t>
    </r>
  </si>
  <si>
    <r>
      <rPr>
        <sz val="11"/>
        <color rgb="FF000000"/>
        <rFont val="Scotia"/>
        <family val="2"/>
      </rPr>
      <t xml:space="preserve">Effective the first quarter of 2025, Scotiabank has made voluntary changes to the Bank’s allocation methodology impacting business segment presentation. The new methodology includes updates related to the Bank’s funds transfer pricing, head office expense allocations, and allocations between business segments. The changes do not impact the Bank’s consolidated 2024 and 2023 reported and adjusted financial results. For better comparability of results across periods, prior period results and ratios for each segment have been revised to conform with the current period’s methodology.  Further details on the changes are as follows: </t>
    </r>
    <r>
      <rPr>
        <sz val="11"/>
        <color theme="1"/>
        <rFont val="Scotia"/>
        <family val="2"/>
      </rPr>
      <t xml:space="preserve">_x000D_
</t>
    </r>
  </si>
  <si>
    <r>
      <rPr>
        <sz val="11"/>
        <color rgb="FF000000"/>
        <rFont val="Scotia"/>
        <family val="2"/>
      </rPr>
      <t>1. Funds transfer pricing methodology was updated, primarily related to the allocation of substantially all liquidity costs to the business lines, reflecting the Bank’s strategic objective to maintain higher liquidity ratios.
2. Periodically, the Bank updates its allocation methodologies. This includes a comprehensive update to the allocation of head office expenses across countries within International Banking, updates to the allocation of clients and associated revenue, expenses, and balances between International Banking, Global Banking and Markets, and Global Wealth Management to align with the strategy, as well as updates to the allocation of head office expenses and taxes from the Other segment to the business segments. 
3. To be consistent with the reporting of its recent minority investment in KeyCorp, the Bank has also made changes to the reporting of certain minority investments in International Banking (Bank of Xi’an Co. Ltd.) and Global Wealth Management (Bank of Beijing Scotia Asset Management) which are now reported in the Other se</t>
    </r>
    <r>
      <rPr>
        <sz val="11"/>
        <color theme="1"/>
        <rFont val="Scotia"/>
        <family val="2"/>
      </rPr>
      <t xml:space="preserve">gment.  
</t>
    </r>
  </si>
  <si>
    <r>
      <rPr>
        <sz val="11"/>
        <color rgb="FF000000"/>
        <rFont val="Scotia"/>
        <family val="2"/>
      </rPr>
      <t xml:space="preserve">This supplementary financial package provides revised results for fiscal 2024 and 2023. </t>
    </r>
    <r>
      <rPr>
        <b/>
        <sz val="11"/>
        <color rgb="FF000000"/>
        <rFont val="Scotia"/>
        <family val="2"/>
      </rPr>
      <t>Pages impacted are as follows:</t>
    </r>
    <r>
      <rPr>
        <sz val="11"/>
        <color rgb="FF000000"/>
        <rFont val="Scotia"/>
        <family val="2"/>
      </rPr>
      <t xml:space="preserve">_x000D_
_x000D_
Page 4 - Business Segment Performance: Canadian Banking _x000D_
Page 5 - Business Segment Performance: International Banking_x000D_
Page 7 - Business Segment Performance: Global Wealth Management_x000D_
Page 8 - Business Segment Performance: Global Banking and Markets_x000D_
Page 9 - Business Segment Performance: Other_x000D_
Page 11 - Revenue from Trading-Related Activities and Assets Under Administration and Management_x000D_
Page 27 - Appendix 1: Global Banking and Markets (Reported Including International Banking) _x000D_
Page 35 - Appendix 4: Reconciliation of non-GAAP Financial Measures — Return on equity reported and adjusted results by operating segment_x000D_
Page 36 - Appendix 4: Reconciliation of non-GAAP Financial Measures — Net Interest Margin </t>
    </r>
    <r>
      <rPr>
        <sz val="11"/>
        <rFont val="Scotia"/>
        <family val="2"/>
      </rPr>
      <t>by operating segment</t>
    </r>
  </si>
  <si>
    <r>
      <rPr>
        <b/>
        <sz val="14"/>
        <color rgb="FFFFFFFF"/>
        <rFont val="Scotia"/>
        <family val="2"/>
      </rPr>
      <t>Enhanced Disclosure Task Force (EDTF) Recommendations</t>
    </r>
  </si>
  <si>
    <r>
      <rPr>
        <sz val="9"/>
        <color rgb="FF000000"/>
        <rFont val="Scotia"/>
        <family val="2"/>
      </rPr>
      <t xml:space="preserve">Below is the index of EDTF recommendations to facilitate easy reference in the Bank’s public disclosure documents available on www.scotiabank.com/investorrelations. </t>
    </r>
  </si>
  <si>
    <r>
      <rPr>
        <b/>
        <sz val="7"/>
        <color rgb="FF000000"/>
        <rFont val="Scotia"/>
        <family val="2"/>
      </rPr>
      <t>October 31, 2025 Reference Table for EDTF</t>
    </r>
  </si>
  <si>
    <r>
      <rPr>
        <b/>
        <sz val="7"/>
        <color rgb="FF000000"/>
        <rFont val="Scotia"/>
        <family val="2"/>
      </rPr>
      <t xml:space="preserve">Recommendation </t>
    </r>
  </si>
  <si>
    <r>
      <rPr>
        <b/>
        <sz val="7"/>
        <color rgb="FF000000"/>
        <rFont val="Scotia"/>
        <family val="2"/>
      </rPr>
      <t>2025 Annual Report</t>
    </r>
  </si>
  <si>
    <r>
      <rPr>
        <b/>
        <sz val="7"/>
        <color rgb="FF000000"/>
        <rFont val="Scotia"/>
        <family val="2"/>
      </rPr>
      <t>Type of Risk</t>
    </r>
  </si>
  <si>
    <r>
      <rPr>
        <b/>
        <sz val="7"/>
        <color rgb="FF000000"/>
        <rFont val="Scotia"/>
        <family val="2"/>
      </rPr>
      <t>Number</t>
    </r>
  </si>
  <si>
    <r>
      <rPr>
        <b/>
        <sz val="7"/>
        <color rgb="FF000000"/>
        <rFont val="Scotia"/>
        <family val="2"/>
      </rPr>
      <t>Disclosure</t>
    </r>
  </si>
  <si>
    <r>
      <rPr>
        <b/>
        <sz val="7"/>
        <color rgb="FF000000"/>
        <rFont val="Scotia"/>
        <family val="2"/>
      </rPr>
      <t>MD&amp;A</t>
    </r>
  </si>
  <si>
    <r>
      <rPr>
        <b/>
        <sz val="7"/>
        <color rgb="FF000000"/>
        <rFont val="Scotia"/>
        <family val="2"/>
      </rPr>
      <t>Financial _x000D_
Statements</t>
    </r>
  </si>
  <si>
    <r>
      <rPr>
        <b/>
        <sz val="7"/>
        <color rgb="FF000000"/>
        <rFont val="Scotia"/>
        <family val="2"/>
      </rPr>
      <t>Supplementary Regulatory _x000D_
Capital Disclosures</t>
    </r>
  </si>
  <si>
    <r>
      <rPr>
        <sz val="7"/>
        <color rgb="FF000000"/>
        <rFont val="Scotia"/>
        <family val="2"/>
      </rPr>
      <t xml:space="preserve">General </t>
    </r>
  </si>
  <si>
    <r>
      <rPr>
        <sz val="7"/>
        <color rgb="FF000000"/>
        <rFont val="Scotia"/>
        <family val="2"/>
      </rPr>
      <t xml:space="preserve">The index of risks to which the business is exposed. </t>
    </r>
  </si>
  <si>
    <r>
      <rPr>
        <sz val="7"/>
        <color rgb="FF000000"/>
        <rFont val="Scotia"/>
        <family val="2"/>
      </rPr>
      <t>The Bank's risk to terminology, measures and key parameters.</t>
    </r>
  </si>
  <si>
    <t>76-83</t>
  </si>
  <si>
    <r>
      <rPr>
        <sz val="7"/>
        <color rgb="FF000000"/>
        <rFont val="Scotia"/>
        <family val="2"/>
      </rPr>
      <t xml:space="preserve">Top and emerging risks, and the changes during the reporting period. </t>
    </r>
  </si>
  <si>
    <r>
      <rPr>
        <sz val="7"/>
        <color rgb="FF000000"/>
        <rFont val="Scotia"/>
        <family val="2"/>
      </rPr>
      <t>85-87, 91-96</t>
    </r>
  </si>
  <si>
    <r>
      <rPr>
        <sz val="7"/>
        <color rgb="FF000000"/>
        <rFont val="Scotia"/>
        <family val="2"/>
      </rPr>
      <t xml:space="preserve">Discussion on the regulatory development and plans to meet new regulatory ratios. </t>
    </r>
  </si>
  <si>
    <t>60-63, 120-121</t>
  </si>
  <si>
    <r>
      <rPr>
        <sz val="7"/>
        <color rgb="FF000000"/>
        <rFont val="Scotia"/>
        <family val="2"/>
      </rPr>
      <t xml:space="preserve">Risk Governance, _x000D_
Risk Management and_x000D_
Business Model </t>
    </r>
  </si>
  <si>
    <r>
      <rPr>
        <sz val="7"/>
        <color rgb="FF000000"/>
        <rFont val="Scotia"/>
        <family val="2"/>
      </rPr>
      <t xml:space="preserve">The Bank's Risk Governance structure. </t>
    </r>
  </si>
  <si>
    <r>
      <rPr>
        <sz val="7"/>
        <color rgb="FF000000"/>
        <rFont val="Scotia"/>
        <family val="2"/>
      </rPr>
      <t>78-80</t>
    </r>
  </si>
  <si>
    <r>
      <rPr>
        <sz val="7"/>
        <color rgb="FF000000"/>
        <rFont val="Scotia"/>
        <family val="2"/>
      </rPr>
      <t>Description of risk culture and procedures applied to support the culture.</t>
    </r>
  </si>
  <si>
    <r>
      <rPr>
        <sz val="7"/>
        <color rgb="FF000000"/>
        <rFont val="Scotia"/>
        <family val="2"/>
      </rPr>
      <t>80-83</t>
    </r>
  </si>
  <si>
    <r>
      <rPr>
        <sz val="7"/>
        <color rgb="FF000000"/>
        <rFont val="Scotia"/>
        <family val="2"/>
      </rPr>
      <t xml:space="preserve">Description of key risks from the Bank's business model. </t>
    </r>
  </si>
  <si>
    <r>
      <rPr>
        <sz val="7"/>
        <color rgb="FF000000"/>
        <rFont val="Scotia"/>
        <family val="2"/>
      </rPr>
      <t xml:space="preserve">Stress testing use within the Bank's risk governance and capital management. </t>
    </r>
  </si>
  <si>
    <r>
      <rPr>
        <sz val="7"/>
        <color rgb="FF000000"/>
        <rFont val="Scotia"/>
        <family val="2"/>
      </rPr>
      <t>80-82</t>
    </r>
  </si>
  <si>
    <r>
      <rPr>
        <sz val="7"/>
        <color rgb="FF000000"/>
        <rFont val="Scotia"/>
        <family val="2"/>
      </rPr>
      <t>Capital Adequacy and_x000D_
Risk-Weighted Assets</t>
    </r>
  </si>
  <si>
    <r>
      <rPr>
        <sz val="7"/>
        <color rgb="FF000000"/>
        <rFont val="Scotia"/>
        <family val="2"/>
      </rPr>
      <t xml:space="preserve">Pillar 1 capital requirements, and the impact for global systemically important banks. </t>
    </r>
  </si>
  <si>
    <r>
      <rPr>
        <sz val="7"/>
        <color rgb="FF000000"/>
        <rFont val="Scotia"/>
        <family val="2"/>
      </rPr>
      <t>60-63</t>
    </r>
  </si>
  <si>
    <t>4,5</t>
  </si>
  <si>
    <r>
      <rPr>
        <sz val="7"/>
        <color rgb="FF000000"/>
        <rFont val="Scotia"/>
        <family val="2"/>
      </rPr>
      <t>a) Regulatory capital components.</t>
    </r>
  </si>
  <si>
    <r>
      <rPr>
        <sz val="7"/>
        <color rgb="FF000000"/>
        <rFont val="Scotia"/>
        <family val="2"/>
      </rPr>
      <t>22-24</t>
    </r>
  </si>
  <si>
    <r>
      <rPr>
        <sz val="7"/>
        <color rgb="FF000000"/>
        <rFont val="Scotia"/>
        <family val="2"/>
      </rPr>
      <t>b) Reconciliation of the accounting balance sheet to the regulatory balance sheet.</t>
    </r>
  </si>
  <si>
    <r>
      <rPr>
        <sz val="7"/>
        <color rgb="FF000000"/>
        <rFont val="Scotia"/>
        <family val="2"/>
      </rPr>
      <t>18-19</t>
    </r>
  </si>
  <si>
    <r>
      <rPr>
        <sz val="7"/>
        <color rgb="FF000000"/>
        <rFont val="Scotia"/>
        <family val="2"/>
      </rPr>
      <t>Flow statement of the movements in regulatory capital since the previous reporting period,</t>
    </r>
  </si>
  <si>
    <r>
      <rPr>
        <sz val="7"/>
        <color rgb="FF000000"/>
        <rFont val="Scotia"/>
        <family val="2"/>
      </rPr>
      <t>65-66</t>
    </r>
  </si>
  <si>
    <r>
      <rPr>
        <sz val="7"/>
        <color rgb="FF000000"/>
        <rFont val="Scotia"/>
        <family val="2"/>
      </rPr>
      <t xml:space="preserve">including changes in common equity tier 1, additional tier 1 and tier 2 capital. </t>
    </r>
  </si>
  <si>
    <r>
      <rPr>
        <sz val="7"/>
        <color rgb="FF000000"/>
        <rFont val="Scotia"/>
        <family val="2"/>
      </rPr>
      <t xml:space="preserve">Discussion of targeted level of capital, and the plans on how to establish this. </t>
    </r>
  </si>
  <si>
    <r>
      <rPr>
        <sz val="7"/>
        <color rgb="FF000000"/>
        <rFont val="Scotia"/>
        <family val="2"/>
      </rPr>
      <t>Analysis of risk-weighted assets by risk type, business, and market risk RWAs.</t>
    </r>
  </si>
  <si>
    <r>
      <rPr>
        <sz val="7"/>
        <color rgb="FF000000"/>
        <rFont val="Scotia"/>
        <family val="2"/>
      </rPr>
      <t>68-73, 84, 127</t>
    </r>
  </si>
  <si>
    <t>6,37-40,44-49,50-55.56-61,73-75,76-78,82,97,103</t>
  </si>
  <si>
    <r>
      <rPr>
        <sz val="7"/>
        <color rgb="FF000000"/>
        <rFont val="Scotia"/>
        <family val="2"/>
      </rPr>
      <t xml:space="preserve">Analysis of the capital requirements for each Basel asset class. </t>
    </r>
  </si>
  <si>
    <r>
      <rPr>
        <sz val="7"/>
        <color rgb="FF000000"/>
        <rFont val="Scotia"/>
        <family val="2"/>
      </rPr>
      <t>68-73</t>
    </r>
  </si>
  <si>
    <t>178, 224-228</t>
  </si>
  <si>
    <r>
      <rPr>
        <sz val="7"/>
        <color rgb="FF000000"/>
        <rFont val="Scotia"/>
        <family val="2"/>
      </rPr>
      <t>16-17,37-62,71-78,82,87-90</t>
    </r>
  </si>
  <si>
    <r>
      <rPr>
        <sz val="7"/>
        <color rgb="FF000000"/>
        <rFont val="Scotia"/>
        <family val="2"/>
      </rPr>
      <t>Tabulate credit risk in the Banking Book.</t>
    </r>
  </si>
  <si>
    <r>
      <rPr>
        <sz val="7"/>
        <color rgb="FF000000"/>
        <rFont val="Scotia"/>
        <family val="2"/>
      </rPr>
      <t>16-17,37-62,82,87-90</t>
    </r>
  </si>
  <si>
    <r>
      <rPr>
        <sz val="7"/>
        <color rgb="FF000000"/>
        <rFont val="Scotia"/>
        <family val="2"/>
      </rPr>
      <t>Flow statements reconciling the movements in risk-weighted assets for each risk-weighted asset type.</t>
    </r>
  </si>
  <si>
    <r>
      <rPr>
        <sz val="7"/>
        <color rgb="FF000000"/>
        <rFont val="Scotia"/>
        <family val="2"/>
      </rPr>
      <t>63,81,102</t>
    </r>
  </si>
  <si>
    <r>
      <rPr>
        <sz val="7"/>
        <color rgb="FF000000"/>
        <rFont val="Scotia"/>
        <family val="2"/>
      </rPr>
      <t>Discussion of Basel III Back-testing requirement including credit risk model performance and validation.</t>
    </r>
  </si>
  <si>
    <r>
      <rPr>
        <sz val="7"/>
        <color rgb="FF000000"/>
        <rFont val="Scotia"/>
        <family val="2"/>
      </rPr>
      <t>69-71</t>
    </r>
  </si>
  <si>
    <r>
      <rPr>
        <sz val="7"/>
        <color rgb="FF000000"/>
        <rFont val="Scotia"/>
        <family val="2"/>
      </rPr>
      <t>64-67,107</t>
    </r>
  </si>
  <si>
    <r>
      <rPr>
        <sz val="7"/>
        <color rgb="FF000000"/>
        <rFont val="Scotia"/>
        <family val="2"/>
      </rPr>
      <t xml:space="preserve">Liquidity Funding </t>
    </r>
  </si>
  <si>
    <r>
      <rPr>
        <sz val="7"/>
        <color rgb="FF000000"/>
        <rFont val="Scotia"/>
        <family val="2"/>
      </rPr>
      <t xml:space="preserve">Analysis of the Bank's liquid assets. </t>
    </r>
  </si>
  <si>
    <r>
      <rPr>
        <sz val="7"/>
        <color rgb="FF000000"/>
        <rFont val="Scotia"/>
        <family val="2"/>
      </rPr>
      <t>103-108</t>
    </r>
  </si>
  <si>
    <r>
      <rPr>
        <sz val="7"/>
        <color rgb="FF000000"/>
        <rFont val="Scotia"/>
        <family val="2"/>
      </rPr>
      <t xml:space="preserve">Encumbered and unencumbered assets analyzed by balance sheet category. </t>
    </r>
  </si>
  <si>
    <r>
      <rPr>
        <sz val="7"/>
        <color rgb="FF000000"/>
        <rFont val="Scotia"/>
        <family val="2"/>
      </rPr>
      <t>Consolidated total assets, liabilities and off-balance sheet commitments analyzed by remaining contractual maturity at the balance sheet date.</t>
    </r>
  </si>
  <si>
    <r>
      <rPr>
        <sz val="7"/>
        <color rgb="FF000000"/>
        <rFont val="Scotia"/>
        <family val="2"/>
      </rPr>
      <t>109-111</t>
    </r>
  </si>
  <si>
    <r>
      <rPr>
        <sz val="7"/>
        <color rgb="FF000000"/>
        <rFont val="Scotia"/>
        <family val="2"/>
      </rPr>
      <t xml:space="preserve">Analysis of the Bank's sources of funding and a description of the Bank's funding strategy. </t>
    </r>
  </si>
  <si>
    <r>
      <rPr>
        <sz val="7"/>
        <color rgb="FF000000"/>
        <rFont val="Scotia"/>
        <family val="2"/>
      </rPr>
      <t>108-109</t>
    </r>
  </si>
  <si>
    <r>
      <rPr>
        <sz val="7"/>
        <color rgb="FF000000"/>
        <rFont val="Scotia"/>
        <family val="2"/>
      </rPr>
      <t xml:space="preserve">Market Risk </t>
    </r>
  </si>
  <si>
    <r>
      <rPr>
        <sz val="7"/>
        <color rgb="FF000000"/>
        <rFont val="Scotia"/>
        <family val="2"/>
      </rPr>
      <t>Linkage of market risk measures for trading and non-trading portfolios and the balance sheet.</t>
    </r>
  </si>
  <si>
    <r>
      <rPr>
        <sz val="7"/>
        <color rgb="FF000000"/>
        <rFont val="Scotia"/>
        <family val="2"/>
      </rPr>
      <t xml:space="preserve">Discussion of significant trading and non-trading market risk factors. </t>
    </r>
  </si>
  <si>
    <r>
      <rPr>
        <sz val="7"/>
        <color rgb="FF000000"/>
        <rFont val="Scotia"/>
        <family val="2"/>
      </rPr>
      <t>97-103</t>
    </r>
  </si>
  <si>
    <r>
      <rPr>
        <sz val="7"/>
        <color rgb="FF000000"/>
        <rFont val="Scotia"/>
        <family val="2"/>
      </rPr>
      <t>Discussion of changes in period on period VaR results as well as VaR assumptions, limitations, backtesting and validation.</t>
    </r>
  </si>
  <si>
    <r>
      <rPr>
        <sz val="7"/>
        <color rgb="FF000000"/>
        <rFont val="Scotia"/>
        <family val="2"/>
      </rPr>
      <t>Other risk management techniques e.g. stress tests, stressed VaR, tail risk and market liquidity horizon.</t>
    </r>
  </si>
  <si>
    <r>
      <rPr>
        <sz val="7"/>
        <color rgb="FF000000"/>
        <rFont val="Scotia"/>
        <family val="2"/>
      </rPr>
      <t xml:space="preserve">Credit Risk </t>
    </r>
  </si>
  <si>
    <r>
      <rPr>
        <sz val="7"/>
        <color rgb="FF000000"/>
        <rFont val="Scotia"/>
        <family val="2"/>
      </rPr>
      <t>Analysis of the aggregate credit risk exposures, including details of both personal and wholesale lending.</t>
    </r>
  </si>
  <si>
    <t>91-96, 123-127</t>
  </si>
  <si>
    <r>
      <rPr>
        <sz val="7"/>
        <color rgb="FF000000"/>
        <rFont val="Scotia"/>
        <family val="2"/>
      </rPr>
      <t>188-189, 225-228</t>
    </r>
  </si>
  <si>
    <r>
      <rPr>
        <sz val="7"/>
        <color rgb="FF000000"/>
        <rFont val="Scotia"/>
        <family val="2"/>
      </rPr>
      <t>6,37-40,44-61,73-78</t>
    </r>
  </si>
  <si>
    <r>
      <rPr>
        <sz val="7"/>
        <color rgb="FF000000"/>
        <rFont val="Scotia"/>
        <family val="2"/>
      </rPr>
      <t>Discussion of the policies for identifying impaired loans, defining impairments and renegotiated loans, and explaining loan forbearance policies.</t>
    </r>
  </si>
  <si>
    <t>158-160</t>
  </si>
  <si>
    <r>
      <rPr>
        <sz val="7"/>
        <color rgb="FF000000"/>
        <rFont val="Scotia"/>
        <family val="2"/>
      </rPr>
      <t xml:space="preserve">Reconciliations of the opening and closing balances of impaired loans and impairment allowances during the year. </t>
    </r>
  </si>
  <si>
    <r>
      <rPr>
        <sz val="7"/>
        <color rgb="FF000000"/>
        <rFont val="Scotia"/>
        <family val="2"/>
      </rPr>
      <t>93, 122-125</t>
    </r>
  </si>
  <si>
    <r>
      <rPr>
        <sz val="7"/>
        <color rgb="FF000000"/>
        <rFont val="Scotia"/>
        <family val="2"/>
      </rPr>
      <t>34-35</t>
    </r>
  </si>
  <si>
    <r>
      <rPr>
        <sz val="7"/>
        <color rgb="FF000000"/>
        <rFont val="Scotia"/>
        <family val="2"/>
      </rPr>
      <t xml:space="preserve">Analysis of counterparty credit risk that arises from derivative transactions. </t>
    </r>
  </si>
  <si>
    <r>
      <rPr>
        <sz val="7"/>
        <color rgb="FF000000"/>
        <rFont val="Scotia"/>
        <family val="2"/>
      </rPr>
      <t>88-90</t>
    </r>
  </si>
  <si>
    <r>
      <rPr>
        <sz val="7"/>
        <color rgb="FF000000"/>
        <rFont val="Scotia"/>
        <family val="2"/>
      </rPr>
      <t>176-179</t>
    </r>
  </si>
  <si>
    <r>
      <rPr>
        <sz val="7"/>
        <color rgb="FF000000"/>
        <rFont val="Scotia"/>
        <family val="2"/>
      </rPr>
      <t xml:space="preserve">Discussion of credit risk mitigation, including collateral held for all sources of credit risk. </t>
    </r>
  </si>
  <si>
    <r>
      <rPr>
        <sz val="7"/>
        <color rgb="FF000000"/>
        <rFont val="Scotia"/>
        <family val="2"/>
      </rPr>
      <t>89-91, 94</t>
    </r>
  </si>
  <si>
    <r>
      <rPr>
        <sz val="7"/>
        <color rgb="FF000000"/>
        <rFont val="Scotia"/>
        <family val="2"/>
      </rPr>
      <t>Other Risks</t>
    </r>
  </si>
  <si>
    <r>
      <rPr>
        <sz val="7"/>
        <color rgb="FF000000"/>
        <rFont val="Scotia"/>
        <family val="2"/>
      </rPr>
      <t xml:space="preserve">Quantified measures of the management of operational risk.  </t>
    </r>
  </si>
  <si>
    <r>
      <rPr>
        <sz val="7"/>
        <color rgb="FF000000"/>
        <rFont val="Scotia"/>
        <family val="2"/>
      </rPr>
      <t>72, 112-113</t>
    </r>
  </si>
  <si>
    <r>
      <rPr>
        <sz val="7"/>
        <color rgb="FF000000"/>
        <rFont val="Scotia"/>
        <family val="2"/>
      </rPr>
      <t xml:space="preserve">Discussion of publicly known risk items.  </t>
    </r>
  </si>
  <si>
    <r>
      <rPr>
        <sz val="7"/>
        <color rgb="FF000000"/>
        <rFont val="Scotia"/>
        <family val="2"/>
      </rPr>
      <t>85-87</t>
    </r>
  </si>
  <si>
    <r>
      <rPr>
        <sz val="7"/>
        <color rgb="FF000000"/>
        <rFont val="Scotia"/>
        <family val="2"/>
      </rPr>
      <t>205-206</t>
    </r>
  </si>
  <si>
    <r>
      <rPr>
        <b/>
        <sz val="14"/>
        <color rgb="FFFFFFFF"/>
        <rFont val="Scotia"/>
        <family val="2"/>
      </rPr>
      <t>Highlights</t>
    </r>
  </si>
  <si>
    <r>
      <rPr>
        <sz val="11"/>
        <color rgb="FF000000"/>
        <rFont val="Scotia"/>
        <family val="2"/>
      </rPr>
      <t>Full Year</t>
    </r>
  </si>
  <si>
    <r>
      <rPr>
        <b/>
        <sz val="11"/>
        <color rgb="FFFF0000"/>
        <rFont val="Scotia"/>
        <family val="2"/>
      </rPr>
      <t>Operating Performance</t>
    </r>
  </si>
  <si>
    <r>
      <rPr>
        <b/>
        <sz val="11"/>
        <color rgb="FF000000"/>
        <rFont val="Scotia"/>
        <family val="2"/>
      </rPr>
      <t>Q4/25</t>
    </r>
  </si>
  <si>
    <r>
      <rPr>
        <sz val="11"/>
        <color rgb="FF000000"/>
        <rFont val="Scotia"/>
        <family val="2"/>
      </rPr>
      <t>Q3/25</t>
    </r>
  </si>
  <si>
    <r>
      <rPr>
        <sz val="11"/>
        <color rgb="FF000000"/>
        <rFont val="Scotia"/>
        <family val="2"/>
      </rPr>
      <t>Q2/25</t>
    </r>
  </si>
  <si>
    <r>
      <rPr>
        <sz val="11"/>
        <color rgb="FF000000"/>
        <rFont val="Scotia"/>
        <family val="2"/>
      </rPr>
      <t>Q1/25</t>
    </r>
  </si>
  <si>
    <r>
      <rPr>
        <sz val="11"/>
        <color rgb="FF000000"/>
        <rFont val="Scotia"/>
        <family val="2"/>
      </rPr>
      <t>Q4/24</t>
    </r>
  </si>
  <si>
    <r>
      <rPr>
        <sz val="11"/>
        <color rgb="FF000000"/>
        <rFont val="Scotia"/>
        <family val="2"/>
      </rPr>
      <t>Q3/24</t>
    </r>
  </si>
  <si>
    <r>
      <rPr>
        <sz val="11"/>
        <color rgb="FF000000"/>
        <rFont val="Scotia"/>
        <family val="2"/>
      </rPr>
      <t>Q2/24</t>
    </r>
  </si>
  <si>
    <r>
      <rPr>
        <sz val="11"/>
        <color rgb="FF000000"/>
        <rFont val="Scotia"/>
        <family val="2"/>
      </rPr>
      <t>Q1/24</t>
    </r>
  </si>
  <si>
    <r>
      <rPr>
        <sz val="11"/>
        <color rgb="FF000000"/>
        <rFont val="Scotia"/>
        <family val="2"/>
      </rPr>
      <t>Q4/23</t>
    </r>
  </si>
  <si>
    <r>
      <rPr>
        <sz val="11"/>
        <color rgb="FF000000"/>
        <rFont val="Scotia"/>
        <family val="2"/>
      </rPr>
      <t>2025</t>
    </r>
  </si>
  <si>
    <r>
      <rPr>
        <sz val="11"/>
        <color rgb="FF000000"/>
        <rFont val="Scotia"/>
        <family val="2"/>
      </rPr>
      <t>2024</t>
    </r>
  </si>
  <si>
    <r>
      <rPr>
        <b/>
        <sz val="11"/>
        <color rgb="FF000000"/>
        <rFont val="Scotia"/>
        <family val="2"/>
      </rPr>
      <t xml:space="preserve">Reported </t>
    </r>
    <r>
      <rPr>
        <i/>
        <sz val="11"/>
        <color rgb="FFFF0000"/>
        <rFont val="Scotia"/>
        <family val="2"/>
      </rPr>
      <t>($ millions)</t>
    </r>
  </si>
  <si>
    <r>
      <rPr>
        <sz val="11"/>
        <color rgb="FF000000"/>
        <rFont val="Scotia"/>
        <family val="2"/>
      </rPr>
      <t>Net income</t>
    </r>
  </si>
  <si>
    <r>
      <rPr>
        <sz val="11"/>
        <color rgb="FF000000"/>
        <rFont val="Scotia"/>
        <family val="2"/>
      </rPr>
      <t>Net income attributable to common shareholders</t>
    </r>
  </si>
  <si>
    <r>
      <rPr>
        <sz val="11"/>
        <color rgb="FF000000"/>
        <rFont val="Scotia"/>
        <family val="2"/>
      </rPr>
      <t>EPS ($) — Basic</t>
    </r>
  </si>
  <si>
    <r>
      <rPr>
        <sz val="11"/>
        <color rgb="FFFFFFFF"/>
        <rFont val="Scotia"/>
        <family val="2"/>
      </rPr>
      <t>EPS ($)</t>
    </r>
    <r>
      <rPr>
        <sz val="11"/>
        <color rgb="FF000000"/>
        <rFont val="Scotia"/>
        <family val="2"/>
      </rPr>
      <t xml:space="preserve"> — Diluted</t>
    </r>
  </si>
  <si>
    <t>ROE (%)⁽¹⁾</t>
  </si>
  <si>
    <t>Net interest margin (%)⁽²⁾</t>
  </si>
  <si>
    <t>Productivity ratio (%)⁽¹⁾</t>
  </si>
  <si>
    <t>Effective tax rate (%)⁽¹⁾</t>
  </si>
  <si>
    <r>
      <rPr>
        <b/>
        <sz val="11"/>
        <color rgb="FF000000"/>
        <rFont val="Scotia"/>
        <family val="2"/>
      </rPr>
      <t>Adjusted</t>
    </r>
    <r>
      <rPr>
        <i/>
        <sz val="11"/>
        <color rgb="FFFF0000"/>
        <rFont val="Scotia"/>
        <family val="2"/>
      </rPr>
      <t xml:space="preserve"> ($ millions)</t>
    </r>
    <r>
      <rPr>
        <b/>
        <sz val="11"/>
        <color rgb="FF000000"/>
        <rFont val="Scotia"/>
        <family val="2"/>
      </rPr>
      <t>⁽²⁾</t>
    </r>
  </si>
  <si>
    <r>
      <rPr>
        <sz val="11"/>
        <color rgb="FF000000"/>
        <rFont val="Scotia"/>
        <family val="2"/>
      </rPr>
      <t>Net income attributable to common shareholders (Diluted)</t>
    </r>
  </si>
  <si>
    <r>
      <rPr>
        <sz val="11"/>
        <color rgb="FF000000"/>
        <rFont val="Scotia"/>
        <family val="2"/>
      </rPr>
      <t>EPS ($) — Diluted</t>
    </r>
  </si>
  <si>
    <t>ROE (%)</t>
  </si>
  <si>
    <t xml:space="preserve">Productivity ratio (%) </t>
  </si>
  <si>
    <t>Effective tax rate (%)</t>
  </si>
  <si>
    <r>
      <rPr>
        <b/>
        <sz val="11"/>
        <color rgb="FFFF0000"/>
        <rFont val="Scotia"/>
        <family val="2"/>
      </rPr>
      <t>Balance Sheet</t>
    </r>
    <r>
      <rPr>
        <i/>
        <sz val="11"/>
        <color rgb="FFFF0000"/>
        <rFont val="Scotia"/>
        <family val="2"/>
      </rPr>
      <t xml:space="preserve"> ($ billions)</t>
    </r>
  </si>
  <si>
    <r>
      <rPr>
        <sz val="11"/>
        <color rgb="FF000000"/>
        <rFont val="Scotia"/>
        <family val="2"/>
      </rPr>
      <t xml:space="preserve">Total assets </t>
    </r>
  </si>
  <si>
    <r>
      <rPr>
        <sz val="11"/>
        <color rgb="FF000000"/>
        <rFont val="Scotia"/>
        <family val="2"/>
      </rPr>
      <t>Net loans and acceptances</t>
    </r>
  </si>
  <si>
    <r>
      <rPr>
        <sz val="11"/>
        <color rgb="FF000000"/>
        <rFont val="Scotia"/>
        <family val="2"/>
      </rPr>
      <t>Deposits</t>
    </r>
  </si>
  <si>
    <r>
      <rPr>
        <sz val="11"/>
        <color rgb="FF000000"/>
        <rFont val="Scotia"/>
        <family val="2"/>
      </rPr>
      <t>Common shareholders' equity</t>
    </r>
  </si>
  <si>
    <r>
      <rPr>
        <b/>
        <sz val="11"/>
        <color rgb="FFFF0000"/>
        <rFont val="Scotia"/>
        <family val="2"/>
      </rPr>
      <t>Credit Quality</t>
    </r>
  </si>
  <si>
    <r>
      <rPr>
        <sz val="11"/>
        <color rgb="FF000000"/>
        <rFont val="Scotia"/>
        <family val="2"/>
      </rPr>
      <t>Gross impaired loans</t>
    </r>
  </si>
  <si>
    <t>—  % of loans and acceptances⁽¹⁾</t>
  </si>
  <si>
    <r>
      <rPr>
        <sz val="11"/>
        <color rgb="FF000000"/>
        <rFont val="Scotia"/>
        <family val="2"/>
      </rPr>
      <t>Net impaired loans ($ millions)</t>
    </r>
  </si>
  <si>
    <t xml:space="preserve">—  % of loans and acceptances⁽¹⁾ </t>
  </si>
  <si>
    <r>
      <rPr>
        <sz val="11"/>
        <color rgb="FF000000"/>
        <rFont val="Scotia"/>
        <family val="2"/>
      </rPr>
      <t>Allowance for credit losses ($ millions)⁽³⁾</t>
    </r>
  </si>
  <si>
    <t>Net write-offs as a % of average net loans and acceptances⁽¹⁾</t>
  </si>
  <si>
    <r>
      <rPr>
        <sz val="11"/>
        <color rgb="FF000000"/>
        <rFont val="Scotia"/>
        <family val="2"/>
      </rPr>
      <t>Provision for credit losses (PCL) ($ millions)⁽⁴⁾</t>
    </r>
  </si>
  <si>
    <r>
      <rPr>
        <sz val="11"/>
        <color rgb="FF000000"/>
        <rFont val="Scotia"/>
        <family val="2"/>
      </rPr>
      <t>PCL on loans and acceptances ($ millions)⁽⁵⁾</t>
    </r>
  </si>
  <si>
    <t>PCL as % of average net loans and acceptances⁽¹⁾⁽⁵⁾</t>
  </si>
  <si>
    <t>PCL on impaired loans as % of average net loans and acceptances⁽¹⁾⁽⁵⁾</t>
  </si>
  <si>
    <r>
      <rPr>
        <b/>
        <sz val="11"/>
        <color rgb="FFFF0000"/>
        <rFont val="Scotia"/>
        <family val="2"/>
      </rPr>
      <t>Capital and Liquidity Measures</t>
    </r>
  </si>
  <si>
    <t>CET1 capital ratio (%)⁽⁶⁾</t>
  </si>
  <si>
    <t>Tier 1 capital ratio (%)⁽⁶⁾</t>
  </si>
  <si>
    <t>Total capital ratio (%)⁽⁶⁾</t>
  </si>
  <si>
    <t>Leverage ratio (%)⁽⁷⁾</t>
  </si>
  <si>
    <r>
      <rPr>
        <sz val="11"/>
        <color rgb="FF000000"/>
        <rFont val="Scotia"/>
        <family val="2"/>
      </rPr>
      <t>CET1 risk-weighted assets ($ millions)⁽⁶⁾</t>
    </r>
  </si>
  <si>
    <t>Net stable funding ratio (NSFR) (%)⁽⁸⁾</t>
  </si>
  <si>
    <t>Liquidity coverage ratio (%)⁽⁸⁾</t>
  </si>
  <si>
    <t>Total Loss Absorbing Capacity (TLAC) (as a % of leverage exposure)⁽⁹⁾</t>
  </si>
  <si>
    <t>TLAC (as a % of risk-weighted assets adjusted as permitted under the TLAC regime)⁽⁹⁾</t>
  </si>
  <si>
    <r>
      <rPr>
        <sz val="6"/>
        <color rgb="FF000000"/>
        <rFont val="Scotia"/>
        <family val="2"/>
      </rPr>
      <t xml:space="preserve">(1) Refer to page 136 of the Management's Discussion &amp; Analysis in the Bank's 2025 Annual Report, , available on http://www.sedarplus.ca, for an explanation of the composition of the measure. Such explanation is incorporated by reference hereto. </t>
    </r>
  </si>
  <si>
    <r>
      <rPr>
        <sz val="6"/>
        <color rgb="FF000000"/>
        <rFont val="Scotia"/>
        <family val="2"/>
      </rPr>
      <t>(2) Refer to non-GAAP measures on page 20 of the Management's Discussion &amp; Analysis in the Bank's 2025 Annual Report, available on http://www.sedarplus.ca for the description of the measure. Refer to Appendix 4 of the Supplementary Financial Information Report for reconciliation.</t>
    </r>
  </si>
  <si>
    <r>
      <rPr>
        <sz val="6"/>
        <color rgb="FF000000"/>
        <rFont val="Scotia"/>
        <family val="2"/>
      </rPr>
      <t>(3) Includes allowance for credit losses on all financial assets - loans, acceptances, off-balance sheet exposures and other financial assets.</t>
    </r>
  </si>
  <si>
    <r>
      <rPr>
        <sz val="6"/>
        <color rgb="FF000000"/>
        <rFont val="Scotia"/>
        <family val="2"/>
      </rPr>
      <t>(4) Includes provision for credit losses on all financial assets - loans, acceptances, off-balance sheet exposures and other financial assets.</t>
    </r>
  </si>
  <si>
    <r>
      <rPr>
        <sz val="6"/>
        <color rgb="FF000000"/>
        <rFont val="Scotia"/>
        <family val="2"/>
      </rPr>
      <t>(5) Includes provision for credit losses on certain financial assets - loans, acceptances and off-balance sheet exposures.</t>
    </r>
  </si>
  <si>
    <r>
      <rPr>
        <sz val="6"/>
        <color rgb="FF000000"/>
        <rFont val="Scotia"/>
        <family val="2"/>
      </rPr>
      <t>(6) Effective Q1 2024, regulatory capital ratios are based on Basel III requirements as determined in accordance with OSFI Guideline - Capital Adequacy Requirements (November 2023). For prior periods reported above, regulatory capital ratios were based on Basel III requirements as determined in accordance with OSFI Guideline - Capital Adequacy Requirements (February 2023).</t>
    </r>
  </si>
  <si>
    <r>
      <rPr>
        <sz val="6"/>
        <color rgb="FF000000"/>
        <rFont val="Scotia"/>
        <family val="2"/>
      </rPr>
      <t xml:space="preserve">(7) Leverage ratios are based on Basel III requirements as determined in accordance with OSFI Guideline - Leverage Requirements.  </t>
    </r>
  </si>
  <si>
    <r>
      <rPr>
        <sz val="6"/>
        <color rgb="FF000000"/>
        <rFont val="Scotia"/>
        <family val="2"/>
      </rPr>
      <t>(8) The LCR and NSFR are calculated in accordance with OSFI Guideline – Liquidity Adequacy Requirements (LAR).</t>
    </r>
  </si>
  <si>
    <r>
      <rPr>
        <sz val="6"/>
        <color rgb="FF000000"/>
        <rFont val="Scotia"/>
        <family val="2"/>
      </rPr>
      <t>(9) This measure has been disclosed in this document in accordance with OSFI Guideline – Total Loss Absorbing Capacity.</t>
    </r>
  </si>
  <si>
    <r>
      <rPr>
        <b/>
        <sz val="14"/>
        <color rgb="FFFFFFFF"/>
        <rFont val="Scotia"/>
        <family val="2"/>
      </rPr>
      <t>Common Share and Other Information</t>
    </r>
  </si>
  <si>
    <r>
      <rPr>
        <b/>
        <sz val="11"/>
        <color rgb="FFFF0000"/>
        <rFont val="Scotia"/>
        <family val="2"/>
      </rPr>
      <t>Valuation</t>
    </r>
  </si>
  <si>
    <r>
      <rPr>
        <sz val="11"/>
        <color rgb="FF000000"/>
        <rFont val="Scotia"/>
        <family val="2"/>
      </rPr>
      <t>Book value per common share ($)⁽¹⁾</t>
    </r>
  </si>
  <si>
    <r>
      <rPr>
        <sz val="11"/>
        <color rgb="FF000000"/>
        <rFont val="Scotia"/>
        <family val="2"/>
      </rPr>
      <t>Share price ($)</t>
    </r>
  </si>
  <si>
    <r>
      <rPr>
        <sz val="11"/>
        <color rgb="FF000000"/>
        <rFont val="Scotia"/>
        <family val="2"/>
      </rPr>
      <t>— High</t>
    </r>
  </si>
  <si>
    <r>
      <rPr>
        <sz val="11"/>
        <color rgb="FF000000"/>
        <rFont val="Scotia"/>
        <family val="2"/>
      </rPr>
      <t>— Low</t>
    </r>
  </si>
  <si>
    <r>
      <rPr>
        <sz val="11"/>
        <color rgb="FF000000"/>
        <rFont val="Scotia"/>
        <family val="2"/>
      </rPr>
      <t>— Close</t>
    </r>
  </si>
  <si>
    <t>Share price (closing) as % of book value⁽¹⁾</t>
  </si>
  <si>
    <r>
      <rPr>
        <sz val="11"/>
        <color rgb="FF000000"/>
        <rFont val="Scotia"/>
        <family val="2"/>
      </rPr>
      <t>Price (closing)/earnings ratio (X)⁽¹⁾⁽²⁾</t>
    </r>
  </si>
  <si>
    <r>
      <rPr>
        <sz val="11"/>
        <color rgb="FF000000"/>
        <rFont val="Scotia"/>
        <family val="2"/>
      </rPr>
      <t xml:space="preserve">Market capitalization </t>
    </r>
    <r>
      <rPr>
        <i/>
        <sz val="11"/>
        <color rgb="FFFF0000"/>
        <rFont val="Scotia"/>
        <family val="2"/>
      </rPr>
      <t>($ millions)</t>
    </r>
  </si>
  <si>
    <r>
      <rPr>
        <b/>
        <sz val="11"/>
        <color rgb="FFFF0000"/>
        <rFont val="Scotia"/>
        <family val="2"/>
      </rPr>
      <t>Dividends</t>
    </r>
  </si>
  <si>
    <r>
      <rPr>
        <sz val="11"/>
        <color rgb="FF000000"/>
        <rFont val="Scotia"/>
        <family val="2"/>
      </rPr>
      <t xml:space="preserve">Common dividends paid </t>
    </r>
    <r>
      <rPr>
        <i/>
        <sz val="11"/>
        <color rgb="FFFF0000"/>
        <rFont val="Scotia"/>
        <family val="2"/>
      </rPr>
      <t>($ millions)</t>
    </r>
  </si>
  <si>
    <r>
      <rPr>
        <sz val="11"/>
        <color rgb="FF000000"/>
        <rFont val="Scotia"/>
        <family val="2"/>
      </rPr>
      <t>Common dividends/share ($)</t>
    </r>
  </si>
  <si>
    <r>
      <rPr>
        <b/>
        <sz val="11"/>
        <color rgb="FFFF0000"/>
        <rFont val="Scotia"/>
        <family val="2"/>
      </rPr>
      <t>Shares</t>
    </r>
  </si>
  <si>
    <r>
      <rPr>
        <sz val="11"/>
        <color rgb="FF000000"/>
        <rFont val="Scotia"/>
        <family val="2"/>
      </rPr>
      <t xml:space="preserve">Number of common shares outstanding at period end </t>
    </r>
    <r>
      <rPr>
        <i/>
        <sz val="11"/>
        <color rgb="FFFF0000"/>
        <rFont val="Scotia"/>
        <family val="2"/>
      </rPr>
      <t>(millions)</t>
    </r>
  </si>
  <si>
    <r>
      <rPr>
        <sz val="11"/>
        <color rgb="FF000000"/>
        <rFont val="Scotia"/>
        <family val="2"/>
      </rPr>
      <t>Average number of common shares outstanding</t>
    </r>
    <r>
      <rPr>
        <i/>
        <sz val="11"/>
        <color rgb="FFFF0000"/>
        <rFont val="Scotia"/>
        <family val="2"/>
      </rPr>
      <t xml:space="preserve"> (millions)</t>
    </r>
  </si>
  <si>
    <r>
      <rPr>
        <sz val="11"/>
        <color rgb="FF000000"/>
        <rFont val="Scotia"/>
        <family val="2"/>
      </rPr>
      <t>— Basic</t>
    </r>
  </si>
  <si>
    <r>
      <rPr>
        <sz val="11"/>
        <color rgb="FF000000"/>
        <rFont val="Scotia"/>
        <family val="2"/>
      </rPr>
      <t xml:space="preserve">— Diluted </t>
    </r>
  </si>
  <si>
    <r>
      <rPr>
        <b/>
        <sz val="11"/>
        <color rgb="FFFF0000"/>
        <rFont val="Scotia"/>
        <family val="2"/>
      </rPr>
      <t>Other Information⁽³⁾</t>
    </r>
  </si>
  <si>
    <r>
      <rPr>
        <sz val="11"/>
        <color rgb="FF000000"/>
        <rFont val="Scotia"/>
        <family val="2"/>
      </rPr>
      <t>Employees⁽⁴⁾</t>
    </r>
  </si>
  <si>
    <r>
      <rPr>
        <sz val="11"/>
        <color rgb="FF000000"/>
        <rFont val="Scotia"/>
        <family val="2"/>
      </rPr>
      <t>Branches and offices</t>
    </r>
  </si>
  <si>
    <r>
      <rPr>
        <sz val="11"/>
        <color rgb="FF000000"/>
        <rFont val="Scotia"/>
        <family val="2"/>
      </rPr>
      <t>ABMs</t>
    </r>
  </si>
  <si>
    <r>
      <rPr>
        <b/>
        <sz val="11"/>
        <color rgb="FFFF0000"/>
        <rFont val="Scotia"/>
        <family val="2"/>
      </rPr>
      <t>Legacy Senior Debt Credit Ratings</t>
    </r>
  </si>
  <si>
    <r>
      <rPr>
        <sz val="11"/>
        <color rgb="FF000000"/>
        <rFont val="Scotia"/>
        <family val="2"/>
      </rPr>
      <t>Moody's⁽⁵⁾</t>
    </r>
  </si>
  <si>
    <r>
      <rPr>
        <b/>
        <sz val="11"/>
        <color rgb="FF000000"/>
        <rFont val="Scotia"/>
        <family val="2"/>
      </rPr>
      <t xml:space="preserve"> Aa2 </t>
    </r>
  </si>
  <si>
    <r>
      <rPr>
        <sz val="11"/>
        <color rgb="FF000000"/>
        <rFont val="Scotia"/>
        <family val="2"/>
      </rPr>
      <t xml:space="preserve"> Aa2 </t>
    </r>
  </si>
  <si>
    <r>
      <rPr>
        <sz val="11"/>
        <color rgb="FF000000"/>
        <rFont val="Scotia"/>
        <family val="2"/>
      </rPr>
      <t>Standard &amp; Poor's⁽⁵⁾</t>
    </r>
  </si>
  <si>
    <r>
      <rPr>
        <b/>
        <sz val="11"/>
        <color rgb="FF000000"/>
        <rFont val="Scotia"/>
        <family val="2"/>
      </rPr>
      <t xml:space="preserve"> A+ </t>
    </r>
  </si>
  <si>
    <r>
      <rPr>
        <sz val="11"/>
        <color rgb="FF000000"/>
        <rFont val="Scotia"/>
        <family val="2"/>
      </rPr>
      <t xml:space="preserve"> A+ </t>
    </r>
  </si>
  <si>
    <r>
      <rPr>
        <sz val="11"/>
        <color rgb="FF000000"/>
        <rFont val="Scotia"/>
        <family val="2"/>
      </rPr>
      <t>Fitch⁽⁵⁾</t>
    </r>
  </si>
  <si>
    <r>
      <rPr>
        <b/>
        <sz val="11"/>
        <color rgb="FF000000"/>
        <rFont val="Scotia"/>
        <family val="2"/>
      </rPr>
      <t xml:space="preserve"> AA </t>
    </r>
  </si>
  <si>
    <r>
      <rPr>
        <sz val="11"/>
        <color rgb="FF000000"/>
        <rFont val="Scotia"/>
        <family val="2"/>
      </rPr>
      <t xml:space="preserve"> AA </t>
    </r>
  </si>
  <si>
    <r>
      <rPr>
        <sz val="11"/>
        <color rgb="FF000000"/>
        <rFont val="Scotia"/>
        <family val="2"/>
      </rPr>
      <t>Morningstar DBRS⁽⁵⁾</t>
    </r>
  </si>
  <si>
    <r>
      <rPr>
        <sz val="7"/>
        <color rgb="FF000000"/>
        <rFont val="Scotia"/>
        <family val="2"/>
      </rPr>
      <t xml:space="preserve">(1) Refer to page 136 of the Management's Discussion &amp; Analysis in the Bank's 2025 Annual Report, available on http://www.sedarplus.ca, for an explanation of the composition of the measure. Such explanation is incorporated by reference hereto. </t>
    </r>
  </si>
  <si>
    <r>
      <rPr>
        <sz val="7"/>
        <color rgb="FF000000"/>
        <rFont val="Scotia"/>
        <family val="2"/>
      </rPr>
      <t>(2) Based on trailing 4 quarters' EPS.</t>
    </r>
  </si>
  <si>
    <r>
      <rPr>
        <sz val="7"/>
        <color rgb="FF000000"/>
        <rFont val="Scotia"/>
        <family val="2"/>
      </rPr>
      <t>(3)</t>
    </r>
    <r>
      <rPr>
        <vertAlign val="superscript"/>
        <sz val="7"/>
        <color rgb="FF000000"/>
        <rFont val="Scotia"/>
        <family val="2"/>
      </rPr>
      <t xml:space="preserve"> </t>
    </r>
    <r>
      <rPr>
        <sz val="7"/>
        <color rgb="FF000000"/>
        <rFont val="Scotia"/>
        <family val="2"/>
      </rPr>
      <t>Excludes affiliates.</t>
    </r>
  </si>
  <si>
    <r>
      <rPr>
        <sz val="7"/>
        <color rgb="FF000000"/>
        <rFont val="Scotia"/>
        <family val="2"/>
      </rPr>
      <t xml:space="preserve">(4) Employees are reported on a full-time equivalent basis. </t>
    </r>
  </si>
  <si>
    <r>
      <rPr>
        <sz val="7"/>
        <color rgb="FF000000"/>
        <rFont val="Scotia"/>
        <family val="2"/>
      </rPr>
      <t xml:space="preserve">(5) As of October 31, 2025, outlook is Stable (Moody's, Standard &amp; Poor's, Morningstar DBRS and Fitch). </t>
    </r>
  </si>
  <si>
    <r>
      <rPr>
        <b/>
        <sz val="14"/>
        <color rgb="FFFFFFFF"/>
        <rFont val="Scotia"/>
        <family val="2"/>
      </rPr>
      <t>Consolidated Statement of Income</t>
    </r>
  </si>
  <si>
    <r>
      <rPr>
        <i/>
        <sz val="11"/>
        <color rgb="FFFF0000"/>
        <rFont val="Scotia"/>
        <family val="2"/>
      </rPr>
      <t xml:space="preserve">($ millions) </t>
    </r>
  </si>
  <si>
    <r>
      <rPr>
        <sz val="11"/>
        <color rgb="FF000000"/>
        <rFont val="Scotia"/>
        <family val="2"/>
      </rPr>
      <t>Interest income</t>
    </r>
  </si>
  <si>
    <r>
      <rPr>
        <sz val="11"/>
        <color rgb="FF000000"/>
        <rFont val="Scotia"/>
        <family val="2"/>
      </rPr>
      <t xml:space="preserve">Interest expense </t>
    </r>
  </si>
  <si>
    <r>
      <rPr>
        <b/>
        <sz val="11"/>
        <color rgb="FF000000"/>
        <rFont val="Scotia"/>
        <family val="2"/>
      </rPr>
      <t xml:space="preserve">Net interest income </t>
    </r>
  </si>
  <si>
    <r>
      <rPr>
        <sz val="11"/>
        <color rgb="FF000000"/>
        <rFont val="Scotia"/>
        <family val="2"/>
      </rPr>
      <t>Non-interest income</t>
    </r>
  </si>
  <si>
    <r>
      <rPr>
        <b/>
        <sz val="11"/>
        <color rgb="FF000000"/>
        <rFont val="Scotia"/>
        <family val="2"/>
      </rPr>
      <t xml:space="preserve">Total revenue </t>
    </r>
  </si>
  <si>
    <r>
      <rPr>
        <sz val="11"/>
        <color rgb="FF000000"/>
        <rFont val="Scotia"/>
        <family val="2"/>
      </rPr>
      <t>Provision for credit losses</t>
    </r>
  </si>
  <si>
    <r>
      <rPr>
        <sz val="11"/>
        <color rgb="FF000000"/>
        <rFont val="Scotia"/>
        <family val="2"/>
      </rPr>
      <t>Total non-interest expenses</t>
    </r>
  </si>
  <si>
    <r>
      <rPr>
        <b/>
        <sz val="11"/>
        <color rgb="FF000000"/>
        <rFont val="Scotia"/>
        <family val="2"/>
      </rPr>
      <t>Income before taxes</t>
    </r>
  </si>
  <si>
    <r>
      <rPr>
        <sz val="11"/>
        <color rgb="FF000000"/>
        <rFont val="Scotia"/>
        <family val="2"/>
      </rPr>
      <t>Income tax expense</t>
    </r>
  </si>
  <si>
    <r>
      <rPr>
        <b/>
        <sz val="11"/>
        <color rgb="FF000000"/>
        <rFont val="Scotia"/>
        <family val="2"/>
      </rPr>
      <t xml:space="preserve">Reported net income  </t>
    </r>
  </si>
  <si>
    <r>
      <rPr>
        <sz val="11"/>
        <color rgb="FF000000"/>
        <rFont val="Scotia"/>
        <family val="2"/>
      </rPr>
      <t>Adjusting items (after tax)⁽¹⁾</t>
    </r>
  </si>
  <si>
    <r>
      <rPr>
        <b/>
        <sz val="11"/>
        <color rgb="FF000000"/>
        <rFont val="Scotia"/>
        <family val="2"/>
      </rPr>
      <t>Adjusted net income⁽¹⁾</t>
    </r>
  </si>
  <si>
    <r>
      <rPr>
        <sz val="11"/>
        <color rgb="FF000000"/>
        <rFont val="Scotia"/>
        <family val="2"/>
      </rPr>
      <t>Reported net income attributable to NCI in subsidiaries</t>
    </r>
  </si>
  <si>
    <r>
      <rPr>
        <sz val="11"/>
        <color rgb="FF000000"/>
        <rFont val="Scotia"/>
        <family val="2"/>
      </rPr>
      <t>Adjusted net income attributable to NCI in subsidiaries⁽¹⁾</t>
    </r>
  </si>
  <si>
    <r>
      <rPr>
        <sz val="11"/>
        <color rgb="FF000000"/>
        <rFont val="Scotia"/>
        <family val="2"/>
      </rPr>
      <t>Reported net income attributable to equity holders of the Bank</t>
    </r>
  </si>
  <si>
    <r>
      <rPr>
        <sz val="11"/>
        <color rgb="FF000000"/>
        <rFont val="Scotia"/>
        <family val="2"/>
      </rPr>
      <t>Preferred shareholders</t>
    </r>
  </si>
  <si>
    <r>
      <rPr>
        <sz val="11"/>
        <color rgb="FF000000"/>
        <rFont val="Scotia"/>
        <family val="2"/>
      </rPr>
      <t xml:space="preserve">Common shareholders </t>
    </r>
  </si>
  <si>
    <r>
      <rPr>
        <sz val="11"/>
        <color rgb="FF000000"/>
        <rFont val="Scotia"/>
        <family val="2"/>
      </rPr>
      <t>Adjusted net income attributable to equity holders of the Bank⁽¹⁾</t>
    </r>
  </si>
  <si>
    <r>
      <rPr>
        <sz val="11"/>
        <color rgb="FF000000"/>
        <rFont val="Scotia"/>
        <family val="2"/>
      </rPr>
      <t>Adjusted net income attributable to common shareholders⁽¹⁾</t>
    </r>
  </si>
  <si>
    <r>
      <rPr>
        <sz val="11"/>
        <color rgb="FF000000"/>
        <rFont val="Scotia"/>
        <family val="2"/>
      </rPr>
      <t>Adjusted diluted impact of share-based payment options and others⁽¹⁾⁽²⁾</t>
    </r>
  </si>
  <si>
    <r>
      <rPr>
        <b/>
        <sz val="11"/>
        <color rgb="FF000000"/>
        <rFont val="Scotia"/>
        <family val="2"/>
      </rPr>
      <t>Adjusted net income attributable to common shareholders (Diluted)⁽¹⁾</t>
    </r>
  </si>
  <si>
    <r>
      <rPr>
        <sz val="7"/>
        <color rgb="FF000000"/>
        <rFont val="Scotia"/>
        <family val="2"/>
      </rPr>
      <t>(1) Refer to non-GAAP Measures on Notes Pages 1-2 of the Supplementary Financial Information Report for the description of the adjusting items. Refer to Appendix 4 of the Supplementary Financial Information Report for reconciliation.</t>
    </r>
  </si>
  <si>
    <r>
      <rPr>
        <sz val="7"/>
        <color rgb="FF000000"/>
        <rFont val="Scotia"/>
        <family val="2"/>
      </rPr>
      <t>(2) The quarterly dilution may not sum to the full year dilution impact as earnings per share and dilution impact calculations are performed independently for each period presented.</t>
    </r>
  </si>
  <si>
    <r>
      <rPr>
        <b/>
        <sz val="14"/>
        <color rgb="FFFFFFFF"/>
        <rFont val="Scotia"/>
        <family val="2"/>
      </rPr>
      <t>Business Segment Performance: Canadian Banking</t>
    </r>
  </si>
  <si>
    <r>
      <rPr>
        <b/>
        <sz val="11"/>
        <color rgb="FFFF0000"/>
        <rFont val="Scotia"/>
        <family val="2"/>
      </rPr>
      <t>Income Statement — Taxable Equivalent Basis</t>
    </r>
    <r>
      <rPr>
        <b/>
        <i/>
        <sz val="11"/>
        <color rgb="FFFF0000"/>
        <rFont val="Scotia"/>
        <family val="2"/>
      </rPr>
      <t xml:space="preserve"> </t>
    </r>
    <r>
      <rPr>
        <i/>
        <sz val="11"/>
        <color rgb="FFFF0000"/>
        <rFont val="Scotia"/>
        <family val="2"/>
      </rPr>
      <t xml:space="preserve">($ millions) </t>
    </r>
  </si>
  <si>
    <r>
      <rPr>
        <sz val="11"/>
        <color rgb="FF000000"/>
        <rFont val="Scotia"/>
        <family val="2"/>
      </rPr>
      <t>Net interest income (TEB)</t>
    </r>
  </si>
  <si>
    <r>
      <rPr>
        <sz val="11"/>
        <color rgb="FF000000"/>
        <rFont val="Scotia"/>
        <family val="2"/>
      </rPr>
      <t>Non-interest income (TEB)</t>
    </r>
  </si>
  <si>
    <r>
      <rPr>
        <sz val="11"/>
        <color rgb="FF000000"/>
        <rFont val="Scotia"/>
        <family val="2"/>
      </rPr>
      <t>Net fee and commission revenues</t>
    </r>
  </si>
  <si>
    <r>
      <rPr>
        <sz val="11"/>
        <color rgb="FF000000"/>
        <rFont val="Scotia"/>
        <family val="2"/>
      </rPr>
      <t>Net income (loss) from investments in associated corporations</t>
    </r>
  </si>
  <si>
    <r>
      <rPr>
        <sz val="11"/>
        <color rgb="FF000000"/>
        <rFont val="Scotia"/>
        <family val="2"/>
      </rPr>
      <t>Other operating income (TEB)</t>
    </r>
  </si>
  <si>
    <r>
      <rPr>
        <b/>
        <sz val="11"/>
        <color rgb="FF000000"/>
        <rFont val="Scotia"/>
        <family val="2"/>
      </rPr>
      <t>Total revenue (TEB)</t>
    </r>
  </si>
  <si>
    <r>
      <rPr>
        <sz val="11"/>
        <color rgb="FF000000"/>
        <rFont val="Scotia"/>
        <family val="2"/>
      </rPr>
      <t xml:space="preserve">Provision for credit losses </t>
    </r>
  </si>
  <si>
    <r>
      <rPr>
        <sz val="11"/>
        <color rgb="FF000000"/>
        <rFont val="Scotia"/>
        <family val="2"/>
      </rPr>
      <t>Non-interest expenses</t>
    </r>
  </si>
  <si>
    <r>
      <rPr>
        <sz val="11"/>
        <color rgb="FF000000"/>
        <rFont val="Scotia"/>
        <family val="2"/>
      </rPr>
      <t xml:space="preserve">Income tax expense (TEB) </t>
    </r>
  </si>
  <si>
    <r>
      <rPr>
        <b/>
        <sz val="11"/>
        <color rgb="FF000000"/>
        <rFont val="Scotia"/>
        <family val="2"/>
      </rPr>
      <t>Reported net income</t>
    </r>
  </si>
  <si>
    <r>
      <rPr>
        <sz val="11"/>
        <color rgb="FF000000"/>
        <rFont val="Scotia"/>
        <family val="2"/>
      </rPr>
      <t>Adjusting items (after-tax)⁽¹⁾</t>
    </r>
  </si>
  <si>
    <r>
      <rPr>
        <b/>
        <sz val="11"/>
        <color rgb="FF000000"/>
        <rFont val="Scotia"/>
        <family val="2"/>
      </rPr>
      <t>Reported net income attributable to equity holders of the Bank</t>
    </r>
  </si>
  <si>
    <r>
      <rPr>
        <b/>
        <sz val="11"/>
        <color rgb="FF000000"/>
        <rFont val="Scotia"/>
        <family val="2"/>
      </rPr>
      <t>Adjusted net income attributable to equity holders of the Bank⁽¹⁾</t>
    </r>
  </si>
  <si>
    <r>
      <rPr>
        <b/>
        <sz val="11"/>
        <color rgb="FFFF0000"/>
        <rFont val="Scotia"/>
        <family val="2"/>
      </rPr>
      <t>Profitability Measurements</t>
    </r>
  </si>
  <si>
    <r>
      <rPr>
        <sz val="11"/>
        <color rgb="FF000000"/>
        <rFont val="Scotia"/>
        <family val="2"/>
      </rPr>
      <t>Net interest margin⁽²⁾</t>
    </r>
  </si>
  <si>
    <t>Net write-offs as a % of average net loans and acceptances⁽³⁾</t>
  </si>
  <si>
    <r>
      <rPr>
        <b/>
        <sz val="11"/>
        <color rgb="FF000000"/>
        <rFont val="Scotia"/>
        <family val="2"/>
      </rPr>
      <t>Reported</t>
    </r>
  </si>
  <si>
    <t>Return on equity (%)⁽²⁾</t>
  </si>
  <si>
    <t>Provision for credit losses (PCL) as % of average net loans and acceptances⁽³⁾⁽⁴⁾</t>
  </si>
  <si>
    <t>PCL on impaired loans as % of average net loans and acceptances⁽³⁾⁽⁴⁾</t>
  </si>
  <si>
    <t>Productivity ratio (%)⁽³⁾</t>
  </si>
  <si>
    <r>
      <rPr>
        <b/>
        <sz val="11"/>
        <color rgb="FF000000"/>
        <rFont val="Scotia"/>
        <family val="2"/>
      </rPr>
      <t>Adjusted⁽²⁾</t>
    </r>
  </si>
  <si>
    <t>Return on equity (%)</t>
  </si>
  <si>
    <t>Productivity ratio (%)</t>
  </si>
  <si>
    <r>
      <rPr>
        <b/>
        <sz val="11"/>
        <color rgb="FFFF0000"/>
        <rFont val="Scotia"/>
        <family val="2"/>
      </rPr>
      <t>Average Balance Sheet</t>
    </r>
    <r>
      <rPr>
        <b/>
        <i/>
        <sz val="11"/>
        <color rgb="FFFF0000"/>
        <rFont val="Scotia"/>
        <family val="2"/>
      </rPr>
      <t xml:space="preserve"> </t>
    </r>
    <r>
      <rPr>
        <i/>
        <sz val="11"/>
        <color rgb="FFFF0000"/>
        <rFont val="Scotia"/>
        <family val="2"/>
      </rPr>
      <t>($ billions)</t>
    </r>
  </si>
  <si>
    <r>
      <rPr>
        <sz val="11"/>
        <color rgb="FF000000"/>
        <rFont val="Scotia"/>
        <family val="2"/>
      </rPr>
      <t>Residential mortgages</t>
    </r>
  </si>
  <si>
    <r>
      <rPr>
        <sz val="11"/>
        <color rgb="FF000000"/>
        <rFont val="Scotia"/>
        <family val="2"/>
      </rPr>
      <t xml:space="preserve">Personal loans </t>
    </r>
  </si>
  <si>
    <r>
      <rPr>
        <sz val="11"/>
        <color rgb="FF000000"/>
        <rFont val="Scotia"/>
        <family val="2"/>
      </rPr>
      <t>Credit cards⁽⁵⁾</t>
    </r>
  </si>
  <si>
    <r>
      <rPr>
        <sz val="11"/>
        <color rgb="FF000000"/>
        <rFont val="Scotia"/>
        <family val="2"/>
      </rPr>
      <t>Business and government loans &amp; acceptances</t>
    </r>
  </si>
  <si>
    <r>
      <rPr>
        <sz val="11"/>
        <color rgb="FF000000"/>
        <rFont val="Scotia"/>
        <family val="2"/>
      </rPr>
      <t>Total loans &amp; acceptances</t>
    </r>
  </si>
  <si>
    <r>
      <rPr>
        <sz val="11"/>
        <color rgb="FF000000"/>
        <rFont val="Scotia"/>
        <family val="2"/>
      </rPr>
      <t>Other assets</t>
    </r>
  </si>
  <si>
    <r>
      <rPr>
        <b/>
        <sz val="11"/>
        <color rgb="FF000000"/>
        <rFont val="Scotia"/>
        <family val="2"/>
      </rPr>
      <t>Total assets</t>
    </r>
  </si>
  <si>
    <r>
      <rPr>
        <sz val="11"/>
        <color rgb="FF000000"/>
        <rFont val="Scotia"/>
        <family val="2"/>
      </rPr>
      <t>Personal deposits</t>
    </r>
  </si>
  <si>
    <r>
      <rPr>
        <sz val="11"/>
        <color rgb="FF000000"/>
        <rFont val="Scotia"/>
        <family val="2"/>
      </rPr>
      <t>Non-personal deposits</t>
    </r>
  </si>
  <si>
    <r>
      <rPr>
        <b/>
        <sz val="11"/>
        <color rgb="FF000000"/>
        <rFont val="Scotia"/>
        <family val="2"/>
      </rPr>
      <t>Total deposits</t>
    </r>
  </si>
  <si>
    <r>
      <rPr>
        <sz val="11"/>
        <color rgb="FF000000"/>
        <rFont val="Scotia"/>
        <family val="2"/>
      </rPr>
      <t>Other liabilities</t>
    </r>
  </si>
  <si>
    <r>
      <rPr>
        <b/>
        <sz val="11"/>
        <color rgb="FF000000"/>
        <rFont val="Scotia"/>
        <family val="2"/>
      </rPr>
      <t>Total liabilities</t>
    </r>
  </si>
  <si>
    <r>
      <rPr>
        <b/>
        <sz val="11"/>
        <color rgb="FFFF0000"/>
        <rFont val="Scotia"/>
        <family val="2"/>
      </rPr>
      <t>Other Information</t>
    </r>
  </si>
  <si>
    <r>
      <rPr>
        <sz val="11"/>
        <color rgb="FF000000"/>
        <rFont val="Scotia"/>
        <family val="2"/>
      </rPr>
      <t>Employees⁽⁶⁾</t>
    </r>
  </si>
  <si>
    <r>
      <rPr>
        <sz val="11"/>
        <color rgb="FF000000"/>
        <rFont val="Scotia"/>
        <family val="2"/>
      </rPr>
      <t>Branches</t>
    </r>
  </si>
  <si>
    <r>
      <rPr>
        <sz val="7"/>
        <color rgb="FF000000"/>
        <rFont val="Scotia"/>
        <family val="2"/>
      </rPr>
      <t xml:space="preserve">(1) Adjusting item includes amortization of acquisition-related intangible assets. Refer to non-GAAP Measures on Notes Pages 1-2 of the Supplementary Financial Information Report for details. </t>
    </r>
  </si>
  <si>
    <r>
      <rPr>
        <sz val="7"/>
        <color rgb="FF000000"/>
        <rFont val="Scotia"/>
        <family val="2"/>
      </rPr>
      <t>(2) Refer to non-GAAP measures on page 20 of the Management's Discussion &amp; Analysis in the Bank's 2025 Annual Report, available on http://www.sedarplus.ca for the description of the measure. Refer to Appendix 4 of the Supplementary Financial Information Report for reconciliation.</t>
    </r>
  </si>
  <si>
    <r>
      <rPr>
        <sz val="7"/>
        <color rgb="FF000000"/>
        <rFont val="Scotia"/>
        <family val="2"/>
      </rPr>
      <t>(3) Refer to page 136 of  the Management's Discussion &amp; Analysis in the Bank's 2025 Annual Report, available on http://www.sedarplus.ca, for an explanation of the composition of the measure. Such explanation is incorporated by reference hereto.</t>
    </r>
  </si>
  <si>
    <r>
      <rPr>
        <sz val="7"/>
        <color rgb="FF000000"/>
        <rFont val="Scotia"/>
        <family val="2"/>
      </rPr>
      <t>(4) Provision for credit losses on certain financial assets - loans, acceptances and off-balance sheet exposures.</t>
    </r>
  </si>
  <si>
    <r>
      <rPr>
        <sz val="7"/>
        <color rgb="FF000000"/>
        <rFont val="Scotia"/>
        <family val="2"/>
      </rPr>
      <t>(5) Credit Cards include retail and small business cards.</t>
    </r>
  </si>
  <si>
    <r>
      <rPr>
        <sz val="7"/>
        <color rgb="FF000000"/>
        <rFont val="Scotia"/>
        <family val="2"/>
      </rPr>
      <t>(6) Employees are reported on a full-time equivalent basis and include Canadian and International Contact Centre employees providing support to Canadian Banking. Effective Q1/25, certain Operations and Digital Transformation teams have been transferred into Canadian Banking from the Other segment with prior periods revised to reflect this change.</t>
    </r>
  </si>
  <si>
    <r>
      <rPr>
        <b/>
        <sz val="14"/>
        <color rgb="FFFFFFFF"/>
        <rFont val="Scotia"/>
        <family val="2"/>
      </rPr>
      <t>Business Segment Performance: International Banking</t>
    </r>
  </si>
  <si>
    <r>
      <rPr>
        <b/>
        <sz val="11"/>
        <color rgb="FFFF0000"/>
        <rFont val="Scotia"/>
        <family val="2"/>
      </rPr>
      <t xml:space="preserve">Income Statement — Taxable Equivalent Basis (TEB) — </t>
    </r>
    <r>
      <rPr>
        <b/>
        <i/>
        <sz val="11"/>
        <color rgb="FFFF0000"/>
        <rFont val="Scotia"/>
        <family val="2"/>
      </rPr>
      <t>($ millions)</t>
    </r>
  </si>
  <si>
    <r>
      <rPr>
        <sz val="11"/>
        <color rgb="FF000000"/>
        <rFont val="Scotia"/>
        <family val="2"/>
      </rPr>
      <t xml:space="preserve">Net interest income (TEB) </t>
    </r>
  </si>
  <si>
    <r>
      <rPr>
        <sz val="11"/>
        <color rgb="FF000000"/>
        <rFont val="Scotia"/>
        <family val="2"/>
      </rPr>
      <t xml:space="preserve">Non-interest expenses </t>
    </r>
  </si>
  <si>
    <r>
      <rPr>
        <b/>
        <sz val="11"/>
        <color rgb="FF000000"/>
        <rFont val="Scotia"/>
        <family val="2"/>
      </rPr>
      <t>Reported net income attributable to non-controlling interests (NCI)</t>
    </r>
  </si>
  <si>
    <r>
      <rPr>
        <b/>
        <sz val="11"/>
        <color rgb="FF000000"/>
        <rFont val="Scotia"/>
        <family val="2"/>
      </rPr>
      <t>Reported net income attributable to equity holders of the Bank (NIAEH)</t>
    </r>
  </si>
  <si>
    <r>
      <rPr>
        <b/>
        <sz val="11"/>
        <color rgb="FF000000"/>
        <rFont val="Scotia"/>
        <family val="2"/>
      </rPr>
      <t>Adjusted net income attributable to non-controlling interests (NCI)⁽¹⁾</t>
    </r>
  </si>
  <si>
    <r>
      <rPr>
        <b/>
        <sz val="11"/>
        <color rgb="FF000000"/>
        <rFont val="Scotia"/>
        <family val="2"/>
      </rPr>
      <t>Adjusted net income attributable to equity holders of the Bank (NIAEH)⁽¹⁾</t>
    </r>
  </si>
  <si>
    <r>
      <rPr>
        <b/>
        <sz val="11"/>
        <color rgb="FFFF0000"/>
        <rFont val="Scotia"/>
        <family val="2"/>
      </rPr>
      <t xml:space="preserve">Average Balance Sheet </t>
    </r>
    <r>
      <rPr>
        <b/>
        <i/>
        <sz val="11"/>
        <color rgb="FFFF0000"/>
        <rFont val="Scotia"/>
        <family val="2"/>
      </rPr>
      <t>($ billions)</t>
    </r>
  </si>
  <si>
    <r>
      <rPr>
        <sz val="11"/>
        <color rgb="FF000000"/>
        <rFont val="Scotia"/>
        <family val="2"/>
      </rPr>
      <t>Personal loans</t>
    </r>
  </si>
  <si>
    <r>
      <rPr>
        <sz val="11"/>
        <color rgb="FF000000"/>
        <rFont val="Scotia"/>
        <family val="2"/>
      </rPr>
      <t>Credit cards</t>
    </r>
  </si>
  <si>
    <r>
      <rPr>
        <b/>
        <sz val="11"/>
        <color rgb="FF000000"/>
        <rFont val="Scotia"/>
        <family val="2"/>
      </rPr>
      <t>Total loans &amp; acceptances</t>
    </r>
  </si>
  <si>
    <r>
      <rPr>
        <sz val="11"/>
        <color rgb="FF000000"/>
        <rFont val="Scotia"/>
        <family val="2"/>
      </rPr>
      <t>Investment securities</t>
    </r>
  </si>
  <si>
    <r>
      <rPr>
        <sz val="11"/>
        <color rgb="FF000000"/>
        <rFont val="Scotia"/>
        <family val="2"/>
      </rPr>
      <t>Deposits with banks</t>
    </r>
  </si>
  <si>
    <r>
      <rPr>
        <sz val="11"/>
        <color rgb="FF000000"/>
        <rFont val="Scotia"/>
        <family val="2"/>
      </rPr>
      <t>Employees⁽⁵⁾</t>
    </r>
  </si>
  <si>
    <r>
      <rPr>
        <sz val="11"/>
        <color rgb="FF000000"/>
        <rFont val="Scotia"/>
        <family val="2"/>
      </rPr>
      <t>Amortization of intangibles (pre-tax)</t>
    </r>
  </si>
  <si>
    <r>
      <rPr>
        <sz val="9"/>
        <color rgb="FF000000"/>
        <rFont val="Scotia"/>
        <family val="2"/>
      </rPr>
      <t xml:space="preserve">(1) Adjusting item includes amortization of acquisition-related intangible assets. Refer to non-GAAP Measures on Notes Pages 1-2 of the Supplementary Financial Information Report for details. </t>
    </r>
  </si>
  <si>
    <r>
      <rPr>
        <sz val="9"/>
        <color rgb="FF000000"/>
        <rFont val="Scotia"/>
        <family val="2"/>
      </rPr>
      <t>(2) Refer to non-GAAP measures on page 20 of the Management's Discussion &amp; Analysis in the Bank's 2025 Annual Report, available on http://www.sedarplus.ca for the description of the measure. Refer to Appendix 4 of the Supplementary Financial Information Report for reconciliation.</t>
    </r>
  </si>
  <si>
    <r>
      <rPr>
        <sz val="9"/>
        <color rgb="FF000000"/>
        <rFont val="Scotia"/>
        <family val="2"/>
      </rPr>
      <t>(3) Refer to page 136 of the Management's Discussion &amp; Analysis in the Bank's 2025 Annual Reports, available on http://www.sedarplus.ca, for an explanation of the composition of the measure. Such explanation is incorporated by reference hereto.</t>
    </r>
  </si>
  <si>
    <r>
      <rPr>
        <sz val="9"/>
        <color rgb="FF000000"/>
        <rFont val="Scotia"/>
        <family val="2"/>
      </rPr>
      <t>(4) Provision for credit losses on certain financial assets - loans, acceptances and off-balance sheet exposures.</t>
    </r>
  </si>
  <si>
    <r>
      <rPr>
        <sz val="9"/>
        <color rgb="FF000000"/>
        <rFont val="Scotia"/>
        <family val="2"/>
      </rPr>
      <t>(5) Employees are reported on a full-time equivalent basis.</t>
    </r>
  </si>
  <si>
    <r>
      <rPr>
        <b/>
        <sz val="14"/>
        <color rgb="FFFFFFFF"/>
        <rFont val="Scotia"/>
        <family val="2"/>
      </rPr>
      <t>Business Segment Performance: International Banking (Constant Dollar)⁽¹⁾</t>
    </r>
  </si>
  <si>
    <r>
      <rPr>
        <sz val="11"/>
        <color rgb="FF000000"/>
        <rFont val="Scotia"/>
        <family val="2"/>
      </rPr>
      <t>Adjusting items (after tax)⁽²⁾</t>
    </r>
  </si>
  <si>
    <r>
      <rPr>
        <b/>
        <sz val="11"/>
        <color rgb="FF000000"/>
        <rFont val="Scotia"/>
        <family val="2"/>
      </rPr>
      <t>Adjusted net income⁽²⁾</t>
    </r>
  </si>
  <si>
    <r>
      <rPr>
        <b/>
        <sz val="11"/>
        <color rgb="FF000000"/>
        <rFont val="Scotia"/>
        <family val="2"/>
      </rPr>
      <t>Adjusted net income attributable to non-controlling interests (NCI)⁽²⁾</t>
    </r>
  </si>
  <si>
    <r>
      <rPr>
        <b/>
        <sz val="11"/>
        <color rgb="FF000000"/>
        <rFont val="Scotia"/>
        <family val="2"/>
      </rPr>
      <t>Adjusted net income attributable to equity holders of the Bank (NIAEH)⁽²⁾</t>
    </r>
  </si>
  <si>
    <r>
      <rPr>
        <b/>
        <sz val="11"/>
        <color rgb="FFFF0000"/>
        <rFont val="Scotia"/>
        <family val="2"/>
      </rPr>
      <t>Profitability Measurements⁽⁴⁾</t>
    </r>
  </si>
  <si>
    <r>
      <rPr>
        <sz val="11"/>
        <color rgb="FF000000"/>
        <rFont val="Scotia"/>
        <family val="2"/>
      </rPr>
      <t>Net interest margin⁽³⁾</t>
    </r>
  </si>
  <si>
    <t>Net write-offs as a % of average net loans and acceptances⁽⁵⁾</t>
  </si>
  <si>
    <t>Return on equity (%)⁽³⁾</t>
  </si>
  <si>
    <t>Provision for credit losses (PCL) as % of average net loans and acceptances⁽⁵⁾⁽⁶⁾</t>
  </si>
  <si>
    <t>PCL on impaired loans as % of average net loans and acceptances⁽⁵⁾⁽⁶⁾</t>
  </si>
  <si>
    <t>Productivity ratio (%)⁽⁵⁾</t>
  </si>
  <si>
    <r>
      <rPr>
        <b/>
        <sz val="11"/>
        <color rgb="FF000000"/>
        <rFont val="Scotia"/>
        <family val="2"/>
      </rPr>
      <t>Adjusted⁽³⁾</t>
    </r>
  </si>
  <si>
    <r>
      <rPr>
        <b/>
        <sz val="11"/>
        <color rgb="FFFF0000"/>
        <rFont val="Scotia"/>
        <family val="2"/>
      </rPr>
      <t xml:space="preserve">Average Balance Sheet  </t>
    </r>
    <r>
      <rPr>
        <b/>
        <i/>
        <sz val="11"/>
        <color rgb="FFFF0000"/>
        <rFont val="Scotia"/>
        <family val="2"/>
      </rPr>
      <t>($ billions)</t>
    </r>
  </si>
  <si>
    <r>
      <rPr>
        <sz val="11"/>
        <color rgb="FF000000"/>
        <rFont val="Scotia"/>
        <family val="2"/>
      </rPr>
      <t>Employees⁽⁷⁾</t>
    </r>
  </si>
  <si>
    <r>
      <rPr>
        <sz val="9"/>
        <color rgb="FF000000"/>
        <rFont val="Scotia"/>
        <family val="2"/>
      </rPr>
      <t xml:space="preserve">(1) Data presented on a constant FX basis. Quarterly results reflect FX rates as of Q4/25, while full-year results reflect Current Year YTD Average FX rates.  Refer to non-GAAP measures on page 23 of the Management's Discussion &amp; Analysis in the Bank's 2025 Annual Report, available on http://www.sedarplus.ca. </t>
    </r>
  </si>
  <si>
    <r>
      <rPr>
        <sz val="9"/>
        <color rgb="FF000000"/>
        <rFont val="Scotia"/>
        <family val="2"/>
      </rPr>
      <t xml:space="preserve">(2) Adjusting item includes amortization of acquisition-related intangible assets. Refer to non-GAAP Measures on Notes Pages 1-2 of the Supplementary Financial Information Report for details. </t>
    </r>
  </si>
  <si>
    <r>
      <rPr>
        <sz val="9"/>
        <color rgb="FF000000"/>
        <rFont val="Scotia"/>
        <family val="2"/>
      </rPr>
      <t>(3) Refer to non-GAAP measures on page  20 of the Management's Discussion &amp; Analysis in the Bank's 2025 Annual Report, available on http://www.sedarplus.ca for the description of the measure. Refer to Appendix 4 of the Supplementary Financial Information Report for reconciliation.</t>
    </r>
  </si>
  <si>
    <r>
      <rPr>
        <sz val="9"/>
        <color rgb="FF000000"/>
        <rFont val="Scotia"/>
        <family val="2"/>
      </rPr>
      <t>(4) Ratios are on a reported basis.</t>
    </r>
  </si>
  <si>
    <r>
      <rPr>
        <sz val="9"/>
        <color rgb="FF000000"/>
        <rFont val="Scotia"/>
        <family val="2"/>
      </rPr>
      <t>(5) Refer to page 136 of the Management's Discussion &amp; Analysis in the Bank's 2025 Annual Report, available on http://www.sedarplus.ca, for an explanation of the composition of the measure. Such explanation is incorporated by reference hereto.</t>
    </r>
  </si>
  <si>
    <r>
      <rPr>
        <sz val="9"/>
        <color rgb="FF000000"/>
        <rFont val="Scotia"/>
        <family val="2"/>
      </rPr>
      <t>(6) Provision for credit losses on certain financial assets - loans, acceptances and off-balance sheet exposures.</t>
    </r>
  </si>
  <si>
    <r>
      <rPr>
        <sz val="9"/>
        <color rgb="FF000000"/>
        <rFont val="Scotia"/>
        <family val="2"/>
      </rPr>
      <t>(7) Employees are reported on a full-time equivalent basis.</t>
    </r>
  </si>
  <si>
    <r>
      <rPr>
        <b/>
        <sz val="14"/>
        <color rgb="FFFFFFFF"/>
        <rFont val="Scotia"/>
        <family val="2"/>
      </rPr>
      <t>Business Segment Performance: Global Wealth Management</t>
    </r>
  </si>
  <si>
    <r>
      <rPr>
        <b/>
        <sz val="11"/>
        <color rgb="FFFF0000"/>
        <rFont val="Scotia"/>
        <family val="2"/>
      </rPr>
      <t xml:space="preserve">Income Statement — Taxable Equivalent Basis (TEB) — </t>
    </r>
    <r>
      <rPr>
        <i/>
        <sz val="11"/>
        <color rgb="FFFF0000"/>
        <rFont val="Scotia"/>
        <family val="2"/>
      </rPr>
      <t>($ millions)</t>
    </r>
  </si>
  <si>
    <r>
      <rPr>
        <b/>
        <sz val="11"/>
        <color rgb="FF000000"/>
        <rFont val="Scotia"/>
        <family val="2"/>
      </rPr>
      <t xml:space="preserve">Reported NIAEH </t>
    </r>
    <r>
      <rPr>
        <sz val="11"/>
        <color rgb="FF000000"/>
        <rFont val="Scotia"/>
        <family val="2"/>
      </rPr>
      <t>by geography</t>
    </r>
  </si>
  <si>
    <r>
      <rPr>
        <sz val="11"/>
        <color rgb="FF000000"/>
        <rFont val="Scotia"/>
        <family val="2"/>
      </rPr>
      <t>Canada</t>
    </r>
  </si>
  <si>
    <r>
      <rPr>
        <sz val="11"/>
        <color rgb="FF000000"/>
        <rFont val="Scotia"/>
        <family val="2"/>
      </rPr>
      <t>International</t>
    </r>
  </si>
  <si>
    <r>
      <rPr>
        <sz val="11"/>
        <color rgb="FF000000"/>
        <rFont val="Scotia"/>
        <family val="2"/>
      </rPr>
      <t>Wealth Management</t>
    </r>
  </si>
  <si>
    <r>
      <rPr>
        <sz val="11"/>
        <color rgb="FF000000"/>
        <rFont val="Scotia"/>
        <family val="2"/>
      </rPr>
      <t>Pensions</t>
    </r>
  </si>
  <si>
    <r>
      <rPr>
        <b/>
        <sz val="11"/>
        <color rgb="FF000000"/>
        <rFont val="Scotia"/>
        <family val="2"/>
      </rPr>
      <t>Total Reported Net Income Attributable to Equity Holders of the Bank</t>
    </r>
  </si>
  <si>
    <r>
      <rPr>
        <b/>
        <sz val="11"/>
        <color rgb="FF000000"/>
        <rFont val="Scotia"/>
        <family val="2"/>
      </rPr>
      <t>Adjusted net income attributable to NCI⁽¹⁾</t>
    </r>
  </si>
  <si>
    <r>
      <rPr>
        <b/>
        <sz val="11"/>
        <color rgb="FF000000"/>
        <rFont val="Scotia"/>
        <family val="2"/>
      </rPr>
      <t>Adjusted NIAEH⁽¹⁾</t>
    </r>
  </si>
  <si>
    <r>
      <rPr>
        <b/>
        <sz val="11"/>
        <color rgb="FF000000"/>
        <rFont val="Scotia"/>
        <family val="2"/>
      </rPr>
      <t>Adjusted NIAEH</t>
    </r>
    <r>
      <rPr>
        <sz val="11"/>
        <color rgb="FF000000"/>
        <rFont val="Scotia"/>
        <family val="2"/>
      </rPr>
      <t>⁽¹⁾by geography</t>
    </r>
  </si>
  <si>
    <r>
      <rPr>
        <b/>
        <sz val="11"/>
        <color rgb="FF000000"/>
        <rFont val="Scotia"/>
        <family val="2"/>
      </rPr>
      <t>Total Adjusted Net Income Attributable to Equity Holders of the Bank⁽¹⁾</t>
    </r>
  </si>
  <si>
    <r>
      <rPr>
        <b/>
        <sz val="11"/>
        <color rgb="FF000000"/>
        <rFont val="Scotia"/>
        <family val="2"/>
      </rPr>
      <t>Revenue by geography</t>
    </r>
  </si>
  <si>
    <r>
      <rPr>
        <b/>
        <sz val="11"/>
        <color rgb="FF000000"/>
        <rFont val="Scotia"/>
        <family val="2"/>
      </rPr>
      <t>Total Revenue (TEB)</t>
    </r>
  </si>
  <si>
    <r>
      <rPr>
        <b/>
        <sz val="11"/>
        <color rgb="FFFF0000"/>
        <rFont val="Scotia"/>
        <family val="2"/>
      </rPr>
      <t>Average Balance Sheet</t>
    </r>
    <r>
      <rPr>
        <sz val="11"/>
        <color rgb="FFFF0000"/>
        <rFont val="Scotia"/>
        <family val="2"/>
      </rPr>
      <t xml:space="preserve"> </t>
    </r>
    <r>
      <rPr>
        <i/>
        <sz val="11"/>
        <color rgb="FFFF0000"/>
        <rFont val="Scotia"/>
        <family val="2"/>
      </rPr>
      <t>($ billions)</t>
    </r>
  </si>
  <si>
    <r>
      <rPr>
        <b/>
        <sz val="11"/>
        <color rgb="FFFF0000"/>
        <rFont val="Scotia"/>
        <family val="2"/>
      </rPr>
      <t>Period-End Balances</t>
    </r>
    <r>
      <rPr>
        <b/>
        <i/>
        <sz val="11"/>
        <color rgb="FFFF0000"/>
        <rFont val="Scotia"/>
        <family val="2"/>
      </rPr>
      <t xml:space="preserve"> </t>
    </r>
    <r>
      <rPr>
        <i/>
        <sz val="11"/>
        <color rgb="FFFF0000"/>
        <rFont val="Scotia"/>
        <family val="2"/>
      </rPr>
      <t>($ billions)</t>
    </r>
  </si>
  <si>
    <t>Assets under administration by geography⁽³⁾</t>
  </si>
  <si>
    <r>
      <rPr>
        <b/>
        <sz val="11"/>
        <color rgb="FF000000"/>
        <rFont val="Scotia"/>
        <family val="2"/>
      </rPr>
      <t>Total Assets under Administration</t>
    </r>
  </si>
  <si>
    <t>Assets under management by geography⁽³⁾</t>
  </si>
  <si>
    <r>
      <rPr>
        <b/>
        <sz val="11"/>
        <color rgb="FF000000"/>
        <rFont val="Scotia"/>
        <family val="2"/>
      </rPr>
      <t>Total Assets under Management</t>
    </r>
  </si>
  <si>
    <r>
      <rPr>
        <b/>
        <sz val="11"/>
        <color rgb="FF000000"/>
        <rFont val="Scotia"/>
        <family val="2"/>
      </rPr>
      <t>Employees⁽⁴⁾</t>
    </r>
  </si>
  <si>
    <r>
      <rPr>
        <sz val="11"/>
        <color rgb="FF000000"/>
        <rFont val="Scotia"/>
        <family val="2"/>
      </rPr>
      <t>In Canada</t>
    </r>
  </si>
  <si>
    <r>
      <rPr>
        <sz val="11"/>
        <color rgb="FF000000"/>
        <rFont val="Scotia"/>
        <family val="2"/>
      </rPr>
      <t>Outside Canada</t>
    </r>
  </si>
  <si>
    <r>
      <rPr>
        <sz val="11"/>
        <color rgb="FF000000"/>
        <rFont val="Scotia"/>
        <family val="2"/>
      </rPr>
      <t>Total</t>
    </r>
  </si>
  <si>
    <r>
      <rPr>
        <sz val="9"/>
        <color rgb="FF000000"/>
        <rFont val="Scotia"/>
        <family val="2"/>
      </rPr>
      <t>(3) Refer to page 136 of the Management's Discussion &amp; Analysis in the Bank's 2025 Annual Report, available on http://www.sedarplus.ca, for an explanation of the composition of the measure. Such explanation is incorporated by reference hereto.</t>
    </r>
  </si>
  <si>
    <r>
      <rPr>
        <sz val="9"/>
        <color rgb="FF000000"/>
        <rFont val="Scotia"/>
        <family val="2"/>
      </rPr>
      <t>(4) Employees are reported on a full-time equivalent basis.</t>
    </r>
  </si>
  <si>
    <r>
      <rPr>
        <b/>
        <sz val="14"/>
        <color rgb="FFFFFFFF"/>
        <rFont val="Scotia"/>
        <family val="2"/>
      </rPr>
      <t>Business Segment Performance: Global Banking and Markets</t>
    </r>
  </si>
  <si>
    <r>
      <rPr>
        <b/>
        <sz val="11"/>
        <color rgb="FFFF0000"/>
        <rFont val="Scotia"/>
        <family val="2"/>
      </rPr>
      <t>Income Statement — Taxable Equivalent Basis (TEB) — ($ millions)</t>
    </r>
  </si>
  <si>
    <r>
      <rPr>
        <b/>
        <sz val="11"/>
        <color rgb="FF000000"/>
        <rFont val="Scotia"/>
        <family val="2"/>
      </rPr>
      <t>Revenue (TEB) by business</t>
    </r>
  </si>
  <si>
    <r>
      <rPr>
        <sz val="11"/>
        <color rgb="FF000000"/>
        <rFont val="Scotia"/>
        <family val="2"/>
      </rPr>
      <t>Business banking</t>
    </r>
  </si>
  <si>
    <r>
      <rPr>
        <sz val="11"/>
        <color rgb="FF000000"/>
        <rFont val="Scotia"/>
        <family val="2"/>
      </rPr>
      <t>Capital markets</t>
    </r>
  </si>
  <si>
    <r>
      <rPr>
        <b/>
        <sz val="11"/>
        <color rgb="FF000000"/>
        <rFont val="Scotia"/>
        <family val="2"/>
      </rPr>
      <t>Capital markets revenue:</t>
    </r>
  </si>
  <si>
    <r>
      <rPr>
        <sz val="11"/>
        <color rgb="FF000000"/>
        <rFont val="Scotia"/>
        <family val="2"/>
      </rPr>
      <t>Interest rate and credit</t>
    </r>
  </si>
  <si>
    <r>
      <rPr>
        <sz val="11"/>
        <color rgb="FF000000"/>
        <rFont val="Scotia"/>
        <family val="2"/>
      </rPr>
      <t>Equities</t>
    </r>
  </si>
  <si>
    <r>
      <rPr>
        <sz val="11"/>
        <color rgb="FF000000"/>
        <rFont val="Scotia"/>
        <family val="2"/>
      </rPr>
      <t>Commodities</t>
    </r>
  </si>
  <si>
    <r>
      <rPr>
        <sz val="11"/>
        <color rgb="FF000000"/>
        <rFont val="Scotia"/>
        <family val="2"/>
      </rPr>
      <t>Foreign exchange</t>
    </r>
  </si>
  <si>
    <r>
      <rPr>
        <b/>
        <sz val="11"/>
        <color rgb="FF000000"/>
        <rFont val="Scotia"/>
        <family val="2"/>
      </rPr>
      <t>Total capital markets revenue (TEB)</t>
    </r>
  </si>
  <si>
    <r>
      <rPr>
        <sz val="11"/>
        <color rgb="FF000000"/>
        <rFont val="Scotia"/>
        <family val="2"/>
      </rPr>
      <t>Net interest margin⁽¹⁾</t>
    </r>
  </si>
  <si>
    <t>Net write-offs/(recoveries) as a % of average net loans and acceptances⁽²⁾</t>
  </si>
  <si>
    <t>Return on equity (%)⁽¹⁾</t>
  </si>
  <si>
    <t>Provision for credit losses (PCL) as % of average net loans and acceptances⁽²⁾⁽³⁾</t>
  </si>
  <si>
    <t>PCL on impaired loans as % of average net loans and acceptances⁽²⁾⁽³⁾</t>
  </si>
  <si>
    <t>Productivity ratio (%)⁽²⁾</t>
  </si>
  <si>
    <r>
      <rPr>
        <b/>
        <sz val="11"/>
        <color rgb="FFFF0000"/>
        <rFont val="Scotia"/>
        <family val="2"/>
      </rPr>
      <t xml:space="preserve">Average Balance Sheet </t>
    </r>
    <r>
      <rPr>
        <i/>
        <sz val="11"/>
        <color rgb="FFFF0000"/>
        <rFont val="Scotia"/>
        <family val="2"/>
      </rPr>
      <t>($ billions)</t>
    </r>
  </si>
  <si>
    <r>
      <rPr>
        <sz val="11"/>
        <color rgb="FF000000"/>
        <rFont val="Scotia"/>
        <family val="2"/>
      </rPr>
      <t>Securities purchased under resale agreements</t>
    </r>
  </si>
  <si>
    <r>
      <rPr>
        <sz val="11"/>
        <color rgb="FF000000"/>
        <rFont val="Scotia"/>
        <family val="2"/>
      </rPr>
      <t>Trading Assets</t>
    </r>
  </si>
  <si>
    <r>
      <rPr>
        <sz val="11"/>
        <color rgb="FF000000"/>
        <rFont val="Scotia"/>
        <family val="2"/>
      </rPr>
      <t>Securities</t>
    </r>
  </si>
  <si>
    <r>
      <rPr>
        <sz val="11"/>
        <color rgb="FF000000"/>
        <rFont val="Scotia"/>
        <family val="2"/>
      </rPr>
      <t>Loans</t>
    </r>
  </si>
  <si>
    <r>
      <rPr>
        <sz val="11"/>
        <color rgb="FF000000"/>
        <rFont val="Scotia"/>
        <family val="2"/>
      </rPr>
      <t>Total deposits⁽⁴⁾</t>
    </r>
  </si>
  <si>
    <r>
      <rPr>
        <b/>
        <sz val="11"/>
        <color rgb="FF000000"/>
        <rFont val="Scotia"/>
        <family val="2"/>
      </rPr>
      <t>Employees⁽⁵⁾</t>
    </r>
  </si>
  <si>
    <r>
      <rPr>
        <sz val="6"/>
        <color rgb="FF000000"/>
        <rFont val="Scotia"/>
        <family val="2"/>
      </rPr>
      <t>(1) Refer to non-GAAP measures on page 20 of the Management's Discussion &amp; Analysis in the Bank's 2025 Annual Report, available on http://www.sedarplus.ca for the description of the measure. Refer to Appendix 4 of the Supplementary Financial Information Report for reconciliation.</t>
    </r>
  </si>
  <si>
    <r>
      <rPr>
        <sz val="6"/>
        <color rgb="FF000000"/>
        <rFont val="Scotia"/>
        <family val="2"/>
      </rPr>
      <t>(2) Refer to page 136 of the Management's Discussion &amp; Analysis in the Bank's 2025 Annual Report, available on http://www.sedarplus.ca, for an explanation of the composition of the measure. Such explanation is incorporated by reference hereto.</t>
    </r>
  </si>
  <si>
    <r>
      <rPr>
        <sz val="6"/>
        <color rgb="FF000000"/>
        <rFont val="Scotia"/>
        <family val="2"/>
      </rPr>
      <t>(3) Provision for credit losses on certain financial assets - loans, acceptances and off-balance sheet exposures.</t>
    </r>
  </si>
  <si>
    <r>
      <rPr>
        <sz val="6"/>
        <color rgb="FF000000"/>
        <rFont val="Scotia"/>
        <family val="2"/>
      </rPr>
      <t>(4) Commencing Q1 2024, certain treasury-related deposit balances that were previously reported under GBM are now reported in the Other segment of the Bank, reducing GBM deposit volumes by $7.1bn.</t>
    </r>
  </si>
  <si>
    <r>
      <rPr>
        <sz val="6"/>
        <color rgb="FF000000"/>
        <rFont val="Scotia"/>
        <family val="2"/>
      </rPr>
      <t>(5) Employees are reported on a full-time equivalent basis. Effective Q1/25, certain support groups have been transferred to the Other segment. Prior periods have been revised to reflect this change.</t>
    </r>
  </si>
  <si>
    <r>
      <rPr>
        <b/>
        <sz val="14"/>
        <color rgb="FFFFFFFF"/>
        <rFont val="Scotia"/>
        <family val="2"/>
      </rPr>
      <t>Business Segment Performance: Other⁽¹⁾</t>
    </r>
  </si>
  <si>
    <r>
      <rPr>
        <b/>
        <sz val="11"/>
        <color rgb="FFFF0000"/>
        <rFont val="Scotia"/>
        <family val="2"/>
      </rPr>
      <t xml:space="preserve">Income Statement — Taxable Equivalent Basis (TEB) </t>
    </r>
    <r>
      <rPr>
        <sz val="11"/>
        <color rgb="FFFF0000"/>
        <rFont val="Scotia"/>
        <family val="2"/>
      </rPr>
      <t xml:space="preserve">— </t>
    </r>
    <r>
      <rPr>
        <i/>
        <sz val="11"/>
        <color rgb="FFFF0000"/>
        <rFont val="Scotia"/>
        <family val="2"/>
      </rPr>
      <t>($ millions)</t>
    </r>
  </si>
  <si>
    <r>
      <rPr>
        <sz val="11"/>
        <color rgb="FF000000"/>
        <rFont val="Scotia"/>
        <family val="2"/>
      </rPr>
      <t>Net interest income (TEB)⁽²⁾</t>
    </r>
  </si>
  <si>
    <r>
      <rPr>
        <sz val="11"/>
        <color rgb="FF000000"/>
        <rFont val="Scotia"/>
        <family val="2"/>
      </rPr>
      <t>Non-interest income (TEB)⁽²⁾⁽³⁾</t>
    </r>
  </si>
  <si>
    <r>
      <rPr>
        <b/>
        <sz val="11"/>
        <color rgb="FF000000"/>
        <rFont val="Scotia"/>
        <family val="2"/>
      </rPr>
      <t>Total revenue (TEB)⁽²⁾</t>
    </r>
  </si>
  <si>
    <r>
      <rPr>
        <sz val="11"/>
        <color rgb="FF000000"/>
        <rFont val="Scotia"/>
        <family val="2"/>
      </rPr>
      <t>Non-interest expenses⁽³⁾</t>
    </r>
  </si>
  <si>
    <r>
      <rPr>
        <sz val="11"/>
        <color rgb="FF000000"/>
        <rFont val="Scotia"/>
        <family val="2"/>
      </rPr>
      <t>Income tax expense/(recovery) (TEB)⁽²⁾</t>
    </r>
  </si>
  <si>
    <r>
      <rPr>
        <b/>
        <sz val="11"/>
        <color rgb="FF000000"/>
        <rFont val="Scotia"/>
        <family val="2"/>
      </rPr>
      <t>Reported net income / (loss)</t>
    </r>
  </si>
  <si>
    <r>
      <rPr>
        <sz val="11"/>
        <color rgb="FF000000"/>
        <rFont val="Scotia"/>
        <family val="2"/>
      </rPr>
      <t>Adjusting items (before-tax)⁽⁴⁾</t>
    </r>
  </si>
  <si>
    <r>
      <rPr>
        <b/>
        <sz val="11"/>
        <color rgb="FF000000"/>
        <rFont val="Scotia"/>
        <family val="2"/>
      </rPr>
      <t>Adjusted net income before taxes⁽⁴⁾</t>
    </r>
  </si>
  <si>
    <r>
      <rPr>
        <sz val="11"/>
        <color rgb="FF000000"/>
        <rFont val="Scotia"/>
        <family val="2"/>
      </rPr>
      <t>Adjusting items (after-tax)⁽⁴⁾</t>
    </r>
  </si>
  <si>
    <r>
      <rPr>
        <b/>
        <sz val="11"/>
        <color rgb="FF000000"/>
        <rFont val="Scotia"/>
        <family val="2"/>
      </rPr>
      <t>Adjusted net income⁽⁴⁾</t>
    </r>
  </si>
  <si>
    <r>
      <rPr>
        <b/>
        <sz val="11"/>
        <color rgb="FF000000"/>
        <rFont val="Scotia"/>
        <family val="2"/>
      </rPr>
      <t>Reported net income attributable to non-controlling interests</t>
    </r>
  </si>
  <si>
    <r>
      <rPr>
        <b/>
        <sz val="11"/>
        <color rgb="FF000000"/>
        <rFont val="Scotia"/>
        <family val="2"/>
      </rPr>
      <t>Adjusted net income attributable to non-controlling interests⁽⁴⁾</t>
    </r>
  </si>
  <si>
    <r>
      <rPr>
        <b/>
        <sz val="11"/>
        <color rgb="FF000000"/>
        <rFont val="Scotia"/>
        <family val="2"/>
      </rPr>
      <t>Adjusted net income attributable to equity holders of the Bank⁽⁴⁾</t>
    </r>
  </si>
  <si>
    <r>
      <rPr>
        <b/>
        <sz val="11"/>
        <color rgb="FFFF0000"/>
        <rFont val="Scotia"/>
        <family val="2"/>
      </rPr>
      <t xml:space="preserve">Average Balance Sheet </t>
    </r>
    <r>
      <rPr>
        <sz val="11"/>
        <color rgb="FFFF0000"/>
        <rFont val="Scotia"/>
        <family val="2"/>
      </rPr>
      <t>(</t>
    </r>
    <r>
      <rPr>
        <i/>
        <sz val="11"/>
        <color rgb="FFFF0000"/>
        <rFont val="Scotia"/>
        <family val="2"/>
      </rPr>
      <t>$ billions)</t>
    </r>
  </si>
  <si>
    <r>
      <rPr>
        <b/>
        <sz val="11"/>
        <color rgb="FFFF0000"/>
        <rFont val="Scotia"/>
        <family val="2"/>
      </rPr>
      <t xml:space="preserve">Additional Information </t>
    </r>
    <r>
      <rPr>
        <i/>
        <sz val="11"/>
        <color rgb="FFFF0000"/>
        <rFont val="Scotia"/>
        <family val="2"/>
      </rPr>
      <t>($ millions)</t>
    </r>
    <r>
      <rPr>
        <sz val="11"/>
        <color rgb="FFFF0000"/>
        <rFont val="Scotia"/>
        <family val="2"/>
      </rPr>
      <t>⁽²⁾</t>
    </r>
  </si>
  <si>
    <r>
      <rPr>
        <sz val="11"/>
        <color rgb="FF000000"/>
        <rFont val="Scotia"/>
        <family val="2"/>
      </rPr>
      <t>Net interest income TEB adjustment</t>
    </r>
  </si>
  <si>
    <r>
      <rPr>
        <sz val="11"/>
        <color rgb="FF000000"/>
        <rFont val="Scotia"/>
        <family val="2"/>
      </rPr>
      <t>Non-interest income TEB adjustment</t>
    </r>
  </si>
  <si>
    <r>
      <rPr>
        <b/>
        <sz val="11"/>
        <color rgb="FF000000"/>
        <rFont val="Scotia"/>
        <family val="2"/>
      </rPr>
      <t>Total revenue TEB adjustment</t>
    </r>
  </si>
  <si>
    <r>
      <rPr>
        <b/>
        <sz val="11"/>
        <color rgb="FF000000"/>
        <rFont val="Scotia"/>
        <family val="2"/>
      </rPr>
      <t>Income tax expense TEB adjustment</t>
    </r>
  </si>
  <si>
    <r>
      <rPr>
        <sz val="9"/>
        <color rgb="FF000000"/>
        <rFont val="Scotia"/>
        <family val="2"/>
      </rPr>
      <t>(1) Represents smaller operating segments including Group Treasury, certain investments in associated corporations, and smaller operating segments and corporate items which are not allocated to a business line.</t>
    </r>
  </si>
  <si>
    <r>
      <rPr>
        <sz val="9"/>
        <color rgb="FF000000"/>
        <rFont val="Scotia"/>
        <family val="2"/>
      </rPr>
      <t>(2) The Bank analyzes revenues on a taxable equivalent basis (TEB) for the main operating segments. The elimination of the TEB gross-up is recorded in the Other segment.  The results of the Consolidated Bank are presented on a non-TEB basis. Please refer to the MD&amp;A for details of the TEB methodology. Effective January 1, 2024, the Bank no longer claims the dividend received deduction on Canadian shares that are mark-to-market property. This resulted in a lower TEB gross up.</t>
    </r>
  </si>
  <si>
    <r>
      <rPr>
        <sz val="9"/>
        <color rgb="FF000000"/>
        <rFont val="Scotia"/>
        <family val="2"/>
      </rPr>
      <t>(3) Includes elimination of fees paid to Canadian Banking by Canadian Wealth Management for administrative support and other services provided by Canadian Banking to the Global Wealth Management businesses. These are reported as revenues in Canadian Banking and operating expenses in Global Wealth Management.</t>
    </r>
  </si>
  <si>
    <r>
      <rPr>
        <sz val="9"/>
        <color rgb="FF000000"/>
        <rFont val="Scotia"/>
        <family val="2"/>
      </rPr>
      <t xml:space="preserve">(4) Adjustments for non-interest income include net (gain)/loss on divestitures and wind-down of operations of $(45) in Q4 2025, $9 in Q2 2025, $143 in Q3 2024 and $(367) in Q4 2023, and amortization of acquisition-related intangible assets of $9 in Q4 2025, $8 in Q3 2025 and $9 in Q2 2025. Adjustments for non-interest expenses include net (gain)/loss on divestitures and wind-down of operations of $57 in Q4 2025, $(23) in Q3 2025, $26 in Q2 2025, $1,362 in Q1 2025, and $(7) in Q3 2024, restructuring charge and severance provision of $373 in Q4 2025, $53 in Q4 2024, and $354 in Q4 2023, legal provision of $74 in Q4 2025, and $176 in Q3 2024, consolidation of real estate and contract termination costs $87 in Q4 2023, and impairment of non-financial assets of $440 in Q4 2024, and $346 in Q4 2023. Refer to non-GAAP Measures on Notes Pages 1-2 of the Supplementary Financial Information Report for the description of the adjusting items. </t>
    </r>
  </si>
  <si>
    <r>
      <rPr>
        <b/>
        <sz val="14"/>
        <color rgb="FFFFFFFF"/>
        <rFont val="Scotia"/>
        <family val="2"/>
      </rPr>
      <t>Non-Interest Income</t>
    </r>
  </si>
  <si>
    <r>
      <rPr>
        <b/>
        <sz val="11"/>
        <color rgb="FF000000"/>
        <rFont val="Scotia"/>
        <family val="2"/>
      </rPr>
      <t>Card revenues</t>
    </r>
  </si>
  <si>
    <r>
      <rPr>
        <b/>
        <sz val="11"/>
        <color rgb="FF000000"/>
        <rFont val="Scotia"/>
        <family val="2"/>
      </rPr>
      <t>Banking services fees</t>
    </r>
  </si>
  <si>
    <r>
      <rPr>
        <b/>
        <sz val="11"/>
        <color rgb="FF000000"/>
        <rFont val="Scotia"/>
        <family val="2"/>
      </rPr>
      <t>Credit fees</t>
    </r>
  </si>
  <si>
    <r>
      <rPr>
        <b/>
        <sz val="11"/>
        <color rgb="FF000000"/>
        <rFont val="Scotia"/>
        <family val="2"/>
      </rPr>
      <t>Total banking revenues</t>
    </r>
  </si>
  <si>
    <r>
      <rPr>
        <b/>
        <sz val="11"/>
        <color rgb="FF000000"/>
        <rFont val="Scotia"/>
        <family val="2"/>
      </rPr>
      <t>Mutual funds</t>
    </r>
  </si>
  <si>
    <r>
      <rPr>
        <b/>
        <sz val="11"/>
        <color rgb="FF000000"/>
        <rFont val="Scotia"/>
        <family val="2"/>
      </rPr>
      <t>Brokerage fees</t>
    </r>
  </si>
  <si>
    <r>
      <rPr>
        <b/>
        <sz val="11"/>
        <color rgb="FF000000"/>
        <rFont val="Scotia"/>
        <family val="2"/>
      </rPr>
      <t>Investment management and trust</t>
    </r>
  </si>
  <si>
    <r>
      <rPr>
        <sz val="11"/>
        <color rgb="FF000000"/>
        <rFont val="Scotia"/>
        <family val="2"/>
      </rPr>
      <t>Investment management and custody</t>
    </r>
  </si>
  <si>
    <r>
      <rPr>
        <sz val="11"/>
        <color rgb="FF000000"/>
        <rFont val="Scotia"/>
        <family val="2"/>
      </rPr>
      <t>Personal and corporate trust</t>
    </r>
  </si>
  <si>
    <r>
      <rPr>
        <b/>
        <sz val="11"/>
        <color rgb="FF000000"/>
        <rFont val="Scotia"/>
        <family val="2"/>
      </rPr>
      <t>Total investment management and trust</t>
    </r>
  </si>
  <si>
    <r>
      <rPr>
        <b/>
        <sz val="11"/>
        <color rgb="FF000000"/>
        <rFont val="Scotia"/>
        <family val="2"/>
      </rPr>
      <t>Total wealth management revenues</t>
    </r>
  </si>
  <si>
    <r>
      <rPr>
        <b/>
        <sz val="11"/>
        <color rgb="FF000000"/>
        <rFont val="Scotia"/>
        <family val="2"/>
      </rPr>
      <t>Underwriting and advisory fees</t>
    </r>
  </si>
  <si>
    <r>
      <rPr>
        <b/>
        <sz val="11"/>
        <color rgb="FF000000"/>
        <rFont val="Scotia"/>
        <family val="2"/>
      </rPr>
      <t>Non-trading foreign exchange</t>
    </r>
  </si>
  <si>
    <r>
      <rPr>
        <b/>
        <sz val="11"/>
        <color rgb="FF000000"/>
        <rFont val="Scotia"/>
        <family val="2"/>
      </rPr>
      <t>Other fees and commissions</t>
    </r>
  </si>
  <si>
    <r>
      <rPr>
        <b/>
        <sz val="11"/>
        <color rgb="FF000000"/>
        <rFont val="Scotia"/>
        <family val="2"/>
      </rPr>
      <t>Total fee and commission revenues</t>
    </r>
  </si>
  <si>
    <r>
      <rPr>
        <b/>
        <sz val="11"/>
        <color rgb="FF000000"/>
        <rFont val="Scotia"/>
        <family val="2"/>
      </rPr>
      <t>Net income from investments in associated corporations</t>
    </r>
  </si>
  <si>
    <r>
      <rPr>
        <b/>
        <sz val="11"/>
        <color rgb="FF000000"/>
        <rFont val="Scotia"/>
        <family val="2"/>
      </rPr>
      <t>Other operating income</t>
    </r>
  </si>
  <si>
    <r>
      <rPr>
        <sz val="11"/>
        <color rgb="FF000000"/>
        <rFont val="Scotia"/>
        <family val="2"/>
      </rPr>
      <t>Trading revenues</t>
    </r>
  </si>
  <si>
    <r>
      <rPr>
        <sz val="11"/>
        <color rgb="FF000000"/>
        <rFont val="Scotia"/>
        <family val="2"/>
      </rPr>
      <t>Net gain on sale of investment securities</t>
    </r>
  </si>
  <si>
    <r>
      <rPr>
        <sz val="11"/>
        <color rgb="FF000000"/>
        <rFont val="Scotia"/>
        <family val="2"/>
      </rPr>
      <t>Insurance service results</t>
    </r>
  </si>
  <si>
    <r>
      <rPr>
        <sz val="11"/>
        <color rgb="FF000000"/>
        <rFont val="Scotia"/>
        <family val="2"/>
      </rPr>
      <t>Other</t>
    </r>
  </si>
  <si>
    <r>
      <rPr>
        <sz val="11"/>
        <color rgb="FF000000"/>
        <rFont val="Scotia"/>
        <family val="2"/>
      </rPr>
      <t>Total other operating income</t>
    </r>
  </si>
  <si>
    <r>
      <rPr>
        <b/>
        <sz val="11"/>
        <color rgb="FF000000"/>
        <rFont val="Scotia"/>
        <family val="2"/>
      </rPr>
      <t>Total non-interest income (reported)</t>
    </r>
  </si>
  <si>
    <r>
      <rPr>
        <b/>
        <sz val="11"/>
        <color rgb="FF000000"/>
        <rFont val="Scotia"/>
        <family val="2"/>
      </rPr>
      <t>Adjusting items⁽¹⁾</t>
    </r>
  </si>
  <si>
    <r>
      <rPr>
        <sz val="11"/>
        <color rgb="FF000000"/>
        <rFont val="Scotia"/>
        <family val="2"/>
      </rPr>
      <t>Divestitures and wind-down of operations⁽²⁾</t>
    </r>
  </si>
  <si>
    <r>
      <rPr>
        <sz val="11"/>
        <color rgb="FF000000"/>
        <rFont val="Scotia"/>
        <family val="2"/>
      </rPr>
      <t>Amortization of acquisition-related Intangible assets⁽³⁾</t>
    </r>
  </si>
  <si>
    <r>
      <rPr>
        <b/>
        <sz val="11"/>
        <color rgb="FF000000"/>
        <rFont val="Scotia"/>
        <family val="2"/>
      </rPr>
      <t>Total non-interest income (adjusted)⁽¹⁾</t>
    </r>
  </si>
  <si>
    <r>
      <rPr>
        <sz val="7"/>
        <color rgb="FF000000"/>
        <rFont val="Scotia"/>
        <family val="2"/>
      </rPr>
      <t>(2) Recorded in Other - Other Operating Income above.</t>
    </r>
  </si>
  <si>
    <r>
      <rPr>
        <sz val="7"/>
        <color rgb="FF000000"/>
        <rFont val="Scotia"/>
        <family val="2"/>
      </rPr>
      <t>(3) Recorded in net income from investments in associated corporations above, relates to the Bank’s investment in KeyCorp.</t>
    </r>
  </si>
  <si>
    <r>
      <rPr>
        <b/>
        <sz val="14"/>
        <color rgb="FFFFFFFF"/>
        <rFont val="Scotia"/>
        <family val="2"/>
      </rPr>
      <t>Revenue from Trading-Related Activities and Assets Under Administration and Management</t>
    </r>
  </si>
  <si>
    <r>
      <rPr>
        <b/>
        <sz val="11"/>
        <color rgb="FFFF0000"/>
        <rFont val="Scotia"/>
        <family val="2"/>
      </rPr>
      <t>Trading-related revenue (TEB)⁽¹⁾⁽²⁾</t>
    </r>
  </si>
  <si>
    <r>
      <rPr>
        <sz val="11"/>
        <color rgb="FF000000"/>
        <rFont val="Scotia"/>
        <family val="2"/>
      </rPr>
      <t>Net interest income</t>
    </r>
  </si>
  <si>
    <r>
      <rPr>
        <sz val="11"/>
        <color rgb="FF000000"/>
        <rFont val="Scotia"/>
        <family val="2"/>
      </rPr>
      <t>Other fees and commission</t>
    </r>
  </si>
  <si>
    <r>
      <rPr>
        <sz val="11"/>
        <color rgb="FF000000"/>
        <rFont val="Scotia"/>
        <family val="2"/>
      </rPr>
      <t>Total non-interest income</t>
    </r>
  </si>
  <si>
    <r>
      <rPr>
        <b/>
        <sz val="11"/>
        <color rgb="FF000000"/>
        <rFont val="Scotia"/>
        <family val="2"/>
      </rPr>
      <t>Total — Trading-related revenue⁽²⁾</t>
    </r>
  </si>
  <si>
    <r>
      <rPr>
        <b/>
        <sz val="11"/>
        <color rgb="FF000000"/>
        <rFont val="Scotia"/>
        <family val="2"/>
      </rPr>
      <t>Trading-related revenue by product (TEB)⁽²⁾</t>
    </r>
  </si>
  <si>
    <r>
      <rPr>
        <sz val="11"/>
        <color rgb="FF000000"/>
        <rFont val="Scotia"/>
        <family val="2"/>
      </rPr>
      <t>Foreign exchange and Other⁽³⁾</t>
    </r>
  </si>
  <si>
    <r>
      <rPr>
        <sz val="11"/>
        <color rgb="FF000000"/>
        <rFont val="Scotia"/>
        <family val="2"/>
      </rPr>
      <t>Taxable equivalent adjustment⁽⁴⁾</t>
    </r>
  </si>
  <si>
    <r>
      <rPr>
        <b/>
        <sz val="11"/>
        <color rgb="FF000000"/>
        <rFont val="Scotia"/>
        <family val="2"/>
      </rPr>
      <t>Total trading-related revenue by product (Non-TEB)</t>
    </r>
  </si>
  <si>
    <r>
      <rPr>
        <b/>
        <sz val="11"/>
        <color rgb="FFFF0000"/>
        <rFont val="Scotia"/>
        <family val="2"/>
      </rPr>
      <t>Assets under administration (</t>
    </r>
    <r>
      <rPr>
        <i/>
        <sz val="11"/>
        <color rgb="FFFF0000"/>
        <rFont val="Scotia"/>
        <family val="2"/>
      </rPr>
      <t>$ billions</t>
    </r>
    <r>
      <rPr>
        <b/>
        <sz val="11"/>
        <color rgb="FFFF0000"/>
        <rFont val="Scotia"/>
        <family val="2"/>
      </rPr>
      <t>)⁽⁵⁾</t>
    </r>
  </si>
  <si>
    <r>
      <rPr>
        <sz val="11"/>
        <color rgb="FF000000"/>
        <rFont val="Scotia"/>
        <family val="2"/>
      </rPr>
      <t>Retail brokerage</t>
    </r>
  </si>
  <si>
    <r>
      <rPr>
        <sz val="11"/>
        <color rgb="FF000000"/>
        <rFont val="Scotia"/>
        <family val="2"/>
      </rPr>
      <t>Investment management and trust</t>
    </r>
  </si>
  <si>
    <r>
      <rPr>
        <sz val="11"/>
        <color rgb="FF000000"/>
        <rFont val="Scotia"/>
        <family val="2"/>
      </rPr>
      <t>Personal</t>
    </r>
  </si>
  <si>
    <r>
      <rPr>
        <sz val="11"/>
        <color rgb="FF000000"/>
        <rFont val="Scotia"/>
        <family val="2"/>
      </rPr>
      <t>Mutual funds</t>
    </r>
  </si>
  <si>
    <r>
      <rPr>
        <sz val="11"/>
        <color rgb="FF000000"/>
        <rFont val="Scotia"/>
        <family val="2"/>
      </rPr>
      <t>Institutional</t>
    </r>
  </si>
  <si>
    <r>
      <rPr>
        <b/>
        <sz val="11"/>
        <color rgb="FF000000"/>
        <rFont val="Scotia"/>
        <family val="2"/>
      </rPr>
      <t>Total</t>
    </r>
  </si>
  <si>
    <r>
      <rPr>
        <b/>
        <sz val="11"/>
        <color rgb="FFFF0000"/>
        <rFont val="Scotia"/>
        <family val="2"/>
      </rPr>
      <t>Assets under management (</t>
    </r>
    <r>
      <rPr>
        <i/>
        <sz val="11"/>
        <color rgb="FFFF0000"/>
        <rFont val="Scotia"/>
        <family val="2"/>
      </rPr>
      <t>$ billions</t>
    </r>
    <r>
      <rPr>
        <b/>
        <sz val="11"/>
        <color rgb="FFFF0000"/>
        <rFont val="Scotia"/>
        <family val="2"/>
      </rPr>
      <t>)⁽⁵⁾</t>
    </r>
  </si>
  <si>
    <r>
      <rPr>
        <sz val="7"/>
        <color rgb="FF000000"/>
        <rFont val="Scotia"/>
        <family val="2"/>
      </rPr>
      <t>(1) Trading-related revenue consists of net interest income and non-interest income. Included are unrealized gains and losses on security positions held, realized gains and losses from the purchase and sale of securities, fees and commissions from securities borrowing and lending activities, and gains and losses on trading derivatives. Underwriting and advisory fees, which are shown separately in the consolidated statement of income, are excluded.</t>
    </r>
  </si>
  <si>
    <r>
      <rPr>
        <sz val="7"/>
        <color rgb="FF000000"/>
        <rFont val="Scotia"/>
        <family val="2"/>
      </rPr>
      <t xml:space="preserve">(2) Refer to non-GAAP measures on page 20 of the Management's Discussion &amp; Analysis in the Bank's 2025 Annual Report, available on http://www.sedarplus.ca for the description of the measure. </t>
    </r>
  </si>
  <si>
    <r>
      <rPr>
        <sz val="7"/>
        <color rgb="FF000000"/>
        <rFont val="Scotia"/>
        <family val="2"/>
      </rPr>
      <t>(3) Foreign exchange and Other includes trading-related revenues from foreign exchange, commodities and other trading activities of the Bank.</t>
    </r>
  </si>
  <si>
    <r>
      <rPr>
        <sz val="7"/>
        <color rgb="FF000000"/>
        <rFont val="Scotia"/>
        <family val="2"/>
      </rPr>
      <t>(4) Effective January 1, 2024, the Bank no longer claims the dividend received deduction on Canadian shares that are mark-to-market property. This resulted in a lower TEB gross up.</t>
    </r>
  </si>
  <si>
    <r>
      <rPr>
        <sz val="7"/>
        <color rgb="FF000000"/>
        <rFont val="Scotia"/>
        <family val="2"/>
      </rPr>
      <t>(5) Refer to page 136 of the Management's Discussion &amp; Analysis in the Bank's 2025 Annual Report, available on http://www.sedarplus.ca, for an explanation of the composition of the measure. Such explanation is incorporated by reference hereto.</t>
    </r>
  </si>
  <si>
    <r>
      <rPr>
        <b/>
        <sz val="14"/>
        <color rgb="FFFFFFFF"/>
        <rFont val="Scotia"/>
        <family val="2"/>
      </rPr>
      <t>Operating Expenses</t>
    </r>
  </si>
  <si>
    <r>
      <rPr>
        <b/>
        <sz val="11"/>
        <color rgb="FF000000"/>
        <rFont val="Scotia"/>
        <family val="2"/>
      </rPr>
      <t>Salaries and employee benefits</t>
    </r>
  </si>
  <si>
    <r>
      <rPr>
        <sz val="11"/>
        <color rgb="FF000000"/>
        <rFont val="Scotia"/>
        <family val="2"/>
      </rPr>
      <t>Salaries</t>
    </r>
  </si>
  <si>
    <r>
      <rPr>
        <sz val="11"/>
        <color rgb="FF000000"/>
        <rFont val="Scotia"/>
        <family val="2"/>
      </rPr>
      <t>Performance-based compensation</t>
    </r>
  </si>
  <si>
    <r>
      <rPr>
        <sz val="11"/>
        <color rgb="FF000000"/>
        <rFont val="Scotia"/>
        <family val="2"/>
      </rPr>
      <t>Share-based payment</t>
    </r>
  </si>
  <si>
    <r>
      <rPr>
        <sz val="11"/>
        <color rgb="FF000000"/>
        <rFont val="Scotia"/>
        <family val="2"/>
      </rPr>
      <t>Other employee benefits</t>
    </r>
  </si>
  <si>
    <r>
      <rPr>
        <b/>
        <sz val="11"/>
        <color rgb="FF000000"/>
        <rFont val="Scotia"/>
        <family val="2"/>
      </rPr>
      <t>Total salaries and employee benefits⁽¹⁾⁽²⁾</t>
    </r>
  </si>
  <si>
    <r>
      <rPr>
        <b/>
        <sz val="11"/>
        <color rgb="FF000000"/>
        <rFont val="Scotia"/>
        <family val="2"/>
      </rPr>
      <t>Premises</t>
    </r>
  </si>
  <si>
    <r>
      <rPr>
        <sz val="11"/>
        <color rgb="FF000000"/>
        <rFont val="Scotia"/>
        <family val="2"/>
      </rPr>
      <t>Rent</t>
    </r>
  </si>
  <si>
    <r>
      <rPr>
        <sz val="11"/>
        <color rgb="FF000000"/>
        <rFont val="Scotia"/>
        <family val="2"/>
      </rPr>
      <t>Property taxes</t>
    </r>
  </si>
  <si>
    <r>
      <rPr>
        <sz val="11"/>
        <color rgb="FF000000"/>
        <rFont val="Scotia"/>
        <family val="2"/>
      </rPr>
      <t>Other premises costs</t>
    </r>
  </si>
  <si>
    <r>
      <rPr>
        <b/>
        <sz val="11"/>
        <color rgb="FF000000"/>
        <rFont val="Scotia"/>
        <family val="2"/>
      </rPr>
      <t>Total premises</t>
    </r>
  </si>
  <si>
    <r>
      <rPr>
        <b/>
        <sz val="11"/>
        <color rgb="FF000000"/>
        <rFont val="Scotia"/>
        <family val="2"/>
      </rPr>
      <t>Technology</t>
    </r>
  </si>
  <si>
    <r>
      <rPr>
        <b/>
        <sz val="11"/>
        <color rgb="FF000000"/>
        <rFont val="Scotia"/>
        <family val="2"/>
      </rPr>
      <t>Depreciation</t>
    </r>
  </si>
  <si>
    <r>
      <rPr>
        <b/>
        <sz val="11"/>
        <color rgb="FF000000"/>
        <rFont val="Scotia"/>
        <family val="2"/>
      </rPr>
      <t>Amortization</t>
    </r>
  </si>
  <si>
    <r>
      <rPr>
        <sz val="11"/>
        <color rgb="FF000000"/>
        <rFont val="Scotia"/>
        <family val="2"/>
      </rPr>
      <t>Amortization of software intangibles</t>
    </r>
  </si>
  <si>
    <r>
      <rPr>
        <sz val="11"/>
        <color rgb="FF000000"/>
        <rFont val="Scotia"/>
        <family val="2"/>
      </rPr>
      <t>Amortization of intangibles</t>
    </r>
  </si>
  <si>
    <r>
      <rPr>
        <b/>
        <sz val="11"/>
        <color rgb="FF000000"/>
        <rFont val="Scotia"/>
        <family val="2"/>
      </rPr>
      <t>Total amortization⁽³⁾⁽⁴⁾</t>
    </r>
  </si>
  <si>
    <r>
      <rPr>
        <b/>
        <sz val="11"/>
        <color rgb="FF000000"/>
        <rFont val="Scotia"/>
        <family val="2"/>
      </rPr>
      <t>Communications</t>
    </r>
  </si>
  <si>
    <r>
      <rPr>
        <b/>
        <sz val="11"/>
        <color rgb="FF000000"/>
        <rFont val="Scotia"/>
        <family val="2"/>
      </rPr>
      <t>Advertising and business development</t>
    </r>
  </si>
  <si>
    <r>
      <rPr>
        <b/>
        <sz val="11"/>
        <color rgb="FF000000"/>
        <rFont val="Scotia"/>
        <family val="2"/>
      </rPr>
      <t>Professional⁽²⁾</t>
    </r>
  </si>
  <si>
    <r>
      <rPr>
        <b/>
        <sz val="11"/>
        <color rgb="FF000000"/>
        <rFont val="Scotia"/>
        <family val="2"/>
      </rPr>
      <t>Business and capital taxes</t>
    </r>
  </si>
  <si>
    <r>
      <rPr>
        <sz val="11"/>
        <color rgb="FF000000"/>
        <rFont val="Scotia"/>
        <family val="2"/>
      </rPr>
      <t>Business taxes</t>
    </r>
  </si>
  <si>
    <r>
      <rPr>
        <sz val="11"/>
        <color rgb="FF000000"/>
        <rFont val="Scotia"/>
        <family val="2"/>
      </rPr>
      <t>Capital taxes</t>
    </r>
  </si>
  <si>
    <r>
      <rPr>
        <b/>
        <sz val="11"/>
        <color rgb="FF000000"/>
        <rFont val="Scotia"/>
        <family val="2"/>
      </rPr>
      <t>Total business and capital taxes</t>
    </r>
  </si>
  <si>
    <r>
      <rPr>
        <b/>
        <sz val="11"/>
        <color rgb="FF000000"/>
        <rFont val="Scotia"/>
        <family val="2"/>
      </rPr>
      <t>Other⁽¹⁾⁽²⁾⁽⁴⁾⁽⁵⁾</t>
    </r>
  </si>
  <si>
    <r>
      <rPr>
        <b/>
        <sz val="11"/>
        <color rgb="FF000000"/>
        <rFont val="Scotia"/>
        <family val="2"/>
      </rPr>
      <t>Total operating expenses</t>
    </r>
  </si>
  <si>
    <r>
      <rPr>
        <b/>
        <sz val="11"/>
        <color rgb="FF000000"/>
        <rFont val="Scotia"/>
        <family val="2"/>
      </rPr>
      <t>Adjusting items⁽⁶⁾</t>
    </r>
  </si>
  <si>
    <r>
      <rPr>
        <sz val="11"/>
        <color rgb="FF000000"/>
        <rFont val="Scotia"/>
        <family val="2"/>
      </rPr>
      <t>Divestitures and wind-down of operations</t>
    </r>
  </si>
  <si>
    <r>
      <rPr>
        <sz val="11"/>
        <color rgb="FF000000"/>
        <rFont val="Scotia"/>
        <family val="2"/>
      </rPr>
      <t>Amortization of acquisition-related intangible assets</t>
    </r>
  </si>
  <si>
    <r>
      <rPr>
        <sz val="11"/>
        <color rgb="FF000000"/>
        <rFont val="Scotia"/>
        <family val="2"/>
      </rPr>
      <t>Legal provision</t>
    </r>
  </si>
  <si>
    <r>
      <rPr>
        <sz val="11"/>
        <color rgb="FF000000"/>
        <rFont val="Scotia"/>
        <family val="2"/>
      </rPr>
      <t>Restructuring charge and severance provisions</t>
    </r>
  </si>
  <si>
    <r>
      <rPr>
        <sz val="11"/>
        <color rgb="FF000000"/>
        <rFont val="Scotia"/>
        <family val="2"/>
      </rPr>
      <t>Consolidation of real estate and contract termination costs</t>
    </r>
  </si>
  <si>
    <r>
      <rPr>
        <sz val="11"/>
        <color rgb="FF000000"/>
        <rFont val="Scotia"/>
        <family val="2"/>
      </rPr>
      <t>Impairment of non-financial assets</t>
    </r>
  </si>
  <si>
    <r>
      <rPr>
        <b/>
        <sz val="11"/>
        <color rgb="FF000000"/>
        <rFont val="Scotia"/>
        <family val="2"/>
      </rPr>
      <t>Total adjusting items</t>
    </r>
  </si>
  <si>
    <r>
      <rPr>
        <b/>
        <sz val="11"/>
        <color rgb="FF000000"/>
        <rFont val="Scotia"/>
        <family val="2"/>
      </rPr>
      <t>Adjusted operating expenses⁽⁶⁾</t>
    </r>
  </si>
  <si>
    <r>
      <rPr>
        <sz val="9"/>
        <color rgb="FF000000"/>
        <rFont val="Scotia"/>
        <family val="2"/>
      </rPr>
      <t>(1) Refer to adjusting item divestiture and wind-down of operations.</t>
    </r>
  </si>
  <si>
    <r>
      <rPr>
        <sz val="9"/>
        <color rgb="FF000000"/>
        <rFont val="Scotia"/>
        <family val="2"/>
      </rPr>
      <t xml:space="preserve">(2) Refer to adjusting item restructuring charge and severance provisions. </t>
    </r>
  </si>
  <si>
    <r>
      <rPr>
        <sz val="9"/>
        <color rgb="FF000000"/>
        <rFont val="Scotia"/>
        <family val="2"/>
      </rPr>
      <t xml:space="preserve">(3) Refer to adjusting item amortization of acquisition-related intangible asset. </t>
    </r>
  </si>
  <si>
    <r>
      <rPr>
        <sz val="9"/>
        <color rgb="FF000000"/>
        <rFont val="Scotia"/>
        <family val="2"/>
      </rPr>
      <t>(4) Refer to adjusting items consolidation of real estate and contract termination costs, and impairment of non-financial assets.</t>
    </r>
  </si>
  <si>
    <r>
      <rPr>
        <sz val="9"/>
        <color rgb="FF000000"/>
        <rFont val="Scotia"/>
        <family val="2"/>
      </rPr>
      <t>(5) Refer to adjusting items legal provision.</t>
    </r>
  </si>
  <si>
    <r>
      <rPr>
        <sz val="9"/>
        <color rgb="FF000000"/>
        <rFont val="Scotia"/>
        <family val="2"/>
      </rPr>
      <t>(6) Refer to non-GAAP Measures on Notes Pages 1-2 of the Supplementary Financial Information Report for the description of the adjusting items. Refer to Appendix 4 of the Supplementary Financial Information Report for reconciliation.</t>
    </r>
  </si>
  <si>
    <r>
      <rPr>
        <b/>
        <sz val="14"/>
        <color rgb="FFFFFFFF"/>
        <rFont val="Scotia"/>
        <family val="2"/>
      </rPr>
      <t>Consolidated Statement of Financial Position  — Assets  (Spot Balances)</t>
    </r>
  </si>
  <si>
    <r>
      <rPr>
        <i/>
        <sz val="11"/>
        <color rgb="FFFF0000"/>
        <rFont val="Scotia"/>
        <family val="2"/>
      </rPr>
      <t>($ millions)</t>
    </r>
  </si>
  <si>
    <r>
      <rPr>
        <b/>
        <sz val="11"/>
        <color rgb="FFFF0000"/>
        <rFont val="Scotia"/>
        <family val="2"/>
      </rPr>
      <t>Assets</t>
    </r>
  </si>
  <si>
    <r>
      <rPr>
        <b/>
        <sz val="11"/>
        <color rgb="FF000000"/>
        <rFont val="Scotia"/>
        <family val="2"/>
      </rPr>
      <t>Cash and deposits with financial institutions</t>
    </r>
  </si>
  <si>
    <r>
      <rPr>
        <b/>
        <sz val="11"/>
        <color rgb="FF000000"/>
        <rFont val="Scotia"/>
        <family val="2"/>
      </rPr>
      <t>Precious metals</t>
    </r>
  </si>
  <si>
    <r>
      <rPr>
        <b/>
        <sz val="11"/>
        <color rgb="FF000000"/>
        <rFont val="Scotia"/>
        <family val="2"/>
      </rPr>
      <t>Trading assets</t>
    </r>
  </si>
  <si>
    <r>
      <rPr>
        <sz val="11"/>
        <color rgb="FF000000"/>
        <rFont val="Scotia"/>
        <family val="2"/>
      </rPr>
      <t>Total trading assets</t>
    </r>
  </si>
  <si>
    <r>
      <rPr>
        <b/>
        <sz val="11"/>
        <color rgb="FF000000"/>
        <rFont val="Scotia"/>
        <family val="2"/>
      </rPr>
      <t>Securities purchased under resale agreements and securities borrowed</t>
    </r>
  </si>
  <si>
    <r>
      <rPr>
        <b/>
        <sz val="11"/>
        <color rgb="FF000000"/>
        <rFont val="Scotia"/>
        <family val="2"/>
      </rPr>
      <t>Derivative financial instruments</t>
    </r>
  </si>
  <si>
    <r>
      <rPr>
        <b/>
        <sz val="11"/>
        <color rgb="FF000000"/>
        <rFont val="Scotia"/>
        <family val="2"/>
      </rPr>
      <t>Investment securities</t>
    </r>
  </si>
  <si>
    <r>
      <rPr>
        <b/>
        <sz val="11"/>
        <color rgb="FF000000"/>
        <rFont val="Scotia"/>
        <family val="2"/>
      </rPr>
      <t>Loans to customers</t>
    </r>
  </si>
  <si>
    <r>
      <rPr>
        <sz val="11"/>
        <color rgb="FF000000"/>
        <rFont val="Scotia"/>
        <family val="2"/>
      </rPr>
      <t>Business and government</t>
    </r>
  </si>
  <si>
    <r>
      <rPr>
        <sz val="11"/>
        <color rgb="FF000000"/>
        <rFont val="Scotia"/>
        <family val="2"/>
      </rPr>
      <t>Sub-total</t>
    </r>
  </si>
  <si>
    <r>
      <rPr>
        <sz val="11"/>
        <color rgb="FF000000"/>
        <rFont val="Scotia"/>
        <family val="2"/>
      </rPr>
      <t>Allowance for credit losses</t>
    </r>
  </si>
  <si>
    <r>
      <rPr>
        <sz val="11"/>
        <color rgb="FF000000"/>
        <rFont val="Scotia"/>
        <family val="2"/>
      </rPr>
      <t>Total net loans</t>
    </r>
  </si>
  <si>
    <r>
      <rPr>
        <b/>
        <sz val="11"/>
        <color rgb="FF000000"/>
        <rFont val="Scotia"/>
        <family val="2"/>
      </rPr>
      <t>Other</t>
    </r>
  </si>
  <si>
    <r>
      <rPr>
        <sz val="11"/>
        <color rgb="FF000000"/>
        <rFont val="Scotia"/>
        <family val="2"/>
      </rPr>
      <t>Customers' liability under acceptances, net of allowance</t>
    </r>
  </si>
  <si>
    <r>
      <rPr>
        <sz val="11"/>
        <color rgb="FF000000"/>
        <rFont val="Scotia"/>
        <family val="2"/>
      </rPr>
      <t>Current tax assets</t>
    </r>
  </si>
  <si>
    <r>
      <rPr>
        <sz val="11"/>
        <color rgb="FF000000"/>
        <rFont val="Scotia"/>
        <family val="2"/>
      </rPr>
      <t>Investment property</t>
    </r>
  </si>
  <si>
    <r>
      <rPr>
        <sz val="11"/>
        <color rgb="FF000000"/>
        <rFont val="Scotia"/>
        <family val="2"/>
      </rPr>
      <t>Land, buildings and equipment</t>
    </r>
  </si>
  <si>
    <r>
      <rPr>
        <sz val="11"/>
        <color rgb="FF000000"/>
        <rFont val="Scotia"/>
        <family val="2"/>
      </rPr>
      <t>Investments in associates</t>
    </r>
  </si>
  <si>
    <r>
      <rPr>
        <sz val="11"/>
        <color rgb="FF000000"/>
        <rFont val="Scotia"/>
        <family val="2"/>
      </rPr>
      <t>Goodwill and other intangible assets</t>
    </r>
  </si>
  <si>
    <r>
      <rPr>
        <sz val="11"/>
        <color rgb="FF000000"/>
        <rFont val="Scotia"/>
        <family val="2"/>
      </rPr>
      <t>Deferred tax assets</t>
    </r>
  </si>
  <si>
    <r>
      <rPr>
        <sz val="11"/>
        <color rgb="FF000000"/>
        <rFont val="Scotia"/>
        <family val="2"/>
      </rPr>
      <t>Total other assets</t>
    </r>
  </si>
  <si>
    <r>
      <rPr>
        <b/>
        <sz val="11"/>
        <color rgb="FF000000"/>
        <rFont val="Scotia"/>
        <family val="2"/>
      </rPr>
      <t>Total Assets</t>
    </r>
  </si>
  <si>
    <r>
      <rPr>
        <b/>
        <sz val="14"/>
        <color rgb="FFFFFFFF"/>
        <rFont val="Scotia"/>
        <family val="2"/>
      </rPr>
      <t>Consolidated Statement of Financial Position  — Liabilities and Equity (Spot Balances)</t>
    </r>
  </si>
  <si>
    <r>
      <rPr>
        <b/>
        <sz val="11"/>
        <color rgb="FFFF0000"/>
        <rFont val="Scotia"/>
        <family val="2"/>
      </rPr>
      <t>Liabilities</t>
    </r>
  </si>
  <si>
    <r>
      <rPr>
        <sz val="11"/>
        <color rgb="FF000000"/>
        <rFont val="Scotia"/>
        <family val="2"/>
      </rPr>
      <t>Financial institutions</t>
    </r>
  </si>
  <si>
    <r>
      <rPr>
        <sz val="11"/>
        <color rgb="FF000000"/>
        <rFont val="Scotia"/>
        <family val="2"/>
      </rPr>
      <t>Total deposits</t>
    </r>
  </si>
  <si>
    <r>
      <rPr>
        <sz val="11"/>
        <color rgb="FF000000"/>
        <rFont val="Scotia"/>
        <family val="2"/>
      </rPr>
      <t>Financial instruments designated at fair value through profit or loss</t>
    </r>
  </si>
  <si>
    <r>
      <rPr>
        <sz val="11"/>
        <color rgb="FF000000"/>
        <rFont val="Scotia"/>
        <family val="2"/>
      </rPr>
      <t>Acceptances</t>
    </r>
  </si>
  <si>
    <r>
      <rPr>
        <sz val="11"/>
        <color rgb="FF000000"/>
        <rFont val="Scotia"/>
        <family val="2"/>
      </rPr>
      <t>Obligations related to securities sold short</t>
    </r>
  </si>
  <si>
    <r>
      <rPr>
        <sz val="11"/>
        <color rgb="FF000000"/>
        <rFont val="Scotia"/>
        <family val="2"/>
      </rPr>
      <t>Derivative financial instruments</t>
    </r>
  </si>
  <si>
    <r>
      <rPr>
        <sz val="11"/>
        <color rgb="FF000000"/>
        <rFont val="Scotia"/>
        <family val="2"/>
      </rPr>
      <t>Obligations related to securities sold under repurchase agreements and securities lent</t>
    </r>
  </si>
  <si>
    <r>
      <rPr>
        <sz val="11"/>
        <color rgb="FF000000"/>
        <rFont val="Scotia"/>
        <family val="2"/>
      </rPr>
      <t>Current tax liabilities</t>
    </r>
  </si>
  <si>
    <r>
      <rPr>
        <sz val="11"/>
        <color rgb="FF000000"/>
        <rFont val="Scotia"/>
        <family val="2"/>
      </rPr>
      <t>Subordinated debentures</t>
    </r>
  </si>
  <si>
    <r>
      <rPr>
        <sz val="11"/>
        <color rgb="FF000000"/>
        <rFont val="Scotia"/>
        <family val="2"/>
      </rPr>
      <t>Provisions for off-balance sheet credit risks and other</t>
    </r>
  </si>
  <si>
    <r>
      <rPr>
        <sz val="11"/>
        <color rgb="FF000000"/>
        <rFont val="Scotia"/>
        <family val="2"/>
      </rPr>
      <t>Deferred tax liabilities</t>
    </r>
  </si>
  <si>
    <r>
      <rPr>
        <sz val="11"/>
        <color rgb="FF000000"/>
        <rFont val="Scotia"/>
        <family val="2"/>
      </rPr>
      <t>Total other liabilities</t>
    </r>
  </si>
  <si>
    <r>
      <rPr>
        <b/>
        <sz val="11"/>
        <color rgb="FF000000"/>
        <rFont val="Scotia"/>
        <family val="2"/>
      </rPr>
      <t>Total Liabilities</t>
    </r>
  </si>
  <si>
    <r>
      <rPr>
        <b/>
        <sz val="11"/>
        <color rgb="FFFF0000"/>
        <rFont val="Scotia"/>
        <family val="2"/>
      </rPr>
      <t>Equity</t>
    </r>
  </si>
  <si>
    <r>
      <rPr>
        <b/>
        <sz val="11"/>
        <color rgb="FF000000"/>
        <rFont val="Scotia"/>
        <family val="2"/>
      </rPr>
      <t>Common equity</t>
    </r>
  </si>
  <si>
    <r>
      <rPr>
        <sz val="11"/>
        <color rgb="FF000000"/>
        <rFont val="Scotia"/>
        <family val="2"/>
      </rPr>
      <t>Common shares</t>
    </r>
  </si>
  <si>
    <r>
      <rPr>
        <sz val="11"/>
        <color rgb="FF000000"/>
        <rFont val="Scotia"/>
        <family val="2"/>
      </rPr>
      <t>Retained earnings</t>
    </r>
  </si>
  <si>
    <r>
      <rPr>
        <sz val="11"/>
        <color rgb="FF000000"/>
        <rFont val="Scotia"/>
        <family val="2"/>
      </rPr>
      <t>Accumulated other comprehensive income</t>
    </r>
  </si>
  <si>
    <r>
      <rPr>
        <sz val="11"/>
        <color rgb="FF000000"/>
        <rFont val="Scotia"/>
        <family val="2"/>
      </rPr>
      <t>Other reserves</t>
    </r>
  </si>
  <si>
    <r>
      <rPr>
        <sz val="11"/>
        <color rgb="FF000000"/>
        <rFont val="Scotia"/>
        <family val="2"/>
      </rPr>
      <t>Total common equity</t>
    </r>
  </si>
  <si>
    <r>
      <rPr>
        <sz val="11"/>
        <color rgb="FF000000"/>
        <rFont val="Scotia"/>
        <family val="2"/>
      </rPr>
      <t xml:space="preserve">Preferred shares and other equity instruments </t>
    </r>
  </si>
  <si>
    <r>
      <rPr>
        <sz val="11"/>
        <color rgb="FF000000"/>
        <rFont val="Scotia"/>
        <family val="2"/>
      </rPr>
      <t>Total equity attributable to equity holders of the Bank</t>
    </r>
  </si>
  <si>
    <r>
      <rPr>
        <sz val="11"/>
        <color rgb="FF000000"/>
        <rFont val="Scotia"/>
        <family val="2"/>
      </rPr>
      <t>Non-controlling interests in subsidiaries</t>
    </r>
  </si>
  <si>
    <r>
      <rPr>
        <b/>
        <sz val="11"/>
        <color rgb="FF000000"/>
        <rFont val="Scotia"/>
        <family val="2"/>
      </rPr>
      <t>Total Equity</t>
    </r>
  </si>
  <si>
    <r>
      <rPr>
        <b/>
        <sz val="11"/>
        <color rgb="FF000000"/>
        <rFont val="Scotia"/>
        <family val="2"/>
      </rPr>
      <t>Total Liabilities and Equity</t>
    </r>
  </si>
  <si>
    <r>
      <rPr>
        <b/>
        <sz val="14"/>
        <color rgb="FFFFFFFF"/>
        <rFont val="Scotia"/>
        <family val="2"/>
      </rPr>
      <t>Average Balance Sheet</t>
    </r>
  </si>
  <si>
    <r>
      <rPr>
        <sz val="11"/>
        <color rgb="FF000000"/>
        <rFont val="Scotia"/>
        <family val="2"/>
      </rPr>
      <t>Deposits with financial institutions</t>
    </r>
  </si>
  <si>
    <r>
      <rPr>
        <sz val="11"/>
        <color rgb="FF000000"/>
        <rFont val="Scotia"/>
        <family val="2"/>
      </rPr>
      <t xml:space="preserve">Trading assets </t>
    </r>
  </si>
  <si>
    <r>
      <rPr>
        <sz val="11"/>
        <color rgb="FF000000"/>
        <rFont val="Scotia"/>
        <family val="2"/>
      </rPr>
      <t>- Securities</t>
    </r>
  </si>
  <si>
    <r>
      <rPr>
        <sz val="11"/>
        <color rgb="FF000000"/>
        <rFont val="Scotia"/>
        <family val="2"/>
      </rPr>
      <t>- Loans</t>
    </r>
  </si>
  <si>
    <r>
      <rPr>
        <sz val="11"/>
        <color rgb="FF000000"/>
        <rFont val="Scotia"/>
        <family val="2"/>
      </rPr>
      <t>Securities purchased under resale agreements and securities borrowed</t>
    </r>
  </si>
  <si>
    <r>
      <rPr>
        <sz val="11"/>
        <color rgb="FF000000"/>
        <rFont val="Scotia"/>
        <family val="2"/>
      </rPr>
      <t>Investment securities including investments in associates</t>
    </r>
  </si>
  <si>
    <r>
      <rPr>
        <sz val="11"/>
        <color rgb="FF000000"/>
        <rFont val="Scotia"/>
        <family val="2"/>
      </rPr>
      <t>Loans to customers</t>
    </r>
  </si>
  <si>
    <r>
      <rPr>
        <sz val="11"/>
        <color rgb="FF000000"/>
        <rFont val="Scotia"/>
        <family val="2"/>
      </rPr>
      <t>- Residential mortgages</t>
    </r>
  </si>
  <si>
    <r>
      <rPr>
        <sz val="11"/>
        <color rgb="FF000000"/>
        <rFont val="Scotia"/>
        <family val="2"/>
      </rPr>
      <t>- Personal loans</t>
    </r>
  </si>
  <si>
    <r>
      <rPr>
        <sz val="11"/>
        <color rgb="FF000000"/>
        <rFont val="Scotia"/>
        <family val="2"/>
      </rPr>
      <t>- Credit cards</t>
    </r>
  </si>
  <si>
    <r>
      <rPr>
        <sz val="11"/>
        <color rgb="FF000000"/>
        <rFont val="Scotia"/>
        <family val="2"/>
      </rPr>
      <t>- Business and government</t>
    </r>
  </si>
  <si>
    <r>
      <rPr>
        <sz val="11"/>
        <color rgb="FF000000"/>
        <rFont val="Scotia"/>
        <family val="2"/>
      </rPr>
      <t>- Sub-total</t>
    </r>
  </si>
  <si>
    <r>
      <rPr>
        <sz val="11"/>
        <color rgb="FF000000"/>
        <rFont val="Scotia"/>
        <family val="2"/>
      </rPr>
      <t>- Allowance for credit losses</t>
    </r>
  </si>
  <si>
    <r>
      <rPr>
        <sz val="11"/>
        <color rgb="FF000000"/>
        <rFont val="Scotia"/>
        <family val="2"/>
      </rPr>
      <t>Total loans to customers</t>
    </r>
  </si>
  <si>
    <r>
      <rPr>
        <sz val="11"/>
        <color rgb="FF000000"/>
        <rFont val="Scotia"/>
        <family val="2"/>
      </rPr>
      <t>Customer's liability under acceptances</t>
    </r>
  </si>
  <si>
    <r>
      <rPr>
        <sz val="11"/>
        <color rgb="FF000000"/>
        <rFont val="Scotia"/>
        <family val="2"/>
      </rPr>
      <t>Total earning assets⁽¹⁾</t>
    </r>
  </si>
  <si>
    <r>
      <rPr>
        <sz val="11"/>
        <color rgb="FF000000"/>
        <rFont val="Scotia"/>
        <family val="2"/>
      </rPr>
      <t>Deposits from customers</t>
    </r>
  </si>
  <si>
    <r>
      <rPr>
        <sz val="11"/>
        <color rgb="FF000000"/>
        <rFont val="Scotia"/>
        <family val="2"/>
      </rPr>
      <t>Deposits from banks</t>
    </r>
  </si>
  <si>
    <r>
      <rPr>
        <sz val="11"/>
        <color rgb="FF000000"/>
        <rFont val="Scotia"/>
        <family val="2"/>
      </rPr>
      <t>Securities sold short</t>
    </r>
  </si>
  <si>
    <r>
      <rPr>
        <sz val="11"/>
        <color rgb="FF000000"/>
        <rFont val="Scotia"/>
        <family val="2"/>
      </rPr>
      <t>Obligations related to securities sold under repurchase</t>
    </r>
  </si>
  <si>
    <r>
      <rPr>
        <sz val="11"/>
        <color rgb="FF000000"/>
        <rFont val="Scotia"/>
        <family val="2"/>
      </rPr>
      <t>Agreements and securities lent</t>
    </r>
  </si>
  <si>
    <r>
      <rPr>
        <sz val="11"/>
        <color rgb="FF000000"/>
        <rFont val="Scotia"/>
        <family val="2"/>
      </rPr>
      <t>Shareholders' equity</t>
    </r>
  </si>
  <si>
    <r>
      <rPr>
        <sz val="11"/>
        <color rgb="FF000000"/>
        <rFont val="Scotia"/>
        <family val="2"/>
      </rPr>
      <t>- Common shares, retained earnings, accumulated other</t>
    </r>
  </si>
  <si>
    <r>
      <rPr>
        <sz val="11"/>
        <color rgb="FF000000"/>
        <rFont val="Scotia"/>
        <family val="2"/>
      </rPr>
      <t xml:space="preserve">   Comprehensive income and other reserves</t>
    </r>
  </si>
  <si>
    <r>
      <rPr>
        <sz val="11"/>
        <color rgb="FF000000"/>
        <rFont val="Scotia"/>
        <family val="2"/>
      </rPr>
      <t>- Preferred shares</t>
    </r>
  </si>
  <si>
    <r>
      <rPr>
        <sz val="11"/>
        <color rgb="FF000000"/>
        <rFont val="Scotia"/>
        <family val="2"/>
      </rPr>
      <t>- Non-controlling interests in subsidiaries</t>
    </r>
  </si>
  <si>
    <r>
      <rPr>
        <sz val="11"/>
        <color rgb="FF000000"/>
        <rFont val="Scotia"/>
        <family val="2"/>
      </rPr>
      <t>- Total shareholders' equity</t>
    </r>
  </si>
  <si>
    <r>
      <rPr>
        <b/>
        <sz val="11"/>
        <color rgb="FF000000"/>
        <rFont val="Scotia"/>
        <family val="2"/>
      </rPr>
      <t>Total liabilities and shareholders' equity</t>
    </r>
  </si>
  <si>
    <r>
      <rPr>
        <sz val="9"/>
        <color rgb="FF000000"/>
        <rFont val="Scotia"/>
        <family val="2"/>
      </rPr>
      <t>(1) Refer to non-GAAP measures on page 20 of the Management's Discussion &amp; Analysis in the Bank's 2025 Annual Report, available on http://www.sedarplus.ca for the description of the measure. Refer to Appendix 4 of the Supplementary Financial Information Report for reconciliation.</t>
    </r>
  </si>
  <si>
    <r>
      <rPr>
        <b/>
        <sz val="14"/>
        <color rgb="FFFFFFFF"/>
        <rFont val="Scotia"/>
        <family val="2"/>
      </rPr>
      <t>Consolidated Statement of Changes in Equity</t>
    </r>
  </si>
  <si>
    <r>
      <rPr>
        <b/>
        <sz val="11"/>
        <color rgb="FF000000"/>
        <rFont val="Scotia"/>
        <family val="2"/>
      </rPr>
      <t>Common Shares</t>
    </r>
  </si>
  <si>
    <r>
      <rPr>
        <sz val="11"/>
        <color rgb="FF000000"/>
        <rFont val="Scotia"/>
        <family val="2"/>
      </rPr>
      <t xml:space="preserve">Balance at beginning of period </t>
    </r>
  </si>
  <si>
    <r>
      <rPr>
        <sz val="11"/>
        <color rgb="FF000000"/>
        <rFont val="Scotia"/>
        <family val="2"/>
      </rPr>
      <t>Share issuance, net of repurchase/redemptions</t>
    </r>
  </si>
  <si>
    <r>
      <rPr>
        <b/>
        <sz val="11"/>
        <color rgb="FF000000"/>
        <rFont val="Scotia"/>
        <family val="2"/>
      </rPr>
      <t>Balance at end of period</t>
    </r>
  </si>
  <si>
    <r>
      <rPr>
        <b/>
        <sz val="11"/>
        <color rgb="FF000000"/>
        <rFont val="Scotia"/>
        <family val="2"/>
      </rPr>
      <t>Retained Earnings</t>
    </r>
  </si>
  <si>
    <r>
      <rPr>
        <sz val="11"/>
        <color rgb="FF000000"/>
        <rFont val="Scotia"/>
        <family val="2"/>
      </rPr>
      <t>Balance at beginning of period</t>
    </r>
  </si>
  <si>
    <r>
      <rPr>
        <sz val="11"/>
        <color rgb="FF000000"/>
        <rFont val="Scotia"/>
        <family val="2"/>
      </rPr>
      <t xml:space="preserve">Net income attributable to common shareholders of the Bank </t>
    </r>
  </si>
  <si>
    <r>
      <rPr>
        <sz val="11"/>
        <color rgb="FF000000"/>
        <rFont val="Scotia"/>
        <family val="2"/>
      </rPr>
      <t>Dividends paid to common shareholders of the Bank</t>
    </r>
  </si>
  <si>
    <r>
      <rPr>
        <sz val="11"/>
        <color rgb="FF000000"/>
        <rFont val="Scotia"/>
        <family val="2"/>
      </rPr>
      <t>Shares repurchased/redeemed</t>
    </r>
  </si>
  <si>
    <r>
      <rPr>
        <sz val="11"/>
        <color rgb="FF000000"/>
        <rFont val="Scotia"/>
        <family val="2"/>
      </rPr>
      <t>Foreign currency loss on redemption of Subordinated Additional Tier 1 Capital Notes</t>
    </r>
  </si>
  <si>
    <r>
      <rPr>
        <sz val="11"/>
        <color rgb="FF000000"/>
        <rFont val="Scotia"/>
        <family val="2"/>
      </rPr>
      <t xml:space="preserve">Other </t>
    </r>
  </si>
  <si>
    <r>
      <rPr>
        <b/>
        <sz val="11"/>
        <color rgb="FF000000"/>
        <rFont val="Scotia"/>
        <family val="2"/>
      </rPr>
      <t>Accumulated Other Comprehensive Income (Loss)</t>
    </r>
  </si>
  <si>
    <r>
      <rPr>
        <sz val="11"/>
        <color rgb="FF000000"/>
        <rFont val="Scotia"/>
        <family val="2"/>
      </rPr>
      <t>Other comprehensive income, net of income tax</t>
    </r>
  </si>
  <si>
    <r>
      <rPr>
        <sz val="11"/>
        <color rgb="FF000000"/>
        <rFont val="Scotia"/>
        <family val="2"/>
      </rPr>
      <t>Foreign currency translation</t>
    </r>
  </si>
  <si>
    <r>
      <rPr>
        <sz val="11"/>
        <color rgb="FF000000"/>
        <rFont val="Scotia"/>
        <family val="2"/>
      </rPr>
      <t>Debt instruments at fair value through other comprehensive income</t>
    </r>
  </si>
  <si>
    <r>
      <rPr>
        <sz val="11"/>
        <color rgb="FF000000"/>
        <rFont val="Scotia"/>
        <family val="2"/>
      </rPr>
      <t>Equity instruments at fair value through other comprehensive income</t>
    </r>
  </si>
  <si>
    <r>
      <rPr>
        <sz val="11"/>
        <color rgb="FF000000"/>
        <rFont val="Scotia"/>
        <family val="2"/>
      </rPr>
      <t>Cash flow hedges</t>
    </r>
  </si>
  <si>
    <r>
      <rPr>
        <b/>
        <sz val="11"/>
        <color rgb="FF000000"/>
        <rFont val="Scotia"/>
        <family val="2"/>
      </rPr>
      <t>Other Reserves</t>
    </r>
  </si>
  <si>
    <r>
      <rPr>
        <sz val="11"/>
        <color rgb="FF000000"/>
        <rFont val="Scotia"/>
        <family val="2"/>
      </rPr>
      <t>Share-based payments</t>
    </r>
  </si>
  <si>
    <r>
      <rPr>
        <sz val="11"/>
        <color rgb="FF000000"/>
        <rFont val="Scotia"/>
        <family val="2"/>
      </rPr>
      <t>Shares issued</t>
    </r>
  </si>
  <si>
    <r>
      <rPr>
        <b/>
        <sz val="11"/>
        <color rgb="FF000000"/>
        <rFont val="Scotia"/>
        <family val="2"/>
      </rPr>
      <t>Total Common Equity at End of Period</t>
    </r>
  </si>
  <si>
    <r>
      <rPr>
        <b/>
        <sz val="11"/>
        <color rgb="FF000000"/>
        <rFont val="Scotia"/>
        <family val="2"/>
      </rPr>
      <t>Composition of Accumulated Other Comprehensive Income (Loss)</t>
    </r>
  </si>
  <si>
    <r>
      <rPr>
        <b/>
        <sz val="14"/>
        <color rgb="FFFFFFFF"/>
        <rFont val="Scotia"/>
        <family val="2"/>
      </rPr>
      <t xml:space="preserve">Consolidated Statement of Changes in Equity </t>
    </r>
    <r>
      <rPr>
        <sz val="14"/>
        <color rgb="FFFFFFFF"/>
        <rFont val="Scotia"/>
        <family val="2"/>
      </rPr>
      <t>(Continued)</t>
    </r>
  </si>
  <si>
    <r>
      <rPr>
        <b/>
        <sz val="11"/>
        <color rgb="FF000000"/>
        <rFont val="Scotia"/>
        <family val="2"/>
      </rPr>
      <t>Preferred Shares and other Equity Instruments</t>
    </r>
  </si>
  <si>
    <r>
      <rPr>
        <sz val="11"/>
        <color rgb="FF000000"/>
        <rFont val="Scotia"/>
        <family val="2"/>
      </rPr>
      <t>Issued</t>
    </r>
  </si>
  <si>
    <r>
      <rPr>
        <sz val="11"/>
        <color rgb="FF000000"/>
        <rFont val="Scotia"/>
        <family val="2"/>
      </rPr>
      <t>Repurchased/redeemed</t>
    </r>
  </si>
  <si>
    <r>
      <rPr>
        <sz val="11"/>
        <color rgb="FF000000"/>
        <rFont val="Scotia"/>
        <family val="2"/>
      </rPr>
      <t xml:space="preserve">Net income attributable to preferred shareholders and other equity instrument holders of the Bank </t>
    </r>
  </si>
  <si>
    <r>
      <rPr>
        <sz val="11"/>
        <color rgb="FF000000"/>
        <rFont val="Scotia"/>
        <family val="2"/>
      </rPr>
      <t>Dividends paid to preferred shareholders and other equity instrument holders of the Bank</t>
    </r>
  </si>
  <si>
    <r>
      <rPr>
        <b/>
        <sz val="11"/>
        <color rgb="FF000000"/>
        <rFont val="Scotia"/>
        <family val="2"/>
      </rPr>
      <t>Non-Controlling Interests: Non-Controlling Interests in Subsidiaries</t>
    </r>
  </si>
  <si>
    <r>
      <rPr>
        <sz val="11"/>
        <color rgb="FF000000"/>
        <rFont val="Scotia"/>
        <family val="2"/>
      </rPr>
      <t>Net income attributable to non-controlling interests in subsidiaries</t>
    </r>
  </si>
  <si>
    <r>
      <rPr>
        <sz val="11"/>
        <color rgb="FF000000"/>
        <rFont val="Scotia"/>
        <family val="2"/>
      </rPr>
      <t>Distributions to non-controlling interests</t>
    </r>
  </si>
  <si>
    <r>
      <rPr>
        <b/>
        <sz val="11"/>
        <color rgb="FF000000"/>
        <rFont val="Scotia"/>
        <family val="2"/>
      </rPr>
      <t>Total Equity at End of Period</t>
    </r>
  </si>
  <si>
    <r>
      <rPr>
        <b/>
        <sz val="14"/>
        <color rgb="FFFFFFFF"/>
        <rFont val="Scotia"/>
        <family val="2"/>
      </rPr>
      <t>Loans and Acceptances by Type of Borrower</t>
    </r>
  </si>
  <si>
    <r>
      <rPr>
        <i/>
        <sz val="11"/>
        <color rgb="FFFF0000"/>
        <rFont val="Scotia"/>
        <family val="2"/>
      </rPr>
      <t xml:space="preserve">($ billions) </t>
    </r>
  </si>
  <si>
    <r>
      <rPr>
        <b/>
        <sz val="11"/>
        <color rgb="FF000000"/>
        <rFont val="Scotia"/>
        <family val="2"/>
      </rPr>
      <t>October 31, 2025</t>
    </r>
  </si>
  <si>
    <t>July 31, 2025</t>
  </si>
  <si>
    <t>April 30, 2025</t>
  </si>
  <si>
    <t>January 31, 2025</t>
  </si>
  <si>
    <t>October 31, 2024</t>
  </si>
  <si>
    <r>
      <rPr>
        <b/>
        <sz val="11"/>
        <color rgb="FF000000"/>
        <rFont val="Scotia"/>
        <family val="2"/>
      </rPr>
      <t>Balance</t>
    </r>
  </si>
  <si>
    <t>% of Total</t>
  </si>
  <si>
    <r>
      <rPr>
        <sz val="11"/>
        <color rgb="FF000000"/>
        <rFont val="Scotia"/>
        <family val="2"/>
      </rPr>
      <t>Balance</t>
    </r>
  </si>
  <si>
    <r>
      <rPr>
        <b/>
        <sz val="11"/>
        <color rgb="FF000000"/>
        <rFont val="Scotia"/>
        <family val="2"/>
      </rPr>
      <t>Personal</t>
    </r>
  </si>
  <si>
    <r>
      <rPr>
        <sz val="11"/>
        <color rgb="FF000000"/>
        <rFont val="Scotia"/>
        <family val="2"/>
      </rPr>
      <t>Financial services</t>
    </r>
  </si>
  <si>
    <r>
      <rPr>
        <sz val="11"/>
        <color rgb="FF000000"/>
        <rFont val="Scotia"/>
        <family val="2"/>
      </rPr>
      <t>Non-bank</t>
    </r>
  </si>
  <si>
    <r>
      <rPr>
        <sz val="11"/>
        <color rgb="FF000000"/>
        <rFont val="Scotia"/>
        <family val="2"/>
      </rPr>
      <t>Bank⁽¹⁾</t>
    </r>
  </si>
  <si>
    <r>
      <rPr>
        <sz val="11"/>
        <color rgb="FF000000"/>
        <rFont val="Scotia"/>
        <family val="2"/>
      </rPr>
      <t>Wholesale and retail</t>
    </r>
  </si>
  <si>
    <r>
      <rPr>
        <sz val="11"/>
        <color rgb="FF000000"/>
        <rFont val="Scotia"/>
        <family val="2"/>
      </rPr>
      <t>Real estate and contractors</t>
    </r>
  </si>
  <si>
    <r>
      <rPr>
        <sz val="11"/>
        <color rgb="FF000000"/>
        <rFont val="Scotia"/>
        <family val="2"/>
      </rPr>
      <t>Energy</t>
    </r>
  </si>
  <si>
    <r>
      <rPr>
        <sz val="11"/>
        <color rgb="FF000000"/>
        <rFont val="Scotia"/>
        <family val="2"/>
      </rPr>
      <t>Transportation</t>
    </r>
  </si>
  <si>
    <r>
      <rPr>
        <sz val="11"/>
        <color rgb="FF000000"/>
        <rFont val="Scotia"/>
        <family val="2"/>
      </rPr>
      <t>Automotive</t>
    </r>
  </si>
  <si>
    <r>
      <rPr>
        <sz val="11"/>
        <color rgb="FF000000"/>
        <rFont val="Scotia"/>
        <family val="2"/>
      </rPr>
      <t>Agriculture</t>
    </r>
  </si>
  <si>
    <r>
      <rPr>
        <sz val="11"/>
        <color rgb="FF000000"/>
        <rFont val="Scotia"/>
        <family val="2"/>
      </rPr>
      <t>Hospitality and leisure</t>
    </r>
  </si>
  <si>
    <r>
      <rPr>
        <sz val="11"/>
        <color rgb="FF000000"/>
        <rFont val="Scotia"/>
        <family val="2"/>
      </rPr>
      <t>Mining</t>
    </r>
  </si>
  <si>
    <r>
      <rPr>
        <sz val="11"/>
        <color rgb="FF000000"/>
        <rFont val="Scotia"/>
        <family val="2"/>
      </rPr>
      <t>Metals</t>
    </r>
  </si>
  <si>
    <r>
      <rPr>
        <sz val="11"/>
        <color rgb="FF000000"/>
        <rFont val="Scotia"/>
        <family val="2"/>
      </rPr>
      <t>Utilities</t>
    </r>
  </si>
  <si>
    <r>
      <rPr>
        <sz val="11"/>
        <color rgb="FF000000"/>
        <rFont val="Scotia"/>
        <family val="2"/>
      </rPr>
      <t>Health care</t>
    </r>
  </si>
  <si>
    <r>
      <rPr>
        <sz val="11"/>
        <color rgb="FF000000"/>
        <rFont val="Scotia"/>
        <family val="2"/>
      </rPr>
      <t>Technology and media</t>
    </r>
  </si>
  <si>
    <r>
      <rPr>
        <sz val="11"/>
        <color rgb="FF000000"/>
        <rFont val="Scotia"/>
        <family val="2"/>
      </rPr>
      <t>Chemicals</t>
    </r>
  </si>
  <si>
    <r>
      <rPr>
        <sz val="11"/>
        <color rgb="FF000000"/>
        <rFont val="Scotia"/>
        <family val="2"/>
      </rPr>
      <t>Food and beverage</t>
    </r>
  </si>
  <si>
    <r>
      <rPr>
        <sz val="11"/>
        <color rgb="FF000000"/>
        <rFont val="Scotia"/>
        <family val="2"/>
      </rPr>
      <t>Forest products</t>
    </r>
  </si>
  <si>
    <r>
      <rPr>
        <sz val="11"/>
        <color rgb="FF000000"/>
        <rFont val="Scotia"/>
        <family val="2"/>
      </rPr>
      <t>Other⁽²⁾</t>
    </r>
  </si>
  <si>
    <r>
      <rPr>
        <sz val="11"/>
        <color rgb="FF000000"/>
        <rFont val="Scotia"/>
        <family val="2"/>
      </rPr>
      <t>Sovereign⁽³⁾</t>
    </r>
  </si>
  <si>
    <r>
      <rPr>
        <b/>
        <sz val="11"/>
        <color rgb="FF000000"/>
        <rFont val="Scotia"/>
        <family val="2"/>
      </rPr>
      <t>Business and Government</t>
    </r>
  </si>
  <si>
    <r>
      <rPr>
        <sz val="11"/>
        <color rgb="FF000000"/>
        <rFont val="Scotia"/>
        <family val="2"/>
      </rPr>
      <t>Loans and acceptances</t>
    </r>
  </si>
  <si>
    <r>
      <rPr>
        <sz val="11"/>
        <color rgb="FF000000"/>
        <rFont val="Scotia"/>
        <family val="2"/>
      </rPr>
      <t>Allowance for credit losses on loans and acceptances</t>
    </r>
  </si>
  <si>
    <r>
      <rPr>
        <b/>
        <sz val="11"/>
        <color rgb="FF000000"/>
        <rFont val="Scotia"/>
        <family val="2"/>
      </rPr>
      <t>Loans and Acceptances Net of Allowance for Credit Losses</t>
    </r>
  </si>
  <si>
    <r>
      <rPr>
        <sz val="9"/>
        <color rgb="FF000000"/>
        <rFont val="Scotia"/>
        <family val="2"/>
      </rPr>
      <t>(1) Deposit taking institutions and securities firms.</t>
    </r>
  </si>
  <si>
    <r>
      <rPr>
        <sz val="9"/>
        <color rgb="FF000000"/>
        <rFont val="Scotia"/>
        <family val="2"/>
      </rPr>
      <t>(2) Other includes $9.6 billion in wealth management, $3.5 billion in services and $3.1 billion in financing products.</t>
    </r>
  </si>
  <si>
    <r>
      <rPr>
        <sz val="9"/>
        <color rgb="FF000000"/>
        <rFont val="Scotia"/>
        <family val="2"/>
      </rPr>
      <t>(3) Includes central banks, regional and local governments, supra-national agencies.</t>
    </r>
  </si>
  <si>
    <r>
      <rPr>
        <b/>
        <sz val="14"/>
        <color rgb="FFFFFFFF"/>
        <rFont val="Scotia"/>
        <family val="2"/>
      </rPr>
      <t>Impaired Loans by Business Segment</t>
    </r>
  </si>
  <si>
    <r>
      <rPr>
        <b/>
        <sz val="11"/>
        <color rgb="FF000000"/>
        <rFont val="Scotia"/>
        <family val="2"/>
      </rPr>
      <t>Gross Impaired Loans</t>
    </r>
  </si>
  <si>
    <r>
      <rPr>
        <sz val="11"/>
        <color rgb="FF000000"/>
        <rFont val="Scotia"/>
        <family val="2"/>
      </rPr>
      <t>Retail</t>
    </r>
  </si>
  <si>
    <r>
      <rPr>
        <sz val="11"/>
        <color rgb="FF000000"/>
        <rFont val="Scotia"/>
        <family val="2"/>
      </rPr>
      <t>Commercial⁽¹⁾</t>
    </r>
  </si>
  <si>
    <r>
      <rPr>
        <b/>
        <sz val="11"/>
        <color rgb="FF000000"/>
        <rFont val="Scotia"/>
        <family val="2"/>
      </rPr>
      <t>Canadian Banking</t>
    </r>
  </si>
  <si>
    <r>
      <rPr>
        <sz val="11"/>
        <color rgb="FF000000"/>
        <rFont val="Scotia"/>
        <family val="2"/>
      </rPr>
      <t xml:space="preserve">Caribbean &amp; Central America </t>
    </r>
  </si>
  <si>
    <r>
      <rPr>
        <sz val="11"/>
        <color rgb="FF000000"/>
        <rFont val="Scotia"/>
        <family val="2"/>
      </rPr>
      <t xml:space="preserve">Mexico </t>
    </r>
  </si>
  <si>
    <r>
      <rPr>
        <sz val="11"/>
        <color rgb="FF000000"/>
        <rFont val="Scotia"/>
        <family val="2"/>
      </rPr>
      <t xml:space="preserve">Peru </t>
    </r>
  </si>
  <si>
    <r>
      <rPr>
        <sz val="11"/>
        <color rgb="FF000000"/>
        <rFont val="Scotia"/>
        <family val="2"/>
      </rPr>
      <t>Chile</t>
    </r>
  </si>
  <si>
    <r>
      <rPr>
        <sz val="11"/>
        <color rgb="FF000000"/>
        <rFont val="Scotia"/>
        <family val="2"/>
      </rPr>
      <t xml:space="preserve">Colombia </t>
    </r>
  </si>
  <si>
    <r>
      <rPr>
        <sz val="11"/>
        <color rgb="FF000000"/>
        <rFont val="Scotia"/>
        <family val="2"/>
      </rPr>
      <t>Commercial⁽³⁾</t>
    </r>
  </si>
  <si>
    <r>
      <rPr>
        <sz val="11"/>
        <color rgb="FF000000"/>
        <rFont val="Scotia"/>
        <family val="2"/>
      </rPr>
      <t>Other⁽⁴⁾</t>
    </r>
  </si>
  <si>
    <r>
      <rPr>
        <b/>
        <sz val="11"/>
        <color rgb="FF000000"/>
        <rFont val="Scotia"/>
        <family val="2"/>
      </rPr>
      <t>International Banking</t>
    </r>
  </si>
  <si>
    <r>
      <rPr>
        <b/>
        <sz val="11"/>
        <color rgb="FF000000"/>
        <rFont val="Scotia"/>
        <family val="2"/>
      </rPr>
      <t>Global Wealth Management</t>
    </r>
  </si>
  <si>
    <r>
      <rPr>
        <sz val="11"/>
        <color rgb="FF000000"/>
        <rFont val="Scotia"/>
        <family val="2"/>
      </rPr>
      <t>U.S.A.</t>
    </r>
  </si>
  <si>
    <r>
      <rPr>
        <sz val="11"/>
        <color rgb="FF000000"/>
        <rFont val="Scotia"/>
        <family val="2"/>
      </rPr>
      <t>Europe</t>
    </r>
  </si>
  <si>
    <r>
      <rPr>
        <sz val="11"/>
        <color rgb="FF000000"/>
        <rFont val="Scotia"/>
        <family val="2"/>
      </rPr>
      <t>Asia</t>
    </r>
  </si>
  <si>
    <r>
      <rPr>
        <b/>
        <sz val="11"/>
        <color rgb="FF000000"/>
        <rFont val="Scotia"/>
        <family val="2"/>
      </rPr>
      <t>Global Banking and Markets</t>
    </r>
  </si>
  <si>
    <r>
      <rPr>
        <b/>
        <sz val="11"/>
        <color rgb="FF000000"/>
        <rFont val="Scotia"/>
        <family val="2"/>
      </rPr>
      <t>Total gross impaired loans</t>
    </r>
  </si>
  <si>
    <r>
      <rPr>
        <b/>
        <sz val="11"/>
        <color rgb="FF000000"/>
        <rFont val="Scotia"/>
        <family val="2"/>
      </rPr>
      <t>Net Impaired Loans</t>
    </r>
  </si>
  <si>
    <r>
      <rPr>
        <b/>
        <sz val="11"/>
        <color rgb="FF000000"/>
        <rFont val="Scotia"/>
        <family val="2"/>
      </rPr>
      <t>Total Net Impaired Loans</t>
    </r>
  </si>
  <si>
    <r>
      <rPr>
        <sz val="9"/>
        <color rgb="FF000000"/>
        <rFont val="Scotia"/>
        <family val="2"/>
      </rPr>
      <t>(1) Includes small business.</t>
    </r>
  </si>
  <si>
    <r>
      <rPr>
        <sz val="9"/>
        <color rgb="FF000000"/>
        <rFont val="Scotia"/>
        <family val="2"/>
      </rPr>
      <t>(2) Includes Uruguay.</t>
    </r>
  </si>
  <si>
    <r>
      <rPr>
        <sz val="9"/>
        <color rgb="FF000000"/>
        <rFont val="Scotia"/>
        <family val="2"/>
      </rPr>
      <t>(3) Includes small business and corporate.</t>
    </r>
  </si>
  <si>
    <r>
      <rPr>
        <sz val="9"/>
        <color rgb="FF000000"/>
        <rFont val="Scotia"/>
        <family val="2"/>
      </rPr>
      <t>(4) Includes Brazil and Uruguay.</t>
    </r>
  </si>
  <si>
    <r>
      <rPr>
        <b/>
        <sz val="14"/>
        <color rgb="FFFFFFFF"/>
        <rFont val="Scotia"/>
        <family val="2"/>
      </rPr>
      <t>Changes in Gross Impaired Loans by Business Segment</t>
    </r>
  </si>
  <si>
    <r>
      <rPr>
        <b/>
        <sz val="11"/>
        <color rgb="FF000000"/>
        <rFont val="Scotia"/>
        <family val="2"/>
      </rPr>
      <t>Balance at Beginning of Period</t>
    </r>
  </si>
  <si>
    <r>
      <rPr>
        <b/>
        <sz val="11"/>
        <color rgb="FF000000"/>
        <rFont val="Scotia"/>
        <family val="2"/>
      </rPr>
      <t>Net Classifications</t>
    </r>
  </si>
  <si>
    <r>
      <rPr>
        <b/>
        <sz val="11"/>
        <color rgb="FF000000"/>
        <rFont val="Scotia"/>
        <family val="2"/>
      </rPr>
      <t>Canadian Retail</t>
    </r>
  </si>
  <si>
    <r>
      <rPr>
        <sz val="11"/>
        <color rgb="FF000000"/>
        <rFont val="Scotia"/>
        <family val="2"/>
      </rPr>
      <t>New classifications</t>
    </r>
  </si>
  <si>
    <r>
      <rPr>
        <sz val="11"/>
        <color rgb="FF000000"/>
        <rFont val="Scotia"/>
        <family val="2"/>
      </rPr>
      <t>Declassifications</t>
    </r>
  </si>
  <si>
    <r>
      <rPr>
        <sz val="11"/>
        <color rgb="FF000000"/>
        <rFont val="Scotia"/>
        <family val="2"/>
      </rPr>
      <t>Payments</t>
    </r>
  </si>
  <si>
    <r>
      <rPr>
        <sz val="11"/>
        <color rgb="FF000000"/>
        <rFont val="Scotia"/>
        <family val="2"/>
      </rPr>
      <t>Sales</t>
    </r>
  </si>
  <si>
    <r>
      <rPr>
        <sz val="11"/>
        <color rgb="FF000000"/>
        <rFont val="Scotia"/>
        <family val="2"/>
      </rPr>
      <t>Net classifications</t>
    </r>
  </si>
  <si>
    <r>
      <rPr>
        <b/>
        <sz val="11"/>
        <color rgb="FF000000"/>
        <rFont val="Scotia"/>
        <family val="2"/>
      </rPr>
      <t>Canadian Commercial⁽¹⁾</t>
    </r>
  </si>
  <si>
    <r>
      <rPr>
        <b/>
        <sz val="11"/>
        <color rgb="FF000000"/>
        <rFont val="Scotia"/>
        <family val="2"/>
      </rPr>
      <t>International Retail</t>
    </r>
  </si>
  <si>
    <r>
      <rPr>
        <b/>
        <sz val="11"/>
        <color rgb="FF000000"/>
        <rFont val="Scotia"/>
        <family val="2"/>
      </rPr>
      <t>International Commercial⁽²⁾</t>
    </r>
  </si>
  <si>
    <r>
      <rPr>
        <b/>
        <sz val="11"/>
        <color rgb="FF000000"/>
        <rFont val="Scotia"/>
        <family val="2"/>
      </rPr>
      <t>Write-offs</t>
    </r>
  </si>
  <si>
    <r>
      <rPr>
        <sz val="11"/>
        <color rgb="FF000000"/>
        <rFont val="Scotia"/>
        <family val="2"/>
      </rPr>
      <t>Canadian retail</t>
    </r>
  </si>
  <si>
    <r>
      <rPr>
        <sz val="11"/>
        <color rgb="FF000000"/>
        <rFont val="Scotia"/>
        <family val="2"/>
      </rPr>
      <t>Canadian commercial⁽¹⁾</t>
    </r>
  </si>
  <si>
    <r>
      <rPr>
        <sz val="11"/>
        <color rgb="FF000000"/>
        <rFont val="Scotia"/>
        <family val="2"/>
      </rPr>
      <t>International retail</t>
    </r>
  </si>
  <si>
    <r>
      <rPr>
        <sz val="11"/>
        <color rgb="FF000000"/>
        <rFont val="Scotia"/>
        <family val="2"/>
      </rPr>
      <t>International commercial⁽²⁾</t>
    </r>
  </si>
  <si>
    <r>
      <rPr>
        <sz val="11"/>
        <color rgb="FF000000"/>
        <rFont val="Scotia"/>
        <family val="2"/>
      </rPr>
      <t>Global Wealth Management</t>
    </r>
  </si>
  <si>
    <r>
      <rPr>
        <sz val="11"/>
        <color rgb="FF000000"/>
        <rFont val="Scotia"/>
        <family val="2"/>
      </rPr>
      <t>Global Banking and Markets</t>
    </r>
  </si>
  <si>
    <r>
      <rPr>
        <b/>
        <sz val="11"/>
        <color rgb="FF000000"/>
        <rFont val="Scotia"/>
        <family val="2"/>
      </rPr>
      <t>Forex</t>
    </r>
    <r>
      <rPr>
        <b/>
        <vertAlign val="superscript"/>
        <sz val="11"/>
        <color rgb="FF000000"/>
        <rFont val="Scotia"/>
        <family val="2"/>
      </rPr>
      <t>⁽3⁾</t>
    </r>
    <r>
      <rPr>
        <b/>
        <sz val="11"/>
        <color rgb="FF000000"/>
        <rFont val="Scotia"/>
        <family val="2"/>
      </rPr>
      <t xml:space="preserve"> / Other</t>
    </r>
  </si>
  <si>
    <r>
      <rPr>
        <b/>
        <sz val="11"/>
        <color rgb="FF000000"/>
        <rFont val="Scotia"/>
        <family val="2"/>
      </rPr>
      <t>Balance at End of Period</t>
    </r>
  </si>
  <si>
    <r>
      <rPr>
        <sz val="9"/>
        <color rgb="FF000000"/>
        <rFont val="Scotia"/>
        <family val="2"/>
      </rPr>
      <t>(2) Includes small business and corporate.</t>
    </r>
  </si>
  <si>
    <r>
      <rPr>
        <sz val="9"/>
        <color rgb="FF000000"/>
        <rFont val="Scotia"/>
        <family val="2"/>
      </rPr>
      <t>(3) Includes divestiture impact for GILs in Forex / Other in International Banking.</t>
    </r>
  </si>
  <si>
    <r>
      <rPr>
        <b/>
        <sz val="14"/>
        <color rgb="FFFFFFFF"/>
        <rFont val="Scotia"/>
        <family val="2"/>
      </rPr>
      <t>Allowance for Credit Losses &amp; Other Reserves</t>
    </r>
  </si>
  <si>
    <r>
      <rPr>
        <b/>
        <sz val="11"/>
        <color rgb="FF000000"/>
        <rFont val="Scotia"/>
        <family val="2"/>
      </rPr>
      <t>Impaired Loans — Stage 3</t>
    </r>
  </si>
  <si>
    <r>
      <rPr>
        <sz val="11"/>
        <color rgb="FF000000"/>
        <rFont val="Scotia"/>
        <family val="2"/>
      </rPr>
      <t>Balance beginning of period</t>
    </r>
  </si>
  <si>
    <r>
      <rPr>
        <sz val="11"/>
        <color rgb="FF000000"/>
        <rFont val="Scotia"/>
        <family val="2"/>
      </rPr>
      <t>Provision for credit losses⁽¹⁾⁽²⁾</t>
    </r>
  </si>
  <si>
    <r>
      <rPr>
        <sz val="11"/>
        <color rgb="FF000000"/>
        <rFont val="Scotia"/>
        <family val="2"/>
      </rPr>
      <t>Write-offs</t>
    </r>
  </si>
  <si>
    <r>
      <rPr>
        <sz val="11"/>
        <color rgb="FF000000"/>
        <rFont val="Scotia"/>
        <family val="2"/>
      </rPr>
      <t>Recoveries</t>
    </r>
  </si>
  <si>
    <r>
      <rPr>
        <sz val="11"/>
        <color rgb="FF000000"/>
        <rFont val="Scotia"/>
        <family val="2"/>
      </rPr>
      <t>Foreign currency adjustment and other</t>
    </r>
  </si>
  <si>
    <r>
      <rPr>
        <sz val="11"/>
        <color rgb="FF000000"/>
        <rFont val="Scotia"/>
        <family val="2"/>
      </rPr>
      <t>Balance end of period</t>
    </r>
  </si>
  <si>
    <r>
      <rPr>
        <b/>
        <sz val="11"/>
        <color rgb="FF000000"/>
        <rFont val="Scotia"/>
        <family val="2"/>
      </rPr>
      <t>Performing Loans — Stage 1 and 2</t>
    </r>
  </si>
  <si>
    <r>
      <rPr>
        <sz val="11"/>
        <color rgb="FF000000"/>
        <rFont val="Scotia"/>
        <family val="2"/>
      </rPr>
      <t>Provision for credit losses⁽³⁾</t>
    </r>
  </si>
  <si>
    <r>
      <rPr>
        <sz val="11"/>
        <color rgb="FF000000"/>
        <rFont val="Scotia"/>
        <family val="2"/>
      </rPr>
      <t>Allowance for credit losses on loans</t>
    </r>
  </si>
  <si>
    <r>
      <rPr>
        <sz val="11"/>
        <color rgb="FF000000"/>
        <rFont val="Scotia"/>
        <family val="2"/>
      </rPr>
      <t>Allowance for credit losses on off-balance sheet exposures</t>
    </r>
  </si>
  <si>
    <r>
      <rPr>
        <sz val="11"/>
        <color rgb="FF000000"/>
        <rFont val="Scotia"/>
        <family val="2"/>
      </rPr>
      <t>Allowance for Credit Losses on acceptances and other financial assets⁽⁴⁾</t>
    </r>
  </si>
  <si>
    <r>
      <rPr>
        <b/>
        <sz val="11"/>
        <color rgb="FF000000"/>
        <rFont val="Scotia"/>
        <family val="2"/>
      </rPr>
      <t>Total allowance for credit losses</t>
    </r>
  </si>
  <si>
    <r>
      <rPr>
        <b/>
        <sz val="11"/>
        <color rgb="FF000000"/>
        <rFont val="Scotia"/>
        <family val="2"/>
      </rPr>
      <t>Allowance for Credit Losses by Business Segment</t>
    </r>
  </si>
  <si>
    <r>
      <rPr>
        <sz val="11"/>
        <color rgb="FF000000"/>
        <rFont val="Scotia"/>
        <family val="2"/>
      </rPr>
      <t>Commercial⁽⁵⁾</t>
    </r>
  </si>
  <si>
    <r>
      <rPr>
        <b/>
        <sz val="11"/>
        <color rgb="FF000000"/>
        <rFont val="Scotia"/>
        <family val="2"/>
      </rPr>
      <t>Retail</t>
    </r>
  </si>
  <si>
    <r>
      <rPr>
        <sz val="11"/>
        <color rgb="FF000000"/>
        <rFont val="Scotia"/>
        <family val="2"/>
      </rPr>
      <t>Caribbean &amp; Central America</t>
    </r>
  </si>
  <si>
    <r>
      <rPr>
        <sz val="11"/>
        <color rgb="FF000000"/>
        <rFont val="Scotia"/>
        <family val="2"/>
      </rPr>
      <t>Mexico</t>
    </r>
  </si>
  <si>
    <r>
      <rPr>
        <sz val="11"/>
        <color rgb="FF000000"/>
        <rFont val="Scotia"/>
        <family val="2"/>
      </rPr>
      <t>Peru</t>
    </r>
  </si>
  <si>
    <r>
      <rPr>
        <sz val="11"/>
        <color rgb="FF000000"/>
        <rFont val="Scotia"/>
        <family val="2"/>
      </rPr>
      <t>Colombia</t>
    </r>
  </si>
  <si>
    <r>
      <rPr>
        <sz val="11"/>
        <color rgb="FF000000"/>
        <rFont val="Scotia"/>
        <family val="2"/>
      </rPr>
      <t>Other⁽⁶⁾</t>
    </r>
  </si>
  <si>
    <r>
      <rPr>
        <b/>
        <sz val="11"/>
        <color rgb="FF000000"/>
        <rFont val="Scotia"/>
        <family val="2"/>
      </rPr>
      <t>Commercial⁽⁷⁾</t>
    </r>
  </si>
  <si>
    <r>
      <rPr>
        <sz val="11"/>
        <color rgb="FF000000"/>
        <rFont val="Scotia"/>
        <family val="2"/>
      </rPr>
      <t>Other⁽⁸⁾</t>
    </r>
  </si>
  <si>
    <r>
      <rPr>
        <b/>
        <sz val="11"/>
        <color rgb="FF000000"/>
        <rFont val="Scotia"/>
        <family val="2"/>
      </rPr>
      <t>Total allowance for credit losses by business segment</t>
    </r>
  </si>
  <si>
    <r>
      <rPr>
        <b/>
        <sz val="11"/>
        <color rgb="FF000000"/>
        <rFont val="Scotia"/>
        <family val="2"/>
      </rPr>
      <t>Allowance for Credit Losses on Loans by Type of Borrower</t>
    </r>
  </si>
  <si>
    <r>
      <rPr>
        <b/>
        <sz val="11"/>
        <color rgb="FF000000"/>
        <rFont val="Scotia"/>
        <family val="2"/>
      </rPr>
      <t>Allowance for Credit Losses on Loans</t>
    </r>
  </si>
  <si>
    <r>
      <rPr>
        <sz val="9"/>
        <color rgb="FF000000"/>
        <rFont val="Scotia"/>
        <family val="2"/>
      </rPr>
      <t>(1) Includes provision for credit losses on certain financial assets-loans, acceptances and off-balance sheet exposures.</t>
    </r>
  </si>
  <si>
    <r>
      <rPr>
        <sz val="9"/>
        <color rgb="FF000000"/>
        <rFont val="Scotia"/>
        <family val="2"/>
      </rPr>
      <t>(2) Q2 2024 excludes amounts associated with reversal of impairment losses of $(4) million. The Provision for credit losses, net of these amounts is $975 million.</t>
    </r>
  </si>
  <si>
    <r>
      <rPr>
        <sz val="9"/>
        <color rgb="FF000000"/>
        <rFont val="Scotia"/>
        <family val="2"/>
      </rPr>
      <t>(3) Includes provision for credit losses on all performing financial assets except amounts associated with other assets $2 million (Q3 2025: $4 million, Q2 2025: nil, Q1 2025: $-18 million, Q4 2024: $ -1 million). The Provision for credit losses, net of these amounts is $71 million (Q3 2025: $66 million, Q2 2025: $346 million, Q1 2025: $ 98 million, Q4 2024: $-13 million).</t>
    </r>
  </si>
  <si>
    <r>
      <rPr>
        <sz val="9"/>
        <color rgb="FF000000"/>
        <rFont val="Scotia"/>
        <family val="2"/>
      </rPr>
      <t>(4) Other financial assets include debt securities, deposits with financial institutions, accrued interest and reverse repos.</t>
    </r>
  </si>
  <si>
    <r>
      <rPr>
        <sz val="9"/>
        <color rgb="FF000000"/>
        <rFont val="Scotia"/>
        <family val="2"/>
      </rPr>
      <t>(5) Includes small business.</t>
    </r>
  </si>
  <si>
    <r>
      <rPr>
        <sz val="9"/>
        <color rgb="FF000000"/>
        <rFont val="Scotia"/>
        <family val="2"/>
      </rPr>
      <t>(6) Includes Uruguay.</t>
    </r>
  </si>
  <si>
    <r>
      <rPr>
        <sz val="9"/>
        <color rgb="FF000000"/>
        <rFont val="Scotia"/>
        <family val="2"/>
      </rPr>
      <t>(7) Includes small business and corporate.</t>
    </r>
  </si>
  <si>
    <r>
      <rPr>
        <sz val="9"/>
        <color rgb="FF000000"/>
        <rFont val="Scotia"/>
        <family val="2"/>
      </rPr>
      <t>(8) Includes Brazil and Uruguay.</t>
    </r>
  </si>
  <si>
    <r>
      <rPr>
        <b/>
        <sz val="14"/>
        <color rgb="FFFFFFFF"/>
        <rFont val="Scotia"/>
        <family val="2"/>
      </rPr>
      <t>Impaired Loans by Type of Borrower</t>
    </r>
  </si>
  <si>
    <r>
      <rPr>
        <b/>
        <sz val="10"/>
        <color rgb="FF000000"/>
        <rFont val="Scotia"/>
        <family val="2"/>
      </rPr>
      <t>Allowance for Credit Losses</t>
    </r>
  </si>
  <si>
    <r>
      <rPr>
        <sz val="10"/>
        <color rgb="FF000000"/>
        <rFont val="Scotia"/>
        <family val="2"/>
      </rPr>
      <t>Allowance for Credit Losses</t>
    </r>
  </si>
  <si>
    <r>
      <rPr>
        <b/>
        <sz val="11"/>
        <color rgb="FF000000"/>
        <rFont val="Scotia"/>
        <family val="2"/>
      </rPr>
      <t>Gross</t>
    </r>
  </si>
  <si>
    <r>
      <rPr>
        <b/>
        <sz val="11"/>
        <color rgb="FF000000"/>
        <rFont val="Scotia"/>
        <family val="2"/>
      </rPr>
      <t>Stage 3</t>
    </r>
  </si>
  <si>
    <r>
      <rPr>
        <b/>
        <sz val="11"/>
        <color rgb="FF000000"/>
        <rFont val="Scotia"/>
        <family val="2"/>
      </rPr>
      <t>Net</t>
    </r>
  </si>
  <si>
    <r>
      <rPr>
        <sz val="11"/>
        <color rgb="FF000000"/>
        <rFont val="Scotia"/>
        <family val="2"/>
      </rPr>
      <t>Gross</t>
    </r>
  </si>
  <si>
    <r>
      <rPr>
        <sz val="11"/>
        <color rgb="FF000000"/>
        <rFont val="Scotia"/>
        <family val="2"/>
      </rPr>
      <t>Stage 3</t>
    </r>
  </si>
  <si>
    <r>
      <rPr>
        <sz val="11"/>
        <color rgb="FF000000"/>
        <rFont val="Scotia"/>
        <family val="2"/>
      </rPr>
      <t>Net</t>
    </r>
  </si>
  <si>
    <r>
      <rPr>
        <sz val="11"/>
        <color rgb="FF000000"/>
        <rFont val="Scotia"/>
        <family val="2"/>
      </rPr>
      <t>Credit cards⁽¹⁾</t>
    </r>
  </si>
  <si>
    <r>
      <rPr>
        <sz val="11"/>
        <color rgb="FF000000"/>
        <rFont val="Scotia"/>
        <family val="2"/>
      </rPr>
      <t>Bank</t>
    </r>
  </si>
  <si>
    <r>
      <rPr>
        <sz val="11"/>
        <color rgb="FF000000"/>
        <rFont val="Scotia"/>
        <family val="2"/>
      </rPr>
      <t>Real Estate and Contractors</t>
    </r>
  </si>
  <si>
    <r>
      <rPr>
        <sz val="11"/>
        <color rgb="FF000000"/>
        <rFont val="Scotia"/>
        <family val="2"/>
      </rPr>
      <t>Sovereign</t>
    </r>
  </si>
  <si>
    <r>
      <rPr>
        <b/>
        <sz val="11"/>
        <color rgb="FF000000"/>
        <rFont val="Scotia"/>
        <family val="2"/>
      </rPr>
      <t>Business &amp; Government</t>
    </r>
  </si>
  <si>
    <r>
      <rPr>
        <b/>
        <sz val="11"/>
        <color rgb="FF000000"/>
        <rFont val="Scotia"/>
        <family val="2"/>
      </rPr>
      <t>Impaired Loans, Net of Related Allowances</t>
    </r>
  </si>
  <si>
    <r>
      <rPr>
        <sz val="9"/>
        <color rgb="FF000000"/>
        <rFont val="Scotia"/>
        <family val="2"/>
      </rPr>
      <t>(1) The Bank writes off credit card receivables at 180 days, on transfer from performing loans to impaired.</t>
    </r>
  </si>
  <si>
    <r>
      <rPr>
        <b/>
        <sz val="14"/>
        <color rgb="FFFFFFFF"/>
        <rFont val="Scotia"/>
        <family val="2"/>
      </rPr>
      <t>Provision for Credit Losses (PCL) by Business Segment</t>
    </r>
  </si>
  <si>
    <r>
      <rPr>
        <b/>
        <sz val="11"/>
        <color rgb="FF000000"/>
        <rFont val="Scotia"/>
        <family val="2"/>
      </rPr>
      <t>Stage</t>
    </r>
  </si>
  <si>
    <r>
      <rPr>
        <sz val="11"/>
        <color rgb="FF000000"/>
        <rFont val="Scotia"/>
        <family val="2"/>
      </rPr>
      <t>Stage</t>
    </r>
  </si>
  <si>
    <r>
      <rPr>
        <b/>
        <sz val="11"/>
        <color rgb="FF000000"/>
        <rFont val="Scotia"/>
        <family val="2"/>
      </rPr>
      <t xml:space="preserve"> 1 &amp; 2</t>
    </r>
  </si>
  <si>
    <r>
      <rPr>
        <b/>
        <sz val="11"/>
        <color rgb="FF000000"/>
        <rFont val="Scotia"/>
        <family val="2"/>
      </rPr>
      <t>PCL</t>
    </r>
  </si>
  <si>
    <r>
      <rPr>
        <sz val="11"/>
        <color rgb="FF000000"/>
        <rFont val="Scotia"/>
        <family val="2"/>
      </rPr>
      <t xml:space="preserve"> 1 &amp; 2</t>
    </r>
  </si>
  <si>
    <r>
      <rPr>
        <sz val="11"/>
        <color rgb="FF000000"/>
        <rFont val="Scotia"/>
        <family val="2"/>
      </rPr>
      <t>PCL</t>
    </r>
  </si>
  <si>
    <r>
      <rPr>
        <b/>
        <sz val="11"/>
        <color rgb="FF000000"/>
        <rFont val="Scotia"/>
        <family val="2"/>
      </rPr>
      <t xml:space="preserve">Total PCL </t>
    </r>
    <r>
      <rPr>
        <i/>
        <sz val="11"/>
        <color rgb="FFFF0000"/>
        <rFont val="Scotia"/>
        <family val="2"/>
      </rPr>
      <t>($ millions)</t>
    </r>
  </si>
  <si>
    <r>
      <rPr>
        <sz val="11"/>
        <color rgb="FF000000"/>
        <rFont val="Scotia"/>
        <family val="2"/>
      </rPr>
      <t>Commercial⁽²⁾</t>
    </r>
  </si>
  <si>
    <r>
      <rPr>
        <b/>
        <sz val="11"/>
        <color rgb="FF000000"/>
        <rFont val="Scotia"/>
        <family val="2"/>
      </rPr>
      <t>PCL on loans, acceptances and off-balance sheet exposures</t>
    </r>
  </si>
  <si>
    <r>
      <rPr>
        <sz val="11"/>
        <color rgb="FF000000"/>
        <rFont val="Scotia"/>
        <family val="2"/>
      </rPr>
      <t>Canadian Banking</t>
    </r>
  </si>
  <si>
    <r>
      <rPr>
        <sz val="11"/>
        <color rgb="FF000000"/>
        <rFont val="Scotia"/>
        <family val="2"/>
      </rPr>
      <t xml:space="preserve">International Banking </t>
    </r>
  </si>
  <si>
    <r>
      <rPr>
        <sz val="11"/>
        <color rgb="FF000000"/>
        <rFont val="Scotia"/>
        <family val="2"/>
      </rPr>
      <t xml:space="preserve">Global Wealth Management </t>
    </r>
  </si>
  <si>
    <r>
      <rPr>
        <b/>
        <sz val="11"/>
        <color rgb="FF000000"/>
        <rFont val="Scotia"/>
        <family val="2"/>
      </rPr>
      <t>PCL on other financial assets⁽³⁾</t>
    </r>
  </si>
  <si>
    <r>
      <rPr>
        <b/>
        <sz val="11"/>
        <color rgb="FF000000"/>
        <rFont val="Scotia"/>
        <family val="2"/>
      </rPr>
      <t>Total PCL</t>
    </r>
  </si>
  <si>
    <t>Provision for Credit Losses as a % of Net Loans and Acceptances (bps)⁽⁴⁾</t>
  </si>
  <si>
    <t xml:space="preserve">Provision for Credit Losses as a % of Net Loans and Acceptances </t>
  </si>
  <si>
    <t>Net write-offs as a % of Net Loans and Acceptances (bps)⁽⁴⁾</t>
  </si>
  <si>
    <t xml:space="preserve">Net write-offs as a % of Net Loans and Acceptances </t>
  </si>
  <si>
    <r>
      <rPr>
        <sz val="9"/>
        <color rgb="FF000000"/>
        <rFont val="Scotia"/>
        <family val="2"/>
      </rPr>
      <t>(3) Other financial assets include debt securities, deposits with financial institutions, accrued interest and reverse repos.</t>
    </r>
  </si>
  <si>
    <r>
      <rPr>
        <sz val="9"/>
        <color rgb="FF000000"/>
        <rFont val="Scotia"/>
        <family val="2"/>
      </rPr>
      <t>(4) Refer to page 136 of the Management's Discussion &amp; Analysis in the Bank's 2025 Annual Report, available on http://www.sedarplus.ca, for an explanation of the composition of the measure. Such explanation is incorporated by reference hereto.</t>
    </r>
  </si>
  <si>
    <r>
      <rPr>
        <b/>
        <sz val="14"/>
        <color rgb="FFFFFFFF"/>
        <rFont val="Scotia"/>
        <family val="2"/>
      </rPr>
      <t>Provision for Credit Losses (PCL) by Type of Borrower</t>
    </r>
  </si>
  <si>
    <r>
      <rPr>
        <b/>
        <sz val="11"/>
        <color rgb="FF000000"/>
        <rFont val="Scotia"/>
        <family val="2"/>
      </rPr>
      <t>PCL on Impaired Loans (Stage 3)</t>
    </r>
  </si>
  <si>
    <r>
      <rPr>
        <sz val="11"/>
        <color rgb="FF000000"/>
        <rFont val="Scotia"/>
        <family val="2"/>
      </rPr>
      <t>Financial Services</t>
    </r>
  </si>
  <si>
    <r>
      <rPr>
        <b/>
        <sz val="11"/>
        <color rgb="FF000000"/>
        <rFont val="Scotia"/>
        <family val="2"/>
      </rPr>
      <t>Total PCL on Impaired Loans (Stage 3)⁽¹⁾</t>
    </r>
  </si>
  <si>
    <r>
      <rPr>
        <b/>
        <sz val="11"/>
        <color rgb="FF000000"/>
        <rFont val="Scotia"/>
        <family val="2"/>
      </rPr>
      <t>PCL on Performing Loans (Stage 1 and 2)⁽²⁾</t>
    </r>
  </si>
  <si>
    <r>
      <rPr>
        <sz val="11"/>
        <color rgb="FF000000"/>
        <rFont val="Scotia"/>
        <family val="2"/>
      </rPr>
      <t xml:space="preserve">Personal </t>
    </r>
  </si>
  <si>
    <r>
      <rPr>
        <sz val="11"/>
        <color rgb="FF000000"/>
        <rFont val="Scotia"/>
        <family val="2"/>
      </rPr>
      <t xml:space="preserve">Business &amp; Government </t>
    </r>
  </si>
  <si>
    <r>
      <rPr>
        <b/>
        <sz val="11"/>
        <color rgb="FF000000"/>
        <rFont val="Scotia"/>
        <family val="2"/>
      </rPr>
      <t>Total PCL on Performing Loans (Stage 1 and 2)⁽²⁾</t>
    </r>
  </si>
  <si>
    <r>
      <rPr>
        <sz val="9"/>
        <color rgb="FF000000"/>
        <rFont val="Scotia"/>
        <family val="2"/>
      </rPr>
      <t>(2) Includes provision for credit losses on all performing financial assets.</t>
    </r>
  </si>
  <si>
    <r>
      <rPr>
        <b/>
        <sz val="14"/>
        <color rgb="FFFFFFFF"/>
        <rFont val="Scotia"/>
        <family val="2"/>
      </rPr>
      <t>Financial Investments — Unrealized Gains (Losses)</t>
    </r>
  </si>
  <si>
    <r>
      <rPr>
        <b/>
        <sz val="11"/>
        <color rgb="FF000000"/>
        <rFont val="Scotia"/>
        <family val="2"/>
      </rPr>
      <t>Investment securities measured at fair value through Other Comprehensive Income (OCI)  — unrealized gains (losses)</t>
    </r>
  </si>
  <si>
    <r>
      <rPr>
        <sz val="11"/>
        <color rgb="FF000000"/>
        <rFont val="Scotia"/>
        <family val="2"/>
      </rPr>
      <t>Canadian and U.S. sovereign debt</t>
    </r>
  </si>
  <si>
    <r>
      <rPr>
        <sz val="11"/>
        <color rgb="FF000000"/>
        <rFont val="Scotia"/>
        <family val="2"/>
      </rPr>
      <t>Other foreign government debt</t>
    </r>
  </si>
  <si>
    <r>
      <rPr>
        <sz val="11"/>
        <color rgb="FF000000"/>
        <rFont val="Scotia"/>
        <family val="2"/>
      </rPr>
      <t>Other debt</t>
    </r>
  </si>
  <si>
    <r>
      <rPr>
        <sz val="11"/>
        <color rgb="FF000000"/>
        <rFont val="Scotia"/>
        <family val="2"/>
      </rPr>
      <t>Equity securities at fair value through OCI</t>
    </r>
  </si>
  <si>
    <r>
      <rPr>
        <b/>
        <sz val="11"/>
        <color rgb="FF000000"/>
        <rFont val="Scotia"/>
        <family val="2"/>
      </rPr>
      <t>Total investment securities measured at fair value through Other Comprehensive Income (OCI) — unrealized gains (losses)</t>
    </r>
  </si>
  <si>
    <r>
      <rPr>
        <b/>
        <sz val="11"/>
        <color rgb="FF000000"/>
        <rFont val="Scotia"/>
        <family val="2"/>
      </rPr>
      <t>Net fair value of derivative instruments and other hedge amounts</t>
    </r>
  </si>
  <si>
    <r>
      <rPr>
        <b/>
        <sz val="11"/>
        <color rgb="FF000000"/>
        <rFont val="Scotia"/>
        <family val="2"/>
      </rPr>
      <t>Net unrealized gains (losses)</t>
    </r>
  </si>
  <si>
    <r>
      <rPr>
        <b/>
        <sz val="14"/>
        <color rgb="FFFFFFFF"/>
        <rFont val="Scotia"/>
        <family val="2"/>
      </rPr>
      <t>Regulatory Capital Highlights</t>
    </r>
  </si>
  <si>
    <t>Common Equity Tier 1 capital⁽¹⁾</t>
  </si>
  <si>
    <t>Tier 1 capital⁽¹⁾</t>
  </si>
  <si>
    <t>Total capital⁽¹⁾</t>
  </si>
  <si>
    <t>Total loss absorbing capacity (TLAC)⁽²⁾</t>
  </si>
  <si>
    <t>Risk-weighted assets⁽¹⁾⁽³⁾</t>
  </si>
  <si>
    <r>
      <rPr>
        <sz val="11"/>
        <color rgb="FF000000"/>
        <rFont val="Scotia"/>
        <family val="2"/>
      </rPr>
      <t>Capital risk-weighted assets</t>
    </r>
  </si>
  <si>
    <t>Capital ratios (%)⁽¹⁾</t>
  </si>
  <si>
    <r>
      <rPr>
        <sz val="11"/>
        <color rgb="FF000000"/>
        <rFont val="Scotia"/>
        <family val="2"/>
      </rPr>
      <t>Common Equity Tier 1 (as a percentage of risk-weighted assets)</t>
    </r>
  </si>
  <si>
    <r>
      <rPr>
        <sz val="11"/>
        <color rgb="FF000000"/>
        <rFont val="Scotia"/>
        <family val="2"/>
      </rPr>
      <t>Tier 1 (as a percentage of risk-weighted assets)</t>
    </r>
  </si>
  <si>
    <r>
      <rPr>
        <sz val="11"/>
        <color rgb="FF000000"/>
        <rFont val="Scotia"/>
        <family val="2"/>
      </rPr>
      <t>Total capital (as a percentage of risk-weighted assets)</t>
    </r>
  </si>
  <si>
    <t>Total loss absorbing capacity (as a percentage of risk-weighted assets)⁽²⁾</t>
  </si>
  <si>
    <t>Leverage⁽⁴⁾</t>
  </si>
  <si>
    <r>
      <rPr>
        <sz val="11"/>
        <color rgb="FF000000"/>
        <rFont val="Scotia"/>
        <family val="2"/>
      </rPr>
      <t>Leverage exposures</t>
    </r>
  </si>
  <si>
    <t>Leverage ratio (%)</t>
  </si>
  <si>
    <t>TLAC Leverage ratio (%)⁽²⁾</t>
  </si>
  <si>
    <t>OSFI Pillar 1 target (%)</t>
  </si>
  <si>
    <r>
      <rPr>
        <sz val="11"/>
        <color rgb="FF000000"/>
        <rFont val="Scotia"/>
        <family val="2"/>
      </rPr>
      <t>Common Equity Tier 1 minimum ratio</t>
    </r>
  </si>
  <si>
    <r>
      <rPr>
        <sz val="11"/>
        <color rgb="FF000000"/>
        <rFont val="Scotia"/>
        <family val="2"/>
      </rPr>
      <t>Tier 1 capital minimum ratio</t>
    </r>
  </si>
  <si>
    <r>
      <rPr>
        <sz val="11"/>
        <color rgb="FF000000"/>
        <rFont val="Scotia"/>
        <family val="2"/>
      </rPr>
      <t>Total capital minimum ratio</t>
    </r>
  </si>
  <si>
    <r>
      <rPr>
        <sz val="11"/>
        <color rgb="FF000000"/>
        <rFont val="Scotia"/>
        <family val="2"/>
      </rPr>
      <t>Leverage minimum ratio</t>
    </r>
  </si>
  <si>
    <r>
      <rPr>
        <sz val="11"/>
        <color rgb="FF000000"/>
        <rFont val="Scotia"/>
        <family val="2"/>
      </rPr>
      <t>Total loss absorbing capacity minimum ratio</t>
    </r>
  </si>
  <si>
    <r>
      <rPr>
        <sz val="11"/>
        <color rgb="FF000000"/>
        <rFont val="Scotia"/>
        <family val="2"/>
      </rPr>
      <t>TLAC Leverage minimum ratio</t>
    </r>
  </si>
  <si>
    <r>
      <rPr>
        <sz val="9"/>
        <color rgb="FF000000"/>
        <rFont val="Scotia"/>
        <family val="2"/>
      </rPr>
      <t xml:space="preserve">(1) Effective Q1 2024, regulatory capital ratios are based on Basel III requirements as determined in accordance with OSFI Guideline - Capital Adequacy Requirements (November 2023).  For prior periods reported above, regulatory capital ratios were based on Basel III requirements as determined in accordance with OSFI Guideline - Capital Adequacy Requirements (February 2023).  </t>
    </r>
  </si>
  <si>
    <r>
      <rPr>
        <sz val="9"/>
        <color rgb="FF000000"/>
        <rFont val="Scotia"/>
        <family val="2"/>
      </rPr>
      <t>(2) This measure has been disclosed in this document in accordance with OSFI Guideline - Total Loss Absorbing Capacity (September 2018).</t>
    </r>
  </si>
  <si>
    <r>
      <rPr>
        <sz val="9"/>
        <color rgb="FF000000"/>
        <rFont val="Scotia"/>
        <family val="2"/>
      </rPr>
      <t xml:space="preserve">(3) As at October 31, 2025, the Bank did not have a regulatory capital floor add-on for CET1, Tier 1, Total Capital and TLAC risk-weighted assets (RWA) (as at July 31, 2025, April 30, 2025, January 31, 2025, October 31, 2024, July 31, 2024, and April 30, 2024, the Bank did not have a regulatory capital floor add-on for CET1, Tier 1, Total Capital and TLAC risk-weighted assets (RWA); as at January 31, 2024, the Bank reported a Basel III floor adjustment for CET1, Tier 1, Total Capital and TLAC risk-weighted assets (RWA) of $7.8 billion; as at October 31, 2023, the Bank did not have a regulatory capital floor add-on for CET1, Tier 1, Total Capital and TLAC risk-weighted assets (RWA)).  </t>
    </r>
  </si>
  <si>
    <r>
      <rPr>
        <sz val="9"/>
        <color rgb="FF000000"/>
        <rFont val="Scotia"/>
        <family val="2"/>
      </rPr>
      <t xml:space="preserve">(4) The leverage ratios are based on Basel III requirements as determined in accordance with OSFI Guideline - Leverage Requirements (February 2023).  </t>
    </r>
  </si>
  <si>
    <r>
      <rPr>
        <b/>
        <sz val="14"/>
        <color rgb="FFFFFFFF"/>
        <rFont val="Scotia"/>
        <family val="2"/>
      </rPr>
      <t>Appendix 1: Global Banking and Markets (Reported Including International Banking)</t>
    </r>
  </si>
  <si>
    <r>
      <rPr>
        <b/>
        <sz val="11"/>
        <color rgb="FFFF0000"/>
        <rFont val="Scotia"/>
        <family val="2"/>
      </rPr>
      <t>Global Banking and Markets</t>
    </r>
  </si>
  <si>
    <r>
      <rPr>
        <b/>
        <sz val="11"/>
        <color rgb="FF000000"/>
        <rFont val="Scotia"/>
        <family val="2"/>
      </rPr>
      <t>Revenue by Business</t>
    </r>
  </si>
  <si>
    <r>
      <rPr>
        <b/>
        <sz val="11"/>
        <color rgb="FF000000"/>
        <rFont val="Scotia"/>
        <family val="2"/>
      </rPr>
      <t>Reported Total Revenue (TEB)</t>
    </r>
  </si>
  <si>
    <r>
      <rPr>
        <sz val="11"/>
        <color rgb="FF000000"/>
        <rFont val="Scotia"/>
        <family val="2"/>
      </rPr>
      <t>Reported net income</t>
    </r>
  </si>
  <si>
    <r>
      <rPr>
        <sz val="11"/>
        <color rgb="FF000000"/>
        <rFont val="Scotia"/>
        <family val="2"/>
      </rPr>
      <t>Reported net income attributable to non-controlling interests</t>
    </r>
  </si>
  <si>
    <r>
      <rPr>
        <b/>
        <sz val="11"/>
        <color rgb="FF000000"/>
        <rFont val="Scotia"/>
        <family val="2"/>
      </rPr>
      <t>Reported net income attributable to equity holders of the bank</t>
    </r>
  </si>
  <si>
    <r>
      <rPr>
        <b/>
        <sz val="11"/>
        <color rgb="FFFF0000"/>
        <rFont val="Scotia"/>
        <family val="2"/>
      </rPr>
      <t xml:space="preserve">Average Balances </t>
    </r>
    <r>
      <rPr>
        <i/>
        <sz val="11"/>
        <color rgb="FFFF0000"/>
        <rFont val="Scotia"/>
        <family val="2"/>
      </rPr>
      <t>($ billions)</t>
    </r>
  </si>
  <si>
    <r>
      <rPr>
        <sz val="11"/>
        <color rgb="FF000000"/>
        <rFont val="Scotia"/>
        <family val="2"/>
      </rPr>
      <t>Total assets</t>
    </r>
  </si>
  <si>
    <r>
      <rPr>
        <sz val="11"/>
        <color rgb="FF000000"/>
        <rFont val="Scotia"/>
        <family val="2"/>
      </rPr>
      <t>Total liabilities</t>
    </r>
  </si>
  <si>
    <r>
      <rPr>
        <b/>
        <sz val="11"/>
        <color rgb="FFFF0000"/>
        <rFont val="Scotia"/>
        <family val="2"/>
      </rPr>
      <t>Global Banking and Markets — International Banking⁽¹⁾</t>
    </r>
  </si>
  <si>
    <r>
      <rPr>
        <b/>
        <sz val="11"/>
        <color rgb="FF000000"/>
        <rFont val="Scotia"/>
        <family val="2"/>
      </rPr>
      <t>Revenue by Business:</t>
    </r>
  </si>
  <si>
    <r>
      <rPr>
        <b/>
        <sz val="11"/>
        <color rgb="FF000000"/>
        <rFont val="Scotia"/>
        <family val="2"/>
      </rPr>
      <t>Net income</t>
    </r>
  </si>
  <si>
    <r>
      <rPr>
        <sz val="11"/>
        <color rgb="FF000000"/>
        <rFont val="Scotia"/>
        <family val="2"/>
      </rPr>
      <t>Net income attributable to non-controlling interests</t>
    </r>
  </si>
  <si>
    <r>
      <rPr>
        <b/>
        <sz val="11"/>
        <color rgb="FF000000"/>
        <rFont val="Scotia"/>
        <family val="2"/>
      </rPr>
      <t>Net income attributable to equity holders of the bank</t>
    </r>
  </si>
  <si>
    <r>
      <rPr>
        <b/>
        <sz val="11"/>
        <color rgb="FFFF0000"/>
        <rFont val="Scotia"/>
        <family val="2"/>
      </rPr>
      <t>Global Banking and Markets — Including International Banking</t>
    </r>
  </si>
  <si>
    <r>
      <rPr>
        <sz val="9"/>
        <color rgb="FF000000"/>
        <rFont val="Scotia"/>
        <family val="2"/>
      </rPr>
      <t xml:space="preserve">(1) Includes results of Mexico, Peru, Colombia, Chile, Brazil, Caribbean, along with results of smaller operations in the region. </t>
    </r>
  </si>
  <si>
    <r>
      <rPr>
        <b/>
        <sz val="14"/>
        <color rgb="FFFFFFFF"/>
        <rFont val="Scotia"/>
        <family val="2"/>
      </rPr>
      <t>Appendix 2: International Banking by Region — Latin America</t>
    </r>
  </si>
  <si>
    <r>
      <rPr>
        <b/>
        <sz val="11"/>
        <color rgb="FFFF0000"/>
        <rFont val="Scotia"/>
        <family val="2"/>
      </rPr>
      <t>Latin America⁽¹⁾</t>
    </r>
    <r>
      <rPr>
        <b/>
        <i/>
        <sz val="11"/>
        <color rgb="FFFF0000"/>
        <rFont val="Scotia"/>
        <family val="2"/>
      </rPr>
      <t>($ millions)</t>
    </r>
  </si>
  <si>
    <r>
      <rPr>
        <sz val="11"/>
        <color rgb="FF000000"/>
        <rFont val="Scotia"/>
        <family val="2"/>
      </rPr>
      <t>Total revenue (TEB)</t>
    </r>
  </si>
  <si>
    <r>
      <rPr>
        <sz val="11"/>
        <color rgb="FF000000"/>
        <rFont val="Scotia"/>
        <family val="2"/>
      </rPr>
      <t>Net income before tax</t>
    </r>
  </si>
  <si>
    <r>
      <rPr>
        <sz val="11"/>
        <color rgb="FF000000"/>
        <rFont val="Scotia"/>
        <family val="2"/>
      </rPr>
      <t xml:space="preserve">Adjusting items (after tax)⁽²⁾ </t>
    </r>
  </si>
  <si>
    <r>
      <rPr>
        <b/>
        <sz val="11"/>
        <color rgb="FF000000"/>
        <rFont val="Scotia"/>
        <family val="2"/>
      </rPr>
      <t xml:space="preserve">Adjusted net income⁽²⁾ </t>
    </r>
  </si>
  <si>
    <r>
      <rPr>
        <sz val="11"/>
        <color rgb="FF000000"/>
        <rFont val="Scotia"/>
        <family val="2"/>
      </rPr>
      <t>Net income attributable to non-controlling interests (NCI)</t>
    </r>
  </si>
  <si>
    <r>
      <rPr>
        <b/>
        <sz val="11"/>
        <color rgb="FF000000"/>
        <rFont val="Scotia"/>
        <family val="2"/>
      </rPr>
      <t>Net income attributable to equity holders of the Bank (NIAEH)</t>
    </r>
  </si>
  <si>
    <r>
      <rPr>
        <b/>
        <sz val="11"/>
        <color rgb="FF000000"/>
        <rFont val="Scotia"/>
        <family val="2"/>
      </rPr>
      <t>Net income attributable to equity holders of the Bank (NIAEH) - constant dollar basis⁽³⁾</t>
    </r>
  </si>
  <si>
    <r>
      <rPr>
        <sz val="11"/>
        <color rgb="FF000000"/>
        <rFont val="Scotia"/>
        <family val="2"/>
      </rPr>
      <t>Impact of FX Translation</t>
    </r>
  </si>
  <si>
    <r>
      <rPr>
        <b/>
        <sz val="11"/>
        <color rgb="FF000000"/>
        <rFont val="Scotia"/>
        <family val="2"/>
      </rPr>
      <t>Net income attributable to equity holders of the bank (NIAEH)</t>
    </r>
  </si>
  <si>
    <r>
      <rPr>
        <sz val="11"/>
        <color rgb="FF000000"/>
        <rFont val="Scotia"/>
        <family val="2"/>
      </rPr>
      <t>Impact of FX translation</t>
    </r>
  </si>
  <si>
    <r>
      <rPr>
        <sz val="11"/>
        <color rgb="FF000000"/>
        <rFont val="Scotia"/>
        <family val="2"/>
      </rPr>
      <t>Net interest margin⁽⁵⁾</t>
    </r>
  </si>
  <si>
    <r>
      <rPr>
        <b/>
        <sz val="11"/>
        <color rgb="FF000000"/>
        <rFont val="Scotia"/>
        <family val="2"/>
      </rPr>
      <t>Reported⁽⁶⁾</t>
    </r>
  </si>
  <si>
    <t>Provision for credit losses (PCL) as % of average net loans and acceptances⁽⁷⁾</t>
  </si>
  <si>
    <t>PCL on impaired loans as % of average net loans and acceptances⁽⁷⁾</t>
  </si>
  <si>
    <r>
      <rPr>
        <b/>
        <sz val="11"/>
        <color rgb="FFFF0000"/>
        <rFont val="Scotia"/>
        <family val="2"/>
      </rPr>
      <t xml:space="preserve">Average Balances </t>
    </r>
    <r>
      <rPr>
        <b/>
        <i/>
        <sz val="11"/>
        <color rgb="FFFF0000"/>
        <rFont val="Scotia"/>
        <family val="2"/>
      </rPr>
      <t>($ billions)</t>
    </r>
  </si>
  <si>
    <r>
      <rPr>
        <b/>
        <sz val="11"/>
        <color rgb="FF000000"/>
        <rFont val="Scotia"/>
        <family val="2"/>
      </rPr>
      <t>Total Deposits</t>
    </r>
  </si>
  <si>
    <r>
      <rPr>
        <sz val="9"/>
        <color rgb="FF000000"/>
        <rFont val="Scotia"/>
        <family val="2"/>
      </rPr>
      <t xml:space="preserve">(1) Includes results of Mexico, Peru, Colombia, Chile, Brazil, along with results of smaller operations in the region and unallocated expenses. </t>
    </r>
  </si>
  <si>
    <r>
      <rPr>
        <sz val="9"/>
        <color rgb="FF000000"/>
        <rFont val="Scotia"/>
        <family val="2"/>
      </rPr>
      <t>(2) Adjusting item includes amortization of acquisition-related intangible assets. Refer to non-GAAP Measures on Notes Pages 1-2 of the Supplementary Financial Information Report for details.</t>
    </r>
  </si>
  <si>
    <r>
      <rPr>
        <sz val="9"/>
        <color rgb="FF000000"/>
        <rFont val="Scotia"/>
        <family val="2"/>
      </rPr>
      <t xml:space="preserve">(3)  Data presented on a constant FX basis. Quarterly results reflect FX rates as of Q4/25, while full-year results reflect Current Year YTD Average FX rates.  Refer to non-GAAP measures on page 23 of the Management's Discussion &amp; Analysis in the Bank's 2025 Annual Report, available on http://www.sedarplus.ca. </t>
    </r>
  </si>
  <si>
    <r>
      <rPr>
        <sz val="9"/>
        <color rgb="FF000000"/>
        <rFont val="Scotia"/>
        <family val="2"/>
      </rPr>
      <t>(4) Ratios are on a reported currency basis.</t>
    </r>
  </si>
  <si>
    <r>
      <rPr>
        <sz val="9"/>
        <color rgb="FF000000"/>
        <rFont val="Scotia"/>
        <family val="2"/>
      </rPr>
      <t>(5) Refer to non-GAAP measures on page 20 of the Management's Discussion &amp; Analysis in the Bank's 2025 Annual Report, available on http://www.sedarplus.ca for a description of the measure. Refer to Appendix 4 of the Supplementary Financial Information Report for reconciliation.</t>
    </r>
  </si>
  <si>
    <r>
      <rPr>
        <sz val="9"/>
        <color rgb="FF000000"/>
        <rFont val="Scotia"/>
        <family val="2"/>
      </rPr>
      <t>(6) Refer to page 136 of the Management's Discussion &amp; Analysis in the Bank's 2025 Annual Report, available on http://www.sedarplus.ca, for an explanation of the composition of the measure. Such explanation is incorporated by reference hereto.</t>
    </r>
  </si>
  <si>
    <r>
      <rPr>
        <sz val="9"/>
        <color rgb="FF000000"/>
        <rFont val="Scotia"/>
        <family val="2"/>
      </rPr>
      <t>(7) Provision for credit losses on certain financial assets - loans, acceptances and off-balance sheet exposures.</t>
    </r>
  </si>
  <si>
    <r>
      <rPr>
        <b/>
        <sz val="14"/>
        <color rgb="FFFFFFFF"/>
        <rFont val="Scotia"/>
        <family val="2"/>
      </rPr>
      <t>Appendix 2: International Banking by Region — Caribbean</t>
    </r>
  </si>
  <si>
    <r>
      <rPr>
        <b/>
        <sz val="11"/>
        <color rgb="FFFF0000"/>
        <rFont val="Scotia"/>
        <family val="2"/>
      </rPr>
      <t>Caribbean</t>
    </r>
    <r>
      <rPr>
        <b/>
        <i/>
        <sz val="11"/>
        <color rgb="FFFF0000"/>
        <rFont val="Scotia"/>
        <family val="2"/>
      </rPr>
      <t xml:space="preserve"> ($ millions)</t>
    </r>
  </si>
  <si>
    <r>
      <rPr>
        <b/>
        <sz val="11"/>
        <color rgb="FF000000"/>
        <rFont val="Scotia"/>
        <family val="2"/>
      </rPr>
      <t>Net income attributable to equity holders of the Bank (NIAEH) - constant dollar basis⁽²⁾</t>
    </r>
  </si>
  <si>
    <r>
      <rPr>
        <b/>
        <sz val="11"/>
        <color rgb="FF000000"/>
        <rFont val="Scotia"/>
        <family val="2"/>
      </rPr>
      <t>Adjusted⁽¹⁾</t>
    </r>
  </si>
  <si>
    <r>
      <rPr>
        <b/>
        <sz val="11"/>
        <color rgb="FFFF0000"/>
        <rFont val="Scotia"/>
        <family val="2"/>
      </rPr>
      <t>Profitability Measurements⁽³⁾</t>
    </r>
  </si>
  <si>
    <r>
      <rPr>
        <sz val="11"/>
        <color rgb="FF000000"/>
        <rFont val="Scotia"/>
        <family val="2"/>
      </rPr>
      <t>Net interest margin⁽⁴⁾</t>
    </r>
  </si>
  <si>
    <r>
      <rPr>
        <b/>
        <sz val="11"/>
        <color rgb="FF000000"/>
        <rFont val="Scotia"/>
        <family val="2"/>
      </rPr>
      <t>Reported⁽⁵⁾</t>
    </r>
  </si>
  <si>
    <t>Provision for credit losses (PCL) as % of average net loans and acceptances⁽⁶⁾</t>
  </si>
  <si>
    <t>PCL on impaired loans as % of average net loans and acceptances⁽⁶⁾</t>
  </si>
  <si>
    <r>
      <rPr>
        <sz val="9"/>
        <color rgb="FF000000"/>
        <rFont val="Scotia"/>
        <family val="2"/>
      </rPr>
      <t xml:space="preserve">(2) Data presented on a constant FX basis. Quarterly results reflect FX rates as of Q4/25, while full-year results reflect Current Year YTD Average FX rates.  Refer to non-GAAP measures on page 23 of the Management's Discussion &amp; Analysis in the Bank's 2025 Annual Report, available on http://www.sedarplus.ca. </t>
    </r>
  </si>
  <si>
    <r>
      <rPr>
        <sz val="9"/>
        <color rgb="FF000000"/>
        <rFont val="Scotia"/>
        <family val="2"/>
      </rPr>
      <t>(3) Ratios are on a reported currency basis.</t>
    </r>
  </si>
  <si>
    <r>
      <rPr>
        <sz val="9"/>
        <color rgb="FF000000"/>
        <rFont val="Scotia"/>
        <family val="2"/>
      </rPr>
      <t>(4)  Refer to non-GAAP measures on page 20 of the Management's Discussion &amp; Analysis in the Bank's 2025 Annual Report, available on http://www.sedarplus.ca for a description of the measure. Refer to Appendix 4 of the Supplementary Financial Information Report for reconciliation.</t>
    </r>
  </si>
  <si>
    <r>
      <rPr>
        <b/>
        <sz val="14"/>
        <color rgb="FFFFFFFF"/>
        <rFont val="Scotia"/>
        <family val="2"/>
      </rPr>
      <t>Appendix 2: International Banking by Region — Central America</t>
    </r>
  </si>
  <si>
    <r>
      <rPr>
        <b/>
        <sz val="11"/>
        <color rgb="FFFF0000"/>
        <rFont val="Scotia"/>
        <family val="2"/>
      </rPr>
      <t>Central America</t>
    </r>
    <r>
      <rPr>
        <b/>
        <i/>
        <sz val="11"/>
        <color rgb="FFFF0000"/>
        <rFont val="Scotia"/>
        <family val="2"/>
      </rPr>
      <t xml:space="preserve"> ($ millions)</t>
    </r>
  </si>
  <si>
    <r>
      <rPr>
        <b/>
        <sz val="14"/>
        <color rgb="FFFFFFFF"/>
        <rFont val="Scotia"/>
        <family val="2"/>
      </rPr>
      <t>Appendix 3: All Bank excluding Divested Operations</t>
    </r>
  </si>
  <si>
    <r>
      <rPr>
        <b/>
        <sz val="11"/>
        <color rgb="FFFF0000"/>
        <rFont val="Scotia"/>
        <family val="2"/>
      </rPr>
      <t>All Bank excluding Divested Operations</t>
    </r>
    <r>
      <rPr>
        <b/>
        <vertAlign val="superscript"/>
        <sz val="11"/>
        <color rgb="FFFF0000"/>
        <rFont val="Scotia"/>
        <family val="2"/>
      </rPr>
      <t>(1)</t>
    </r>
    <r>
      <rPr>
        <b/>
        <sz val="11"/>
        <color rgb="FFFF0000"/>
        <rFont val="Scotia"/>
        <family val="2"/>
      </rPr>
      <t xml:space="preserve">— </t>
    </r>
    <r>
      <rPr>
        <i/>
        <sz val="11"/>
        <color rgb="FFFF0000"/>
        <rFont val="Scotia"/>
        <family val="2"/>
      </rPr>
      <t>($ millions)</t>
    </r>
  </si>
  <si>
    <r>
      <rPr>
        <b/>
        <sz val="11"/>
        <color rgb="FF000000"/>
        <rFont val="Scotia"/>
        <family val="2"/>
      </rPr>
      <t>Reported Results</t>
    </r>
  </si>
  <si>
    <r>
      <rPr>
        <sz val="11"/>
        <color rgb="FF000000"/>
        <rFont val="Scotia"/>
        <family val="2"/>
      </rPr>
      <t xml:space="preserve">Net interest income </t>
    </r>
  </si>
  <si>
    <r>
      <rPr>
        <sz val="11"/>
        <color rgb="FF000000"/>
        <rFont val="Scotia"/>
        <family val="2"/>
      </rPr>
      <t xml:space="preserve">Non-interest income </t>
    </r>
  </si>
  <si>
    <r>
      <rPr>
        <sz val="11"/>
        <color rgb="FF000000"/>
        <rFont val="Scotia"/>
        <family val="2"/>
      </rPr>
      <t xml:space="preserve">Income tax expense </t>
    </r>
  </si>
  <si>
    <r>
      <rPr>
        <b/>
        <sz val="11"/>
        <color rgb="FF000000"/>
        <rFont val="Scotia"/>
        <family val="2"/>
      </rPr>
      <t>Net income attributable to non-controlling interests (NCI)</t>
    </r>
  </si>
  <si>
    <r>
      <rPr>
        <b/>
        <sz val="11"/>
        <color rgb="FF000000"/>
        <rFont val="Scotia"/>
        <family val="2"/>
      </rPr>
      <t>Adjusted Results</t>
    </r>
    <r>
      <rPr>
        <b/>
        <vertAlign val="superscript"/>
        <sz val="11"/>
        <color rgb="FF000000"/>
        <rFont val="Scotia"/>
        <family val="2"/>
      </rPr>
      <t>(2)</t>
    </r>
  </si>
  <si>
    <r>
      <rPr>
        <sz val="11"/>
        <color rgb="FF000000"/>
        <rFont val="Scotia"/>
        <family val="2"/>
      </rPr>
      <t xml:space="preserve">Total revenue </t>
    </r>
  </si>
  <si>
    <r>
      <rPr>
        <sz val="11"/>
        <color rgb="FF000000"/>
        <rFont val="Scotia"/>
        <family val="2"/>
      </rPr>
      <t>Net interest margin (%)</t>
    </r>
    <r>
      <rPr>
        <vertAlign val="superscript"/>
        <sz val="11"/>
        <color rgb="FF000000"/>
        <rFont val="Scotia"/>
        <family val="2"/>
      </rPr>
      <t>(3)</t>
    </r>
  </si>
  <si>
    <r>
      <rPr>
        <sz val="11"/>
        <color rgb="FF000000"/>
        <rFont val="Scotia"/>
        <family val="2"/>
      </rPr>
      <t>Return on equity (%)</t>
    </r>
    <r>
      <rPr>
        <vertAlign val="superscript"/>
        <sz val="11"/>
        <color rgb="FF000000"/>
        <rFont val="Scotia"/>
        <family val="2"/>
      </rPr>
      <t>(3)</t>
    </r>
  </si>
  <si>
    <r>
      <t>Provision for credit losses (PCL) as % of average net loans and acceptances</t>
    </r>
    <r>
      <rPr>
        <vertAlign val="superscript"/>
        <sz val="11"/>
        <color rgb="FF000000"/>
        <rFont val="Scotia"/>
        <family val="2"/>
      </rPr>
      <t>(4)(5)</t>
    </r>
  </si>
  <si>
    <r>
      <t>PCL on impaired loans as % of average net loans and acceptances</t>
    </r>
    <r>
      <rPr>
        <vertAlign val="superscript"/>
        <sz val="11"/>
        <color rgb="FF000000"/>
        <rFont val="Scotia"/>
        <family val="2"/>
      </rPr>
      <t>(4)(5)</t>
    </r>
  </si>
  <si>
    <r>
      <rPr>
        <sz val="11"/>
        <color rgb="FF000000"/>
        <rFont val="Scotia"/>
        <family val="2"/>
      </rPr>
      <t>Productivity ratio (%)</t>
    </r>
    <r>
      <rPr>
        <vertAlign val="superscript"/>
        <sz val="11"/>
        <color rgb="FF000000"/>
        <rFont val="Scotia"/>
        <family val="2"/>
      </rPr>
      <t>(3)</t>
    </r>
  </si>
  <si>
    <r>
      <rPr>
        <sz val="11"/>
        <color rgb="FF000000"/>
        <rFont val="Scotia"/>
        <family val="2"/>
      </rPr>
      <t xml:space="preserve">Effective tax rate (%) </t>
    </r>
    <r>
      <rPr>
        <vertAlign val="superscript"/>
        <sz val="11"/>
        <color rgb="FF000000"/>
        <rFont val="Scotia"/>
        <family val="2"/>
      </rPr>
      <t>(3)</t>
    </r>
  </si>
  <si>
    <r>
      <rPr>
        <b/>
        <sz val="11"/>
        <color rgb="FF000000"/>
        <rFont val="Scotia"/>
        <family val="2"/>
      </rPr>
      <t>Adjusted</t>
    </r>
    <r>
      <rPr>
        <b/>
        <vertAlign val="superscript"/>
        <sz val="11"/>
        <color rgb="FF000000"/>
        <rFont val="Scotia"/>
        <family val="2"/>
      </rPr>
      <t>(3)</t>
    </r>
  </si>
  <si>
    <r>
      <rPr>
        <sz val="11"/>
        <color rgb="FF000000"/>
        <rFont val="Scotia"/>
        <family val="2"/>
      </rPr>
      <t>Loans and Acceptances</t>
    </r>
  </si>
  <si>
    <r>
      <rPr>
        <b/>
        <sz val="11"/>
        <color rgb="FFFF0000"/>
        <rFont val="Scotia"/>
        <family val="2"/>
      </rPr>
      <t>Divested Operations</t>
    </r>
  </si>
  <si>
    <r>
      <rPr>
        <sz val="11"/>
        <color rgb="FF000000"/>
        <rFont val="Scotia"/>
        <family val="2"/>
      </rPr>
      <t xml:space="preserve">Net interest income </t>
    </r>
    <r>
      <rPr>
        <sz val="11"/>
        <color rgb="FFFFFFFF"/>
        <rFont val="Scotia"/>
        <family val="2"/>
      </rPr>
      <t xml:space="preserve">(TEB) </t>
    </r>
  </si>
  <si>
    <r>
      <rPr>
        <sz val="11"/>
        <color rgb="FF000000"/>
        <rFont val="Scotia"/>
        <family val="2"/>
      </rPr>
      <t xml:space="preserve">Non-interest income </t>
    </r>
    <r>
      <rPr>
        <sz val="11"/>
        <color rgb="FFFFFFFF"/>
        <rFont val="Scotia"/>
        <family val="2"/>
      </rPr>
      <t>(TEB)</t>
    </r>
  </si>
  <si>
    <r>
      <rPr>
        <b/>
        <sz val="11"/>
        <color rgb="FF000000"/>
        <rFont val="Scotia"/>
        <family val="2"/>
      </rPr>
      <t xml:space="preserve">Total revenue </t>
    </r>
    <r>
      <rPr>
        <b/>
        <sz val="11"/>
        <color rgb="FFFFFFFF"/>
        <rFont val="Scotia"/>
        <family val="2"/>
      </rPr>
      <t>(TEB)</t>
    </r>
  </si>
  <si>
    <r>
      <rPr>
        <sz val="11"/>
        <color rgb="FF000000"/>
        <rFont val="Scotia"/>
        <family val="2"/>
      </rPr>
      <t xml:space="preserve">Income tax expense </t>
    </r>
    <r>
      <rPr>
        <sz val="11"/>
        <color rgb="FFFFFFFF"/>
        <rFont val="Scotia"/>
        <family val="2"/>
      </rPr>
      <t xml:space="preserve">(TEB) </t>
    </r>
  </si>
  <si>
    <r>
      <rPr>
        <b/>
        <sz val="11"/>
        <color rgb="FF000000"/>
        <rFont val="Scotia"/>
        <family val="2"/>
      </rPr>
      <t>Adjusted net income</t>
    </r>
  </si>
  <si>
    <r>
      <rPr>
        <b/>
        <sz val="11"/>
        <color rgb="FF000000"/>
        <rFont val="Scotia"/>
        <family val="2"/>
      </rPr>
      <t>Adjusted net income attributable to non-controlling interests (NCI)</t>
    </r>
  </si>
  <si>
    <r>
      <rPr>
        <b/>
        <sz val="11"/>
        <color rgb="FF000000"/>
        <rFont val="Scotia"/>
        <family val="2"/>
      </rPr>
      <t>Adjusted net income attributable to equity holders of the bank</t>
    </r>
  </si>
  <si>
    <r>
      <rPr>
        <sz val="7"/>
        <color rgb="FF000000"/>
        <rFont val="Scotia"/>
        <family val="2"/>
      </rPr>
      <t>(1) On January 6, 2025, the Bank announced the sale of its banking operations in Colombia, Costa Rica and Panama to Davivienda Group.  The sale was completed on December 1, 2025 upon receiving all regulatory approvals and satisfying all customary closing conditions. In addition, on February 28, 2025, the Bank completed the sale of CrediScotia Financiera S.A. (Peru), which was announced in fiscal 2024. The results excluding divested operations are calculated by removing the impact of the above operations from earnings for the periods presented. The results and ratios excluding divested operations are non-GAAP measures and ratios, respectively. Management considers the results excluding divested operations useful in assessing underlying ongoing performance and allowing for better comparability following the divestitures. For further details on divestitures, refer to Note 35 of the Consolidated Financial Statements in the 2025 Annual Report to Shareholders.</t>
    </r>
  </si>
  <si>
    <r>
      <rPr>
        <sz val="7"/>
        <color rgb="FF000000"/>
        <rFont val="Scotia"/>
        <family val="2"/>
      </rPr>
      <t>(2) Refer to non-GAAP Measures on Notes Pages 1-2 of the Supplementary Financial Information Report for the description of the adjusting items. Refer to Page 33 of the Supplementary Financial Information Report for reconciliation.</t>
    </r>
  </si>
  <si>
    <r>
      <rPr>
        <sz val="7"/>
        <color rgb="FF000000"/>
        <rFont val="Scotia"/>
        <family val="2"/>
      </rPr>
      <t>(3) Refer to non-GAAP measures on page 20 of the Annual Report to Shareholders, available on http://www.sedarplus.ca for the description of the measure. Refer to Appendix 4 of the Supplementary Financial Information Report for reconciliation.</t>
    </r>
  </si>
  <si>
    <r>
      <rPr>
        <sz val="7"/>
        <color rgb="FF000000"/>
        <rFont val="Scotia"/>
        <family val="2"/>
      </rPr>
      <t xml:space="preserve">(4) Includes provision for credit losses on certain financial assets - loans, acceptances and off-balance sheet exposures.											</t>
    </r>
  </si>
  <si>
    <r>
      <rPr>
        <sz val="7"/>
        <color rgb="FF000000"/>
        <rFont val="Scotia"/>
        <family val="2"/>
      </rPr>
      <t>(5) Refer to Page 40 of the Supplementary Financial Information Report for reconciliation.</t>
    </r>
  </si>
  <si>
    <r>
      <rPr>
        <b/>
        <sz val="14"/>
        <color rgb="FFFFFFFF"/>
        <rFont val="Scotia"/>
        <family val="2"/>
      </rPr>
      <t>Appendix 3: International Banking excluding Divested Operations</t>
    </r>
  </si>
  <si>
    <r>
      <rPr>
        <b/>
        <sz val="11"/>
        <color rgb="FFFF0000"/>
        <rFont val="Scotia"/>
        <family val="2"/>
      </rPr>
      <t>International Banking excluding Divested Operations</t>
    </r>
    <r>
      <rPr>
        <b/>
        <vertAlign val="superscript"/>
        <sz val="11"/>
        <color rgb="FFFF0000"/>
        <rFont val="Scotia"/>
        <family val="2"/>
      </rPr>
      <t>(1)</t>
    </r>
    <r>
      <rPr>
        <b/>
        <sz val="11"/>
        <color rgb="FFFF0000"/>
        <rFont val="Scotia"/>
        <family val="2"/>
      </rPr>
      <t xml:space="preserve"> — </t>
    </r>
    <r>
      <rPr>
        <i/>
        <sz val="11"/>
        <color rgb="FFFF0000"/>
        <rFont val="Scotia"/>
        <family val="2"/>
      </rPr>
      <t>($ millions)</t>
    </r>
  </si>
  <si>
    <t>Net interest margin (%)⁽³⁾</t>
  </si>
  <si>
    <t>Provision for credit losses (PCL) as % of average net loans and acceptances⁽⁴⁾⁽⁵⁾</t>
  </si>
  <si>
    <t>PCL on impaired loans as % of average net loans and acceptances⁽⁴⁾⁽⁵⁾</t>
  </si>
  <si>
    <t>Effective tax rate (%) ⁽³⁾</t>
  </si>
  <si>
    <r>
      <rPr>
        <sz val="9"/>
        <color rgb="FF000000"/>
        <rFont val="Scotia"/>
        <family val="2"/>
      </rPr>
      <t>(1) On January 6, 2025, the Bank announced the sale of its banking operations in Colombia, Costa Rica and Panama to Davivienda Group.  The sale was completed on December 1, 2025 upon receiving all regulatory approvals and satisfying all customary closing conditions. In addition, on February 28, 2025, the Bank completed the sale of CrediScotia Financiera S.A. (Peru), which was announced in fiscal 2024. The results excluding divested operations are calculated by removing the impact of the above operations from earnings for the periods presented. The results and ratios excluding divested operations are non-GAAP measures and ratios, respectively. Management considers the results excluding divested operations useful in assessing underlying ongoing performance and allowing for better comparability following the divestitures. For further details on divestitures, refer to Note 35 of the Consolidated Financial Statements in the 2025 Annual Report to Shareholders.</t>
    </r>
  </si>
  <si>
    <r>
      <rPr>
        <sz val="9"/>
        <color rgb="FF000000"/>
        <rFont val="Scotia"/>
        <family val="2"/>
      </rPr>
      <t>(3) Refer to non-GAAP measures on page 20 of the Annual Report to Shareholders, available on http://www.sedarplus.ca for the description of the measure. Refer to Appendix 4 of the Supplementary Financial Information Report for reconciliation.</t>
    </r>
  </si>
  <si>
    <r>
      <rPr>
        <sz val="9"/>
        <color rgb="FF000000"/>
        <rFont val="Scotia"/>
        <family val="2"/>
      </rPr>
      <t>(4) Includes provision for credit losses on certain financial assets - loans, acceptances and off-balance sheet exposures.</t>
    </r>
  </si>
  <si>
    <r>
      <rPr>
        <sz val="9"/>
        <color rgb="FF000000"/>
        <rFont val="Scotia"/>
        <family val="2"/>
      </rPr>
      <t>(5) Refer to Page 40 of the Supplementary Financial Information Report for reconciliation.</t>
    </r>
  </si>
  <si>
    <r>
      <rPr>
        <b/>
        <sz val="14"/>
        <color rgb="FFFFFFFF"/>
        <rFont val="Scotia"/>
        <family val="2"/>
      </rPr>
      <t>Appendix 4: Reconciliation of non-GAAP Financial Measures</t>
    </r>
  </si>
  <si>
    <r>
      <rPr>
        <b/>
        <sz val="11"/>
        <color rgb="FF000000"/>
        <rFont val="Scotia"/>
        <family val="2"/>
      </rPr>
      <t>Reconciliation of reported and adjusted results</t>
    </r>
  </si>
  <si>
    <r>
      <rPr>
        <b/>
        <sz val="11"/>
        <color rgb="FFFF0000"/>
        <rFont val="Scotia"/>
        <family val="2"/>
      </rPr>
      <t>Reported Results</t>
    </r>
  </si>
  <si>
    <r>
      <rPr>
        <sz val="11"/>
        <color rgb="FF231F20"/>
        <rFont val="Scotia"/>
        <family val="2"/>
      </rPr>
      <t>Net interest income</t>
    </r>
  </si>
  <si>
    <r>
      <rPr>
        <b/>
        <sz val="11"/>
        <color rgb="FF231F20"/>
        <rFont val="Scotia"/>
        <family val="2"/>
      </rPr>
      <t>Total revenue</t>
    </r>
  </si>
  <si>
    <r>
      <rPr>
        <sz val="11"/>
        <color rgb="FF231F20"/>
        <rFont val="Scotia"/>
        <family val="2"/>
      </rPr>
      <t>Provision for credit losses</t>
    </r>
  </si>
  <si>
    <r>
      <rPr>
        <sz val="11"/>
        <color rgb="FF231F20"/>
        <rFont val="Scotia"/>
        <family val="2"/>
      </rPr>
      <t>Income before taxes</t>
    </r>
  </si>
  <si>
    <r>
      <rPr>
        <b/>
        <sz val="11"/>
        <color rgb="FF231F20"/>
        <rFont val="Scotia"/>
        <family val="2"/>
      </rPr>
      <t>Net income</t>
    </r>
  </si>
  <si>
    <r>
      <rPr>
        <sz val="11"/>
        <color rgb="FF231F20"/>
        <rFont val="Scotia"/>
        <family val="2"/>
      </rPr>
      <t>Net income attributable to non-controlling interests in subsidiaries (NCI)</t>
    </r>
  </si>
  <si>
    <r>
      <rPr>
        <sz val="11"/>
        <color rgb="FF231F20"/>
        <rFont val="Scotia"/>
        <family val="2"/>
      </rPr>
      <t>Net income attributable to equity holders</t>
    </r>
  </si>
  <si>
    <r>
      <rPr>
        <sz val="11"/>
        <color rgb="FF000000"/>
        <rFont val="Scotia"/>
        <family val="2"/>
      </rPr>
      <t>Net income attributable to preferred shareholders and other equity instrument holders</t>
    </r>
  </si>
  <si>
    <r>
      <rPr>
        <sz val="11"/>
        <color rgb="FF231F20"/>
        <rFont val="Scotia"/>
        <family val="2"/>
      </rPr>
      <t>Net income attributable to common shareholders</t>
    </r>
  </si>
  <si>
    <r>
      <rPr>
        <b/>
        <sz val="11"/>
        <color rgb="FFFF0000"/>
        <rFont val="Scotia"/>
        <family val="2"/>
      </rPr>
      <t>Adjustments</t>
    </r>
  </si>
  <si>
    <r>
      <rPr>
        <sz val="11"/>
        <color rgb="FF231F20"/>
        <rFont val="Scotia"/>
        <family val="2"/>
      </rPr>
      <t>Adjusting items impacting non-interest income and total revenue (Pre-tax)</t>
    </r>
  </si>
  <si>
    <r>
      <rPr>
        <sz val="11"/>
        <color rgb="FF231F20"/>
        <rFont val="Scotia"/>
        <family val="2"/>
      </rPr>
      <t>Divestitures and wind-down of operations</t>
    </r>
  </si>
  <si>
    <r>
      <rPr>
        <sz val="11"/>
        <color rgb="FF231F20"/>
        <rFont val="Scotia"/>
        <family val="2"/>
      </rPr>
      <t>Amortization of acquisition-related intangible assets</t>
    </r>
  </si>
  <si>
    <r>
      <rPr>
        <sz val="11"/>
        <color rgb="FF231F20"/>
        <rFont val="Scotia"/>
        <family val="2"/>
      </rPr>
      <t>Total non-interest income and total revenue adjusting items (Pre-tax)</t>
    </r>
  </si>
  <si>
    <r>
      <rPr>
        <sz val="11"/>
        <color rgb="FF231F20"/>
        <rFont val="Scotia"/>
        <family val="2"/>
      </rPr>
      <t>Adjusting items impacting non-interest expense (Pre-tax)</t>
    </r>
  </si>
  <si>
    <r>
      <rPr>
        <sz val="11"/>
        <color rgb="FF231F20"/>
        <rFont val="Scotia"/>
        <family val="2"/>
      </rPr>
      <t>Restructuring charge and severance provisions</t>
    </r>
  </si>
  <si>
    <r>
      <rPr>
        <sz val="11"/>
        <color rgb="FF231F20"/>
        <rFont val="Scotia"/>
        <family val="2"/>
      </rPr>
      <t>Legal provision</t>
    </r>
  </si>
  <si>
    <r>
      <rPr>
        <sz val="11"/>
        <color rgb="FF231F20"/>
        <rFont val="Scotia"/>
        <family val="2"/>
      </rPr>
      <t>Impairment of non-financial assets</t>
    </r>
  </si>
  <si>
    <r>
      <rPr>
        <sz val="11"/>
        <color rgb="FF231F20"/>
        <rFont val="Scotia"/>
        <family val="2"/>
      </rPr>
      <t>Consolidation of real estate and contract termination costs</t>
    </r>
  </si>
  <si>
    <r>
      <rPr>
        <sz val="11"/>
        <color rgb="FF231F20"/>
        <rFont val="Scotia"/>
        <family val="2"/>
      </rPr>
      <t>Total non-interest expense adjusting items (Pre-tax)</t>
    </r>
  </si>
  <si>
    <r>
      <rPr>
        <b/>
        <sz val="11"/>
        <color rgb="FF231F20"/>
        <rFont val="Scotia"/>
        <family val="2"/>
      </rPr>
      <t>Total impact of adjusting items on net income before taxes</t>
    </r>
  </si>
  <si>
    <r>
      <rPr>
        <sz val="11"/>
        <color rgb="FF231F20"/>
        <rFont val="Scotia"/>
        <family val="2"/>
      </rPr>
      <t>Impact of adjusting items on income tax expense</t>
    </r>
  </si>
  <si>
    <r>
      <rPr>
        <b/>
        <sz val="11"/>
        <color rgb="FF231F20"/>
        <rFont val="Scotia"/>
        <family val="2"/>
      </rPr>
      <t>Total impact of adjusting items on income tax expense</t>
    </r>
  </si>
  <si>
    <r>
      <rPr>
        <b/>
        <sz val="11"/>
        <color rgb="FF231F20"/>
        <rFont val="Scotia"/>
        <family val="2"/>
      </rPr>
      <t>Total impact of adjusting items on net income</t>
    </r>
  </si>
  <si>
    <r>
      <rPr>
        <sz val="11"/>
        <color rgb="FF231F20"/>
        <rFont val="Scotia"/>
        <family val="2"/>
      </rPr>
      <t>Impact of adjusting items on NCI</t>
    </r>
  </si>
  <si>
    <r>
      <rPr>
        <b/>
        <sz val="11"/>
        <color rgb="FF231F20"/>
        <rFont val="Scotia"/>
        <family val="2"/>
      </rPr>
      <t>Total impact of adjusting items on net income attributable to equity holders and common shareholders</t>
    </r>
  </si>
  <si>
    <r>
      <rPr>
        <b/>
        <sz val="11"/>
        <color rgb="FFFF0000"/>
        <rFont val="Scotia"/>
        <family val="2"/>
      </rPr>
      <t>Adjusted Results</t>
    </r>
    <r>
      <rPr>
        <sz val="11"/>
        <color rgb="FFFF0000"/>
        <rFont val="Scotia"/>
        <family val="2"/>
      </rPr>
      <t xml:space="preserve"> </t>
    </r>
  </si>
  <si>
    <r>
      <rPr>
        <sz val="11"/>
        <color rgb="FF231F20"/>
        <rFont val="Scotia"/>
        <family val="2"/>
      </rPr>
      <t>Adjusted Net interest income</t>
    </r>
  </si>
  <si>
    <r>
      <rPr>
        <sz val="11"/>
        <color rgb="FF000000"/>
        <rFont val="Scotia"/>
        <family val="2"/>
      </rPr>
      <t>Adjusted Non-interest income</t>
    </r>
  </si>
  <si>
    <r>
      <rPr>
        <b/>
        <sz val="11"/>
        <color rgb="FF231F20"/>
        <rFont val="Scotia"/>
        <family val="2"/>
      </rPr>
      <t>Adjusted Total revenue</t>
    </r>
  </si>
  <si>
    <r>
      <rPr>
        <sz val="11"/>
        <color rgb="FF231F20"/>
        <rFont val="Scotia"/>
        <family val="2"/>
      </rPr>
      <t>Adjusted Provision for credit losses</t>
    </r>
  </si>
  <si>
    <r>
      <rPr>
        <sz val="11"/>
        <color rgb="FF000000"/>
        <rFont val="Scotia"/>
        <family val="2"/>
      </rPr>
      <t>Adjusted Non-interest expenses</t>
    </r>
  </si>
  <si>
    <r>
      <rPr>
        <sz val="11"/>
        <color rgb="FF231F20"/>
        <rFont val="Scotia"/>
        <family val="2"/>
      </rPr>
      <t>Adjusted Income before taxes</t>
    </r>
  </si>
  <si>
    <r>
      <rPr>
        <sz val="11"/>
        <color rgb="FF000000"/>
        <rFont val="Scotia"/>
        <family val="2"/>
      </rPr>
      <t>Adjusted Income tax expense</t>
    </r>
  </si>
  <si>
    <r>
      <rPr>
        <b/>
        <sz val="11"/>
        <color rgb="FF231F20"/>
        <rFont val="Scotia"/>
        <family val="2"/>
      </rPr>
      <t>Adjusted Net income</t>
    </r>
  </si>
  <si>
    <r>
      <rPr>
        <sz val="11"/>
        <color rgb="FF231F20"/>
        <rFont val="Scotia"/>
        <family val="2"/>
      </rPr>
      <t>Adjusted Net income attributable to NCI</t>
    </r>
  </si>
  <si>
    <r>
      <rPr>
        <sz val="11"/>
        <color rgb="FF231F20"/>
        <rFont val="Scotia"/>
        <family val="2"/>
      </rPr>
      <t>Adjusted Net income attributable to equity holders</t>
    </r>
  </si>
  <si>
    <r>
      <rPr>
        <sz val="11"/>
        <color rgb="FF231F20"/>
        <rFont val="Scotia"/>
        <family val="2"/>
      </rPr>
      <t>Adjusted Net income attributable to preferred shareholders and other equity instrument holders</t>
    </r>
  </si>
  <si>
    <r>
      <rPr>
        <sz val="11"/>
        <color rgb="FF231F20"/>
        <rFont val="Scotia"/>
        <family val="2"/>
      </rPr>
      <t>Adjusted Net income attributable to common shareholders</t>
    </r>
  </si>
  <si>
    <r>
      <rPr>
        <b/>
        <sz val="11"/>
        <color rgb="FF000000"/>
        <rFont val="Scotia"/>
        <family val="2"/>
      </rPr>
      <t>Reported and adjusted diluted earnings per common share</t>
    </r>
  </si>
  <si>
    <r>
      <rPr>
        <sz val="11"/>
        <color rgb="FF000000"/>
        <rFont val="Scotia"/>
        <family val="2"/>
      </rPr>
      <t>Foreign currency loss on redemption of subordinated additional Tier 1 capital notes</t>
    </r>
  </si>
  <si>
    <r>
      <rPr>
        <sz val="11"/>
        <color rgb="FF231F20"/>
        <rFont val="Scotia"/>
        <family val="2"/>
      </rPr>
      <t>Net income attributable to common shareholders used to calculate basic earnings per common share</t>
    </r>
  </si>
  <si>
    <r>
      <rPr>
        <sz val="11"/>
        <color rgb="FF000000"/>
        <rFont val="Scotia"/>
        <family val="2"/>
      </rPr>
      <t>Dilutive impact of share-based payment options and others</t>
    </r>
  </si>
  <si>
    <r>
      <rPr>
        <b/>
        <sz val="11"/>
        <color rgb="FF231F20"/>
        <rFont val="Scotia"/>
        <family val="2"/>
      </rPr>
      <t>Net income attributable to common shareholders (diluted)</t>
    </r>
  </si>
  <si>
    <r>
      <rPr>
        <sz val="11"/>
        <color rgb="FF231F20"/>
        <rFont val="Scotia"/>
        <family val="2"/>
      </rPr>
      <t>Weighted average number of diluted common shares outstanding (millions)</t>
    </r>
  </si>
  <si>
    <r>
      <rPr>
        <b/>
        <sz val="11"/>
        <color rgb="FF231F20"/>
        <rFont val="Scotia"/>
        <family val="2"/>
      </rPr>
      <t>Diluted earnings per common share (in dollars)</t>
    </r>
  </si>
  <si>
    <r>
      <rPr>
        <sz val="11"/>
        <color rgb="FF000000"/>
        <rFont val="Scotia"/>
        <family val="2"/>
      </rPr>
      <t>Impact of adjusting items on net income attributable to common shareholders⁽¹⁾</t>
    </r>
  </si>
  <si>
    <r>
      <rPr>
        <sz val="11"/>
        <color rgb="FF231F20"/>
        <rFont val="Scotia"/>
        <family val="2"/>
      </rPr>
      <t>Foreign currency loss on redemption of Subordinated Additional Tier 1 Capital Notes</t>
    </r>
  </si>
  <si>
    <r>
      <rPr>
        <sz val="11"/>
        <color rgb="FF231F20"/>
        <rFont val="Scotia"/>
        <family val="2"/>
      </rPr>
      <t>Adjusted net income attributable to common shareholders used to calculate adjusted basic earnings per common share</t>
    </r>
  </si>
  <si>
    <r>
      <rPr>
        <b/>
        <sz val="11"/>
        <color rgb="FF231F20"/>
        <rFont val="Scotia"/>
        <family val="2"/>
      </rPr>
      <t>Adjusted net income attributable to common shareholders (diluted)</t>
    </r>
  </si>
  <si>
    <r>
      <rPr>
        <sz val="11"/>
        <color rgb="FF000000"/>
        <rFont val="Scotia"/>
        <family val="2"/>
      </rPr>
      <t>Weighted average number of diluted common shares outstanding (millions)</t>
    </r>
  </si>
  <si>
    <r>
      <rPr>
        <sz val="11"/>
        <color rgb="FF231F20"/>
        <rFont val="Scotia"/>
        <family val="2"/>
      </rPr>
      <t>Adjusted diluted earnings per common share (in dollars)</t>
    </r>
  </si>
  <si>
    <r>
      <rPr>
        <b/>
        <sz val="11"/>
        <color rgb="FF231F20"/>
        <rFont val="Scotia"/>
        <family val="2"/>
      </rPr>
      <t>Impact of adjustments on diluted earnings per share (in dollars)</t>
    </r>
  </si>
  <si>
    <r>
      <rPr>
        <sz val="7"/>
        <color rgb="FF000000"/>
        <rFont val="Scotia"/>
        <family val="2"/>
      </rPr>
      <t>(1) Refer to non-GAAP Measures on Notes Pages 1-2 of the Supplementary Financial Information Report for the description of the adjusting items. Refer to Page 33 of the Supplementary Financial Information Report for reconciliation.</t>
    </r>
  </si>
  <si>
    <r>
      <rPr>
        <b/>
        <sz val="11"/>
        <color rgb="FF000000"/>
        <rFont val="Scotia"/>
        <family val="2"/>
      </rPr>
      <t>Return on equity reported and adjusted results by operating segment</t>
    </r>
  </si>
  <si>
    <r>
      <rPr>
        <b/>
        <sz val="11"/>
        <color rgb="FFFF0000"/>
        <rFont val="Scotia"/>
        <family val="2"/>
      </rPr>
      <t>All Bank</t>
    </r>
  </si>
  <si>
    <r>
      <rPr>
        <sz val="11"/>
        <color rgb="FF000000"/>
        <rFont val="Scotia"/>
        <family val="2"/>
      </rPr>
      <t>Total average common equity⁽¹⁾</t>
    </r>
  </si>
  <si>
    <r>
      <rPr>
        <sz val="11"/>
        <color rgb="FF000000"/>
        <rFont val="Scotia"/>
        <family val="2"/>
      </rPr>
      <t>Return on equity</t>
    </r>
  </si>
  <si>
    <r>
      <rPr>
        <b/>
        <sz val="11"/>
        <color rgb="FFFF0000"/>
        <rFont val="Scotia"/>
        <family val="2"/>
      </rPr>
      <t>Canadian Banking</t>
    </r>
  </si>
  <si>
    <r>
      <rPr>
        <b/>
        <sz val="11"/>
        <color rgb="FFFF0000"/>
        <rFont val="Scotia"/>
        <family val="2"/>
      </rPr>
      <t>International Banking</t>
    </r>
  </si>
  <si>
    <r>
      <rPr>
        <b/>
        <sz val="11"/>
        <color rgb="FFFF0000"/>
        <rFont val="Scotia"/>
        <family val="2"/>
      </rPr>
      <t>Global Wealth Management</t>
    </r>
  </si>
  <si>
    <r>
      <rPr>
        <sz val="9"/>
        <color rgb="FF000000"/>
        <rFont val="Scotia"/>
        <family val="2"/>
      </rPr>
      <t>(1) Average amounts calculated using methods intended to approximate the daily average balances for the period.</t>
    </r>
  </si>
  <si>
    <r>
      <rPr>
        <sz val="9"/>
        <color rgb="FF000000"/>
        <rFont val="Scotia"/>
        <family val="2"/>
      </rPr>
      <t>(2) Refer to non-GAAP Measures on Notes Pages 1-2 of the Supplementary Financial Information Report for the description of the adjusting items. Refer to Page 33 of the Supplementary Financial Information Report for reconciliation.</t>
    </r>
  </si>
  <si>
    <r>
      <rPr>
        <b/>
        <sz val="11"/>
        <color rgb="FF000000"/>
        <rFont val="Scotia"/>
        <family val="2"/>
      </rPr>
      <t>Net Interest Margin by operating segment</t>
    </r>
  </si>
  <si>
    <r>
      <rPr>
        <b/>
        <sz val="11"/>
        <color rgb="FF000000"/>
        <rFont val="Scotia"/>
        <family val="2"/>
      </rPr>
      <t>Average total assets</t>
    </r>
    <r>
      <rPr>
        <b/>
        <vertAlign val="superscript"/>
        <sz val="11"/>
        <color rgb="FF333333"/>
        <rFont val="Scotia"/>
        <family val="2"/>
      </rPr>
      <t>⁽¹⁾</t>
    </r>
  </si>
  <si>
    <r>
      <rPr>
        <sz val="11"/>
        <color rgb="FF000000"/>
        <rFont val="Scotia"/>
        <family val="2"/>
      </rPr>
      <t>Less: Non-earning assets</t>
    </r>
  </si>
  <si>
    <r>
      <rPr>
        <sz val="11"/>
        <color rgb="FF000000"/>
        <rFont val="Scotia"/>
        <family val="2"/>
      </rPr>
      <t>Average total earning assets</t>
    </r>
    <r>
      <rPr>
        <vertAlign val="superscript"/>
        <sz val="11"/>
        <color rgb="FF333333"/>
        <rFont val="Scotia"/>
        <family val="2"/>
      </rPr>
      <t>⁽¹⁾</t>
    </r>
  </si>
  <si>
    <r>
      <rPr>
        <sz val="11"/>
        <color rgb="FF000000"/>
        <rFont val="Scotia"/>
        <family val="2"/>
      </rPr>
      <t>Less:</t>
    </r>
  </si>
  <si>
    <r>
      <rPr>
        <sz val="11"/>
        <color rgb="FF000000"/>
        <rFont val="Scotia"/>
        <family val="2"/>
      </rPr>
      <t>Other deductions</t>
    </r>
  </si>
  <si>
    <r>
      <rPr>
        <b/>
        <sz val="11"/>
        <color rgb="FF000000"/>
        <rFont val="Scotia"/>
        <family val="2"/>
      </rPr>
      <t>Average core earning assets</t>
    </r>
    <r>
      <rPr>
        <b/>
        <vertAlign val="superscript"/>
        <sz val="11"/>
        <color rgb="FF333333"/>
        <rFont val="Scotia"/>
        <family val="2"/>
      </rPr>
      <t>⁽¹⁾</t>
    </r>
  </si>
  <si>
    <r>
      <rPr>
        <b/>
        <sz val="11"/>
        <color rgb="FF000000"/>
        <rFont val="Scotia"/>
        <family val="2"/>
      </rPr>
      <t>Net Interest Income</t>
    </r>
  </si>
  <si>
    <r>
      <rPr>
        <sz val="11"/>
        <color rgb="FF000000"/>
        <rFont val="Scotia"/>
        <family val="2"/>
      </rPr>
      <t>Less: Non-core net interest income</t>
    </r>
  </si>
  <si>
    <r>
      <rPr>
        <b/>
        <sz val="11"/>
        <color rgb="FF000000"/>
        <rFont val="Scotia"/>
        <family val="2"/>
      </rPr>
      <t>Net interest income on core earning assets</t>
    </r>
  </si>
  <si>
    <t>Net  Interest Margin (%)⁽²⁾</t>
  </si>
  <si>
    <r>
      <rPr>
        <sz val="9"/>
        <color rgb="FF000000"/>
        <rFont val="Scotia"/>
        <family val="2"/>
      </rPr>
      <t>(1) Average balances represents the average of daily balance for the period.</t>
    </r>
  </si>
  <si>
    <r>
      <rPr>
        <sz val="9"/>
        <color rgb="FF000000"/>
        <rFont val="Scotia"/>
        <family val="2"/>
      </rPr>
      <t>(2) Refer to non-GAAP measures on page 20 of the Management's Discussion &amp; Analysis in the Bank's 2025 Annual Report, available on http://www.sedarplus.ca for a description of the measure.</t>
    </r>
  </si>
  <si>
    <r>
      <rPr>
        <b/>
        <sz val="11"/>
        <color rgb="FF000000"/>
        <rFont val="Scotia"/>
        <family val="2"/>
      </rPr>
      <t>Net Interest Margin by International Banking Region</t>
    </r>
  </si>
  <si>
    <r>
      <rPr>
        <b/>
        <sz val="11"/>
        <color rgb="FFFF0000"/>
        <rFont val="Scotia"/>
        <family val="2"/>
      </rPr>
      <t>Latin America</t>
    </r>
  </si>
  <si>
    <r>
      <rPr>
        <sz val="11"/>
        <color rgb="FF000000"/>
        <rFont val="Scotia"/>
        <family val="2"/>
      </rPr>
      <t>Non-core net interest income</t>
    </r>
  </si>
  <si>
    <t>Net Interest Margin (%)⁽²⁾</t>
  </si>
  <si>
    <r>
      <rPr>
        <b/>
        <sz val="11"/>
        <color rgb="FFFF0000"/>
        <rFont val="Scotia"/>
        <family val="2"/>
      </rPr>
      <t>Caribbean</t>
    </r>
  </si>
  <si>
    <r>
      <rPr>
        <b/>
        <sz val="11"/>
        <color rgb="FFFF0000"/>
        <rFont val="Scotia"/>
        <family val="2"/>
      </rPr>
      <t>Central America</t>
    </r>
  </si>
  <si>
    <r>
      <rPr>
        <sz val="9"/>
        <color rgb="FF000000"/>
        <rFont val="Scotia"/>
        <family val="2"/>
      </rPr>
      <t>(1) Average balances represents the average of daily balance for the period</t>
    </r>
  </si>
  <si>
    <r>
      <rPr>
        <b/>
        <sz val="11"/>
        <color rgb="FF000000"/>
        <rFont val="Scotia"/>
        <family val="2"/>
      </rPr>
      <t>Return on equity excluding Divested Operations</t>
    </r>
  </si>
  <si>
    <r>
      <rPr>
        <b/>
        <sz val="11"/>
        <color rgb="FFFF0000"/>
        <rFont val="Scotia"/>
        <family val="2"/>
      </rPr>
      <t>All Bank excluding Divested Operations</t>
    </r>
  </si>
  <si>
    <r>
      <rPr>
        <sz val="11"/>
        <color rgb="FF000000"/>
        <rFont val="Scotia"/>
        <family val="2"/>
      </rPr>
      <t>Less: Net income from divested operations</t>
    </r>
  </si>
  <si>
    <r>
      <rPr>
        <sz val="11"/>
        <color rgb="FF000000"/>
        <rFont val="Scotia"/>
        <family val="2"/>
      </rPr>
      <t xml:space="preserve">Net income attributable to common shareholders excluding divested operations </t>
    </r>
  </si>
  <si>
    <r>
      <rPr>
        <sz val="11"/>
        <color rgb="FF000000"/>
        <rFont val="Scotia"/>
        <family val="2"/>
      </rPr>
      <t>Average common shareholder's equity⁽¹⁾</t>
    </r>
  </si>
  <si>
    <r>
      <rPr>
        <sz val="11"/>
        <color rgb="FF000000"/>
        <rFont val="Scotia"/>
        <family val="2"/>
      </rPr>
      <t>Less: Average common shareholder's equity from divested operations</t>
    </r>
  </si>
  <si>
    <r>
      <rPr>
        <sz val="11"/>
        <color rgb="FF000000"/>
        <rFont val="Scotia"/>
        <family val="2"/>
      </rPr>
      <t>Average common shareholder's equity excluding divested operations</t>
    </r>
  </si>
  <si>
    <r>
      <rPr>
        <b/>
        <sz val="11"/>
        <color rgb="FF000000"/>
        <rFont val="Scotia"/>
        <family val="2"/>
      </rPr>
      <t>Return on equity excluding divested operations</t>
    </r>
  </si>
  <si>
    <r>
      <rPr>
        <b/>
        <sz val="11"/>
        <color rgb="FF000000"/>
        <rFont val="Scotia"/>
        <family val="2"/>
      </rPr>
      <t>Adjusted</t>
    </r>
    <r>
      <rPr>
        <b/>
        <vertAlign val="superscript"/>
        <sz val="11"/>
        <color rgb="FF000000"/>
        <rFont val="Scotia"/>
        <family val="2"/>
      </rPr>
      <t>(2)</t>
    </r>
  </si>
  <si>
    <r>
      <rPr>
        <b/>
        <sz val="11"/>
        <color rgb="FF000000"/>
        <rFont val="Scotia"/>
        <family val="2"/>
      </rPr>
      <t>Adjusted return on equity excluding divested operations</t>
    </r>
  </si>
  <si>
    <r>
      <rPr>
        <b/>
        <sz val="11"/>
        <color rgb="FFFF0000"/>
        <rFont val="Scotia"/>
        <family val="2"/>
      </rPr>
      <t>International Banking excluding Divested Operations</t>
    </r>
  </si>
  <si>
    <r>
      <rPr>
        <b/>
        <sz val="11"/>
        <color rgb="FF000000"/>
        <rFont val="Scotia"/>
        <family val="2"/>
      </rPr>
      <t>Net Interest Margin excluding Divested Operations</t>
    </r>
  </si>
  <si>
    <r>
      <rPr>
        <sz val="11"/>
        <color rgb="FF000000"/>
        <rFont val="Scotia"/>
        <family val="2"/>
      </rPr>
      <t>Average core earning assets</t>
    </r>
    <r>
      <rPr>
        <vertAlign val="superscript"/>
        <sz val="11"/>
        <color rgb="FF000000"/>
        <rFont val="Scotia"/>
        <family val="2"/>
      </rPr>
      <t xml:space="preserve"> (1)</t>
    </r>
  </si>
  <si>
    <r>
      <rPr>
        <sz val="11"/>
        <color rgb="FF000000"/>
        <rFont val="Scotia"/>
        <family val="2"/>
      </rPr>
      <t>Less: Average core earning assets from divested operations</t>
    </r>
  </si>
  <si>
    <r>
      <rPr>
        <sz val="11"/>
        <color rgb="FF000000"/>
        <rFont val="Scotia"/>
        <family val="2"/>
      </rPr>
      <t>Average core earning assets excluding divested operations</t>
    </r>
  </si>
  <si>
    <r>
      <rPr>
        <sz val="11"/>
        <color rgb="FF000000"/>
        <rFont val="Scotia"/>
        <family val="2"/>
      </rPr>
      <t xml:space="preserve">Core net interest income </t>
    </r>
  </si>
  <si>
    <r>
      <rPr>
        <sz val="11"/>
        <color rgb="FF000000"/>
        <rFont val="Scotia"/>
        <family val="2"/>
      </rPr>
      <t>Less: Core net interest income from divested operations</t>
    </r>
  </si>
  <si>
    <r>
      <rPr>
        <sz val="11"/>
        <color rgb="FF000000"/>
        <rFont val="Scotia"/>
        <family val="2"/>
      </rPr>
      <t>Core net interest income excluding divested operations</t>
    </r>
  </si>
  <si>
    <t>Net Interest Margin excluding divested operations (%)⁽²⁾</t>
  </si>
  <si>
    <r>
      <rPr>
        <sz val="9"/>
        <color rgb="FF000000"/>
        <rFont val="Scotia"/>
        <family val="2"/>
      </rPr>
      <t xml:space="preserve">(1) Average balances represents the average of daily balance for the period. </t>
    </r>
  </si>
  <si>
    <r>
      <rPr>
        <sz val="9"/>
        <color rgb="FF000000"/>
        <rFont val="Scotia"/>
        <family val="2"/>
      </rPr>
      <t>(2) Refer to non-GAAP measures on page 20 of the Annual Report to Shareholders, available on http://www.sedarplus.ca for a description of the measure.</t>
    </r>
  </si>
  <si>
    <r>
      <rPr>
        <b/>
        <sz val="11"/>
        <color rgb="FF000000"/>
        <rFont val="Scotia"/>
        <family val="2"/>
      </rPr>
      <t>Provision for credit losses ratio excluding Divested Operations</t>
    </r>
  </si>
  <si>
    <r>
      <rPr>
        <b/>
        <sz val="11"/>
        <color rgb="FF000000"/>
        <rFont val="Scotia"/>
        <family val="2"/>
      </rPr>
      <t>PCL Ratio</t>
    </r>
  </si>
  <si>
    <r>
      <rPr>
        <sz val="11"/>
        <color rgb="FF000000"/>
        <rFont val="Scotia"/>
        <family val="2"/>
      </rPr>
      <t>PCL on loans, acceptances and off-balance sheet exposures</t>
    </r>
  </si>
  <si>
    <r>
      <rPr>
        <sz val="11"/>
        <color rgb="FF000000"/>
        <rFont val="Scotia"/>
        <family val="2"/>
      </rPr>
      <t>Less: PCL on loans, acceptances and off-balance sheet exposures from divested operations</t>
    </r>
  </si>
  <si>
    <r>
      <rPr>
        <sz val="11"/>
        <color rgb="FF000000"/>
        <rFont val="Scotia"/>
        <family val="2"/>
      </rPr>
      <t>PCL on loans, acceptances and off-balance sheet exposures excluding divested operations</t>
    </r>
  </si>
  <si>
    <r>
      <t>Average net loans and acceptances</t>
    </r>
    <r>
      <rPr>
        <vertAlign val="superscript"/>
        <sz val="11"/>
        <color rgb="FF000000"/>
        <rFont val="Scotia"/>
        <family val="2"/>
      </rPr>
      <t>(1)</t>
    </r>
  </si>
  <si>
    <r>
      <rPr>
        <sz val="11"/>
        <color rgb="FF000000"/>
        <rFont val="Scotia"/>
        <family val="2"/>
      </rPr>
      <t>Less: Average net loans and acceptances from divested operations</t>
    </r>
  </si>
  <si>
    <r>
      <rPr>
        <sz val="11"/>
        <color rgb="FF000000"/>
        <rFont val="Scotia"/>
        <family val="2"/>
      </rPr>
      <t>Average net loans and acceptances excluding divested operations</t>
    </r>
  </si>
  <si>
    <r>
      <t>PCL Ratio excluding divested operations</t>
    </r>
    <r>
      <rPr>
        <b/>
        <vertAlign val="superscript"/>
        <sz val="11"/>
        <color rgb="FF000000"/>
        <rFont val="Scotia"/>
        <family val="2"/>
      </rPr>
      <t>(2)</t>
    </r>
  </si>
  <si>
    <r>
      <rPr>
        <b/>
        <sz val="11"/>
        <color rgb="FF000000"/>
        <rFont val="Scotia"/>
        <family val="2"/>
      </rPr>
      <t>PCL Ratio on Impaired Loans</t>
    </r>
  </si>
  <si>
    <t>PCL on impaired loans, acceptances and off-balance sheet exposures</t>
  </si>
  <si>
    <t>PCL on impaired loans, acceptances and off-balance sheet exposures excluding divested operations</t>
  </si>
  <si>
    <r>
      <t>PCL Ratio on Impaired Loans excluding divested operations</t>
    </r>
    <r>
      <rPr>
        <b/>
        <vertAlign val="superscript"/>
        <sz val="11"/>
        <color rgb="FF000000"/>
        <rFont val="Scotia"/>
        <family val="2"/>
      </rPr>
      <t>(2)</t>
    </r>
  </si>
  <si>
    <r>
      <rPr>
        <b/>
        <sz val="11"/>
        <color rgb="FF000000"/>
        <rFont val="Scotia"/>
        <family val="2"/>
      </rPr>
      <t>PCL Ratio on Impaired Loans excluding divested operations</t>
    </r>
    <r>
      <rPr>
        <b/>
        <vertAlign val="superscript"/>
        <sz val="11"/>
        <color rgb="FF000000"/>
        <rFont val="Scotia"/>
        <family val="2"/>
      </rPr>
      <t>(2)</t>
    </r>
  </si>
  <si>
    <t>(1) Net of allowances on loans, acceptances and off-balance sheet exposures.</t>
  </si>
  <si>
    <t>(2) Provision for credit losses on certain financial assets - loans, acceptances and off-balance sheet exposures.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</si>
</sst>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_(* \(#,##0\);_(* &quot;-&quot;_);_(@_)"/>
    <numFmt numFmtId="43" formatCode="_(* #,##0.00_);_(* \(#,##0.00\);_(* &quot;-&quot;??_);_(@_)"/>
    <numFmt numFmtId="164" formatCode="* 0_);_(* \(0\);_(* &quot;-&quot;_);_(@_)"/>
    <numFmt numFmtId="165" formatCode="_(* #,##0_);_(* \(#,##0\);_(* &quot;-&quot;_);_(* @_)"/>
    <numFmt numFmtId="166" formatCode="* 0_);_(* \(0\);_(* &quot;-&quot;_);_(* @_)"/>
    <numFmt numFmtId="167" formatCode="_(* #,##0.00_);_(* \(#,##0.00\);_(* &quot;-&quot;_);_(* @_)"/>
    <numFmt numFmtId="168" formatCode="_(* #,##0.0_);_(* \(#,##0.0\);_(* &quot;-&quot;_);_(* @_)"/>
    <numFmt numFmtId="169" formatCode="_(* #,##0.0_);_(* \(#,##0.0\);_(* &quot;-&quot;_);_(@_)"/>
    <numFmt numFmtId="170" formatCode="_(* #,##0.00_);_(* \(#,##0.00\);_(* &quot;-&quot;_);_(@_)"/>
    <numFmt numFmtId="171" formatCode="#,##0;\(#,##0\);* &quot;-&quot;;@"/>
    <numFmt numFmtId="172" formatCode="#,##0.00;\(#,##0.00\);* &quot;-&quot;;@"/>
    <numFmt numFmtId="173" formatCode="_(* #,##0_);_(* \(#,##0\);_(* &quot;-&quot;??_);_(@_)"/>
    <numFmt numFmtId="174" formatCode="#,##0,,;\(#,##0,,\);* &quot;-&quot;;@"/>
    <numFmt numFmtId="175" formatCode="_(* 0_);_(* \(0\);_(* &quot;-&quot;_);* @_)"/>
    <numFmt numFmtId="176" formatCode="* #,##0_);_(* \(#,##0\);_(* &quot;-&quot;_);_(* @_)"/>
    <numFmt numFmtId="177" formatCode="* #,##0_);_(* \(#,##0\);_(* &quot;-&quot;??_);_(@_)"/>
    <numFmt numFmtId="178" formatCode="#,##0.0,,,;\(#,##0.0,,,\);* &quot;-&quot;;@"/>
    <numFmt numFmtId="179" formatCode="* #,##0_);_(* \(#,##0\);_(* &quot;-&quot;_);_(@_)"/>
    <numFmt numFmtId="180" formatCode="#,##0,,;\-#,##0,,;* &quot;-&quot;;@"/>
    <numFmt numFmtId="181" formatCode="#,##0;\-#,##0;* &quot;-&quot;;@"/>
    <numFmt numFmtId="182" formatCode="[&lt;=9999999]###\-####;###\-###\-####"/>
    <numFmt numFmtId="183" formatCode="mmmm\ d\,\ yyyy"/>
    <numFmt numFmtId="184" formatCode="0.0%"/>
    <numFmt numFmtId="185" formatCode="#,##0.0;\-#,##0.0"/>
    <numFmt numFmtId="186" formatCode="_(* #,##0.00_);_(* \(#,##0.0\);_(* &quot;-&quot;_);_(@_)"/>
    <numFmt numFmtId="187" formatCode="_(* #,##0.0%_);_(* \(#,##0.0%\);_(* &quot;-&quot;_);_(* @_)"/>
    <numFmt numFmtId="188" formatCode="0_);\(0\)"/>
  </numFmts>
  <fonts count="9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9"/>
      <color theme="1"/>
      <name val="Courier New"/>
      <family val="3"/>
    </font>
    <font>
      <i/>
      <sz val="9"/>
      <color rgb="FF0070C0"/>
      <name val="Courier New"/>
      <family val="3"/>
    </font>
    <font>
      <sz val="11"/>
      <color theme="1"/>
      <name val="Scotia"/>
      <family val="2"/>
    </font>
    <font>
      <sz val="60"/>
      <color rgb="FFEC101A"/>
      <name val="Scotia Headline"/>
      <family val="2"/>
    </font>
    <font>
      <sz val="48"/>
      <color rgb="FFEC101A"/>
      <name val="Scotia Headline"/>
      <family val="2"/>
    </font>
    <font>
      <sz val="36"/>
      <color rgb="FF000000"/>
      <name val="Scotia Headline"/>
      <family val="2"/>
    </font>
    <font>
      <sz val="18"/>
      <color rgb="FF000000"/>
      <name val="Scotia Headline"/>
      <family val="2"/>
    </font>
    <font>
      <sz val="12"/>
      <color rgb="FF000000"/>
      <name val="Scotia"/>
      <family val="2"/>
    </font>
    <font>
      <b/>
      <sz val="18"/>
      <color rgb="FF000000"/>
      <name val="Scotia Headline"/>
      <family val="2"/>
    </font>
    <font>
      <u/>
      <sz val="12"/>
      <color theme="10"/>
      <name val="Scotia"/>
      <family val="2"/>
    </font>
    <font>
      <b/>
      <sz val="11"/>
      <color theme="0"/>
      <name val="Scotia"/>
      <family val="2"/>
    </font>
    <font>
      <b/>
      <sz val="9"/>
      <color theme="0"/>
      <name val="Scotia"/>
      <family val="2"/>
    </font>
    <font>
      <b/>
      <sz val="11"/>
      <color rgb="FFFF0000"/>
      <name val="Scotia"/>
      <family val="2"/>
    </font>
    <font>
      <sz val="11"/>
      <color rgb="FF0000FF"/>
      <name val="Scotia"/>
      <family val="2"/>
    </font>
    <font>
      <sz val="11"/>
      <name val="Scotia"/>
      <family val="2"/>
    </font>
    <font>
      <b/>
      <sz val="11"/>
      <name val="Scotia"/>
      <family val="2"/>
    </font>
    <font>
      <sz val="11"/>
      <color theme="10"/>
      <name val="Scotia"/>
      <family val="2"/>
    </font>
    <font>
      <b/>
      <sz val="9"/>
      <color theme="1"/>
      <name val="Scotia"/>
      <family val="2"/>
    </font>
    <font>
      <sz val="9"/>
      <color theme="1"/>
      <name val="Scotia"/>
      <family val="2"/>
    </font>
    <font>
      <sz val="10"/>
      <color theme="1"/>
      <name val="Arial"/>
      <family val="2"/>
    </font>
    <font>
      <b/>
      <sz val="14"/>
      <color theme="0"/>
      <name val="Scotia"/>
      <family val="2"/>
    </font>
    <font>
      <b/>
      <sz val="14"/>
      <color rgb="FFFFFFFF"/>
      <name val="Scotia"/>
      <family val="2"/>
    </font>
    <font>
      <b/>
      <sz val="11"/>
      <color rgb="FF000000"/>
      <name val="Scotia"/>
      <family val="2"/>
    </font>
    <font>
      <sz val="11"/>
      <color rgb="FF000000"/>
      <name val="Scotia"/>
      <family val="2"/>
    </font>
    <font>
      <b/>
      <sz val="11"/>
      <color theme="1"/>
      <name val="Scotia"/>
      <family val="2"/>
    </font>
    <font>
      <sz val="10"/>
      <color theme="1"/>
      <name val="Scotia"/>
      <family val="2"/>
    </font>
    <font>
      <b/>
      <sz val="10"/>
      <color rgb="FF000000"/>
      <name val="Scotia"/>
      <family val="2"/>
    </font>
    <font>
      <sz val="10"/>
      <color rgb="FF000000"/>
      <name val="Scotia"/>
      <family val="2"/>
    </font>
    <font>
      <i/>
      <sz val="10"/>
      <color rgb="FFFF0000"/>
      <name val="Scotia"/>
      <family val="2"/>
    </font>
    <font>
      <b/>
      <sz val="10"/>
      <color theme="0"/>
      <name val="Scotia"/>
      <family val="2"/>
    </font>
    <font>
      <sz val="10"/>
      <color theme="0"/>
      <name val="Scotia"/>
      <family val="2"/>
    </font>
    <font>
      <sz val="10"/>
      <name val="Scotia"/>
      <family val="2"/>
    </font>
    <font>
      <b/>
      <sz val="10"/>
      <color rgb="FFFF0000"/>
      <name val="Scotia"/>
      <family val="2"/>
    </font>
    <font>
      <b/>
      <sz val="10"/>
      <color theme="1"/>
      <name val="Scotia"/>
      <family val="2"/>
    </font>
    <font>
      <b/>
      <sz val="6"/>
      <color theme="1"/>
      <name val="Scotia"/>
      <family val="2"/>
    </font>
    <font>
      <sz val="6"/>
      <color theme="1"/>
      <name val="Scotia"/>
      <family val="2"/>
    </font>
    <font>
      <sz val="7"/>
      <color theme="1"/>
      <name val="Scotia"/>
      <family val="2"/>
    </font>
    <font>
      <sz val="7"/>
      <color rgb="FF000000"/>
      <name val="Scotia"/>
      <family val="2"/>
    </font>
    <font>
      <vertAlign val="superscript"/>
      <sz val="7"/>
      <color rgb="FF000000"/>
      <name val="Scotia"/>
      <family val="2"/>
    </font>
    <font>
      <sz val="9"/>
      <color rgb="FF000000"/>
      <name val="Scotia"/>
      <family val="2"/>
    </font>
    <font>
      <b/>
      <sz val="7"/>
      <color theme="1"/>
      <name val="Scotia"/>
      <family val="2"/>
    </font>
    <font>
      <b/>
      <sz val="7"/>
      <color rgb="FF000000"/>
      <name val="Scotia"/>
      <family val="2"/>
    </font>
    <font>
      <i/>
      <sz val="11"/>
      <color rgb="FFFF0000"/>
      <name val="Scotia"/>
      <family val="2"/>
    </font>
    <font>
      <sz val="11"/>
      <color rgb="FFFFFFFF"/>
      <name val="Scotia"/>
      <family val="2"/>
    </font>
    <font>
      <sz val="6"/>
      <color rgb="FF000000"/>
      <name val="Scotia"/>
      <family val="2"/>
    </font>
    <font>
      <sz val="7"/>
      <name val="Scotia"/>
      <family val="2"/>
    </font>
    <font>
      <b/>
      <i/>
      <sz val="11"/>
      <color rgb="FFFF0000"/>
      <name val="Scotia"/>
      <family val="2"/>
    </font>
    <font>
      <sz val="14"/>
      <color theme="1"/>
      <name val="Calibri"/>
      <family val="2"/>
      <scheme val="minor"/>
    </font>
    <font>
      <b/>
      <sz val="11"/>
      <color theme="0" tint="-4.9623096407971433E-2"/>
      <name val="Scotia"/>
      <family val="2"/>
    </font>
    <font>
      <sz val="11"/>
      <color theme="0" tint="-4.9623096407971433E-2"/>
      <name val="Scotia"/>
      <family val="2"/>
    </font>
    <font>
      <sz val="10"/>
      <color rgb="FF000000"/>
      <name val="Arial"/>
      <family val="2"/>
    </font>
    <font>
      <sz val="11"/>
      <color rgb="FFFF0000"/>
      <name val="Scotia"/>
      <family val="2"/>
    </font>
    <font>
      <sz val="6"/>
      <name val="Scotia"/>
      <family val="2"/>
    </font>
    <font>
      <b/>
      <sz val="6"/>
      <name val="Scotia"/>
      <family val="2"/>
    </font>
    <font>
      <b/>
      <sz val="11"/>
      <color theme="0" tint="-4.9745170445875425E-2"/>
      <name val="Scotia"/>
      <family val="2"/>
    </font>
    <font>
      <sz val="11"/>
      <color theme="0"/>
      <name val="Scotia"/>
      <family val="2"/>
    </font>
    <font>
      <b/>
      <sz val="7"/>
      <name val="Scotia"/>
      <family val="2"/>
    </font>
    <font>
      <sz val="9"/>
      <name val="Scotia"/>
      <family val="2"/>
    </font>
    <font>
      <b/>
      <sz val="11"/>
      <color theme="0" tint="-4.9836725974303414E-2"/>
      <name val="Scotia"/>
      <family val="2"/>
    </font>
    <font>
      <sz val="11"/>
      <color theme="0" tint="-4.9836725974303414E-2"/>
      <name val="Scotia"/>
      <family val="2"/>
    </font>
    <font>
      <sz val="14"/>
      <color rgb="FFFFFFFF"/>
      <name val="Scotia"/>
      <family val="2"/>
    </font>
    <font>
      <b/>
      <sz val="11"/>
      <color theme="0" tint="-4.9897762993255407E-2"/>
      <name val="Scotia"/>
      <family val="2"/>
    </font>
    <font>
      <sz val="11"/>
      <color theme="0" tint="-4.9897762993255407E-2"/>
      <name val="Scotia"/>
      <family val="2"/>
    </font>
    <font>
      <b/>
      <vertAlign val="superscript"/>
      <sz val="11"/>
      <color rgb="FF000000"/>
      <name val="Scotia"/>
      <family val="2"/>
    </font>
    <font>
      <b/>
      <sz val="11"/>
      <color theme="0" tint="-4.9775688955351421E-2"/>
      <name val="Scotia"/>
      <family val="2"/>
    </font>
    <font>
      <sz val="11"/>
      <color theme="0" tint="-4.9775688955351421E-2"/>
      <name val="Scotia"/>
      <family val="2"/>
    </font>
    <font>
      <u/>
      <sz val="11"/>
      <color theme="1"/>
      <name val="Scotia"/>
      <family val="2"/>
    </font>
    <font>
      <sz val="6"/>
      <color theme="1"/>
      <name val="Calibri"/>
      <family val="2"/>
      <scheme val="minor"/>
    </font>
    <font>
      <b/>
      <sz val="11"/>
      <color theme="0" tint="-4.9806207464827418E-2"/>
      <name val="Scotia"/>
      <family val="2"/>
    </font>
    <font>
      <sz val="11"/>
      <color theme="0" tint="-4.9806207464827418E-2"/>
      <name val="Scotia"/>
      <family val="2"/>
    </font>
    <font>
      <b/>
      <sz val="11"/>
      <color theme="0" tint="-4.9653614917447429E-2"/>
      <name val="Scotia"/>
      <family val="2"/>
    </font>
    <font>
      <sz val="11"/>
      <color theme="0" tint="-4.9653614917447429E-2"/>
      <name val="Scotia"/>
      <family val="2"/>
    </font>
    <font>
      <b/>
      <sz val="11"/>
      <color theme="0" tint="-4.9531540879543444E-2"/>
      <name val="Scotia"/>
      <family val="2"/>
    </font>
    <font>
      <sz val="11"/>
      <color theme="0" tint="-4.9531540879543444E-2"/>
      <name val="Scotia"/>
      <family val="2"/>
    </font>
    <font>
      <b/>
      <vertAlign val="superscript"/>
      <sz val="11"/>
      <color rgb="FFFF0000"/>
      <name val="Scotia"/>
      <family val="2"/>
    </font>
    <font>
      <vertAlign val="superscript"/>
      <sz val="11"/>
      <color rgb="FF000000"/>
      <name val="Scotia"/>
      <family val="2"/>
    </font>
    <font>
      <b/>
      <sz val="11"/>
      <color rgb="FFFFFFFF"/>
      <name val="Scotia"/>
      <family val="2"/>
    </font>
    <font>
      <sz val="10"/>
      <color rgb="FF000000"/>
      <name val="Times New Roman"/>
      <family val="1"/>
    </font>
    <font>
      <sz val="11"/>
      <color rgb="FF231F20"/>
      <name val="Scotia"/>
      <family val="2"/>
    </font>
    <font>
      <b/>
      <sz val="11"/>
      <color rgb="FF231F20"/>
      <name val="Scotia"/>
      <family val="2"/>
    </font>
    <font>
      <b/>
      <sz val="9"/>
      <color rgb="FF231F20"/>
      <name val="Scotia"/>
      <family val="2"/>
    </font>
    <font>
      <b/>
      <vertAlign val="superscript"/>
      <sz val="11"/>
      <color rgb="FF333333"/>
      <name val="Scotia"/>
      <family val="2"/>
    </font>
    <font>
      <vertAlign val="superscript"/>
      <sz val="11"/>
      <color rgb="FF333333"/>
      <name val="Scotia"/>
      <family val="2"/>
    </font>
    <font>
      <sz val="11"/>
      <color rgb="FF000000"/>
      <name val="Calibri"/>
      <family val="2"/>
      <scheme val="minor"/>
    </font>
    <font>
      <b/>
      <sz val="11"/>
      <color theme="0" tint="-4.8768578142643515E-2"/>
      <name val="Scotia"/>
      <family val="2"/>
    </font>
    <font>
      <sz val="11"/>
      <color theme="0" tint="-4.8768578142643515E-2"/>
      <name val="Scotia"/>
      <family val="2"/>
    </font>
    <font>
      <b/>
      <sz val="11"/>
      <color theme="0" tint="-4.9195837275307477E-2"/>
      <name val="Scotia"/>
      <family val="2"/>
    </font>
    <font>
      <sz val="11"/>
      <color theme="0" tint="-4.9195837275307477E-2"/>
      <name val="Scotia"/>
      <family val="2"/>
    </font>
    <font>
      <b/>
      <sz val="11"/>
      <color theme="0" tint="-4.9409466841639452E-2"/>
      <name val="Scotia"/>
      <family val="2"/>
    </font>
    <font>
      <sz val="11"/>
      <color theme="0" tint="-4.9409466841639452E-2"/>
      <name val="Scotia"/>
      <family val="2"/>
    </font>
  </fonts>
  <fills count="10">
    <fill>
      <patternFill patternType="none"/>
    </fill>
    <fill>
      <patternFill patternType="gray125"/>
    </fill>
    <fill>
      <patternFill patternType="solid">
        <fgColor rgb="FFFF0000"/>
        <bgColor indexed="64"/>
      </patternFill>
    </fill>
    <fill>
      <patternFill patternType="solid">
        <fgColor indexed="65"/>
        <bgColor indexed="64"/>
      </patternFill>
    </fill>
    <fill>
      <patternFill patternType="solid">
        <fgColor rgb="FFFFFFFF"/>
        <bgColor indexed="64"/>
      </patternFill>
    </fill>
    <fill>
      <patternFill patternType="solid">
        <fgColor rgb="FFFAFAFA"/>
        <bgColor indexed="64"/>
      </patternFill>
    </fill>
    <fill>
      <patternFill patternType="solid">
        <fgColor rgb="FFF8F8F8"/>
        <bgColor indexed="64"/>
      </patternFill>
    </fill>
    <fill>
      <patternFill patternType="solid">
        <fgColor rgb="FFF4F4F4"/>
        <bgColor indexed="64"/>
      </patternFill>
    </fill>
    <fill>
      <patternFill patternType="solid">
        <fgColor rgb="FFF7F7F7"/>
        <bgColor indexed="64"/>
      </patternFill>
    </fill>
    <fill>
      <patternFill patternType="solid">
        <fgColor rgb="FFF3F3F3"/>
        <bgColor indexed="64"/>
      </patternFill>
    </fill>
  </fills>
  <borders count="397">
    <border>
      <left/>
      <right/>
      <top/>
      <bottom/>
      <diagonal/>
    </border>
    <border>
      <left/>
      <right/>
      <top/>
      <bottom style="thin">
        <color theme="0" tint="-4.5716727195043792E-2"/>
      </bottom>
      <diagonal/>
    </border>
    <border>
      <left/>
      <right/>
      <top style="thin">
        <color theme="0" tint="-4.5716727195043792E-2"/>
      </top>
      <bottom style="thin">
        <color theme="0" tint="-4.5716727195043792E-2"/>
      </bottom>
      <diagonal/>
    </border>
    <border>
      <left/>
      <right/>
      <top/>
      <bottom style="thin">
        <color rgb="FFDCDCDC"/>
      </bottom>
      <diagonal/>
    </border>
    <border>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right/>
      <top style="thin">
        <color rgb="FFDCDCDC"/>
      </top>
      <bottom style="thin">
        <color rgb="FFDCDCDC"/>
      </bottom>
      <diagonal/>
    </border>
    <border>
      <left style="thin">
        <color rgb="FFDCDCDC"/>
      </left>
      <right style="thin">
        <color rgb="FFDCDCDC"/>
      </right>
      <top style="thin">
        <color rgb="FFDCDCDC"/>
      </top>
      <bottom style="thin">
        <color rgb="FFDCDCDC"/>
      </bottom>
      <diagonal/>
    </border>
    <border>
      <left/>
      <right style="thin">
        <color rgb="FFDCDCDC"/>
      </right>
      <top style="thin">
        <color rgb="FFDCDCDC"/>
      </top>
      <bottom style="thin">
        <color rgb="FFF5F5F5"/>
      </bottom>
      <diagonal/>
    </border>
    <border>
      <left style="thin">
        <color rgb="FFDCDCDC"/>
      </left>
      <right/>
      <top style="thin">
        <color rgb="FFDCDCDC"/>
      </top>
      <bottom style="thin">
        <color rgb="FFF5F5F5"/>
      </bottom>
      <diagonal/>
    </border>
    <border>
      <left/>
      <right/>
      <top style="thin">
        <color rgb="FFDCDCDC"/>
      </top>
      <bottom style="thin">
        <color rgb="FFF5F5F5"/>
      </bottom>
      <diagonal/>
    </border>
    <border>
      <left style="thin">
        <color rgb="FFDCDCDC"/>
      </left>
      <right style="thin">
        <color rgb="FFDCDCDC"/>
      </right>
      <top style="thin">
        <color rgb="FFDCDCDC"/>
      </top>
      <bottom style="thin">
        <color rgb="FFF5F5F5"/>
      </bottom>
      <diagonal/>
    </border>
    <border>
      <left/>
      <right style="thin">
        <color rgb="FFDCDCDC"/>
      </right>
      <top style="thin">
        <color rgb="FFF5F5F5"/>
      </top>
      <bottom style="thin">
        <color rgb="FFF5F5F5"/>
      </bottom>
      <diagonal/>
    </border>
    <border>
      <left style="thin">
        <color rgb="FFDCDCDC"/>
      </left>
      <right/>
      <top style="thin">
        <color rgb="FFF5F5F5"/>
      </top>
      <bottom style="thin">
        <color rgb="FFF5F5F5"/>
      </bottom>
      <diagonal/>
    </border>
    <border>
      <left/>
      <right/>
      <top style="thin">
        <color rgb="FFF5F5F5"/>
      </top>
      <bottom style="thin">
        <color rgb="FFF5F5F5"/>
      </bottom>
      <diagonal/>
    </border>
    <border>
      <left style="thin">
        <color rgb="FFDCDCDC"/>
      </left>
      <right style="thin">
        <color rgb="FFDCDCDC"/>
      </right>
      <top style="thin">
        <color rgb="FFF5F5F5"/>
      </top>
      <bottom style="thin">
        <color rgb="FFF5F5F5"/>
      </bottom>
      <diagonal/>
    </border>
    <border>
      <left/>
      <right/>
      <top style="thin">
        <color rgb="FFDCDCDC"/>
      </top>
      <bottom/>
      <diagonal/>
    </border>
    <border>
      <left/>
      <right/>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F3F3F3"/>
      </right>
      <top style="thin">
        <color rgb="FFD9D9D9"/>
      </top>
      <bottom style="thin">
        <color rgb="FFD9D9D9"/>
      </bottom>
      <diagonal/>
    </border>
    <border>
      <left style="thin">
        <color rgb="FFF3F3F3"/>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style="thin">
        <color rgb="FFF3F3F3"/>
      </bottom>
      <diagonal/>
    </border>
    <border>
      <left style="thin">
        <color rgb="FFD9D9D9"/>
      </left>
      <right style="thin">
        <color rgb="FFF3F3F3"/>
      </right>
      <top style="thin">
        <color rgb="FFD9D9D9"/>
      </top>
      <bottom style="thin">
        <color rgb="FFF3F3F3"/>
      </bottom>
      <diagonal/>
    </border>
    <border>
      <left style="thin">
        <color rgb="FFF3F3F3"/>
      </left>
      <right/>
      <top style="thin">
        <color rgb="FFD9D9D9"/>
      </top>
      <bottom style="thin">
        <color rgb="FFF3F3F3"/>
      </bottom>
      <diagonal/>
    </border>
    <border>
      <left/>
      <right/>
      <top style="thin">
        <color rgb="FFD9D9D9"/>
      </top>
      <bottom style="thin">
        <color rgb="FFF3F3F3"/>
      </bottom>
      <diagonal/>
    </border>
    <border>
      <left/>
      <right style="thin">
        <color rgb="FFD9D9D9"/>
      </right>
      <top/>
      <bottom/>
      <diagonal/>
    </border>
    <border>
      <left style="thin">
        <color rgb="FFD9D9D9"/>
      </left>
      <right style="thin">
        <color rgb="FFD9D9D9"/>
      </right>
      <top style="thin">
        <color rgb="FFF3F3F3"/>
      </top>
      <bottom style="thin">
        <color rgb="FFF3F3F3"/>
      </bottom>
      <diagonal/>
    </border>
    <border>
      <left style="thin">
        <color rgb="FFD9D9D9"/>
      </left>
      <right style="thin">
        <color rgb="FFF3F3F3"/>
      </right>
      <top style="thin">
        <color rgb="FFF3F3F3"/>
      </top>
      <bottom style="thin">
        <color rgb="FFF3F3F3"/>
      </bottom>
      <diagonal/>
    </border>
    <border>
      <left style="thin">
        <color rgb="FFF3F3F3"/>
      </left>
      <right/>
      <top style="thin">
        <color rgb="FFF3F3F3"/>
      </top>
      <bottom style="thin">
        <color rgb="FFF3F3F3"/>
      </bottom>
      <diagonal/>
    </border>
    <border>
      <left/>
      <right/>
      <top style="thin">
        <color rgb="FFF3F3F3"/>
      </top>
      <bottom style="thin">
        <color rgb="FFF3F3F3"/>
      </bottom>
      <diagonal/>
    </border>
    <border>
      <left/>
      <right style="thin">
        <color rgb="FFD9D9D9"/>
      </right>
      <top/>
      <bottom style="thin">
        <color rgb="FFD9D9D9"/>
      </bottom>
      <diagonal/>
    </border>
    <border>
      <left style="thin">
        <color rgb="FFD9D9D9"/>
      </left>
      <right style="thin">
        <color rgb="FFD9D9D9"/>
      </right>
      <top style="thin">
        <color rgb="FFF3F3F3"/>
      </top>
      <bottom style="thin">
        <color rgb="FFD9D9D9"/>
      </bottom>
      <diagonal/>
    </border>
    <border>
      <left style="thin">
        <color rgb="FFD9D9D9"/>
      </left>
      <right style="thin">
        <color rgb="FFF3F3F3"/>
      </right>
      <top style="thin">
        <color rgb="FFF3F3F3"/>
      </top>
      <bottom style="thin">
        <color rgb="FFD9D9D9"/>
      </bottom>
      <diagonal/>
    </border>
    <border>
      <left style="thin">
        <color rgb="FFF3F3F3"/>
      </left>
      <right/>
      <top style="thin">
        <color rgb="FFF3F3F3"/>
      </top>
      <bottom style="thin">
        <color rgb="FFD9D9D9"/>
      </bottom>
      <diagonal/>
    </border>
    <border>
      <left/>
      <right/>
      <top style="thin">
        <color rgb="FFF3F3F3"/>
      </top>
      <bottom style="thin">
        <color rgb="FFD9D9D9"/>
      </bottom>
      <diagonal/>
    </border>
    <border>
      <left/>
      <right/>
      <top style="thin">
        <color rgb="FFD9D9D9"/>
      </top>
      <bottom/>
      <diagonal/>
    </border>
    <border>
      <left/>
      <right/>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F7F7F7"/>
      </bottom>
      <diagonal/>
    </border>
    <border>
      <left style="thin">
        <color rgb="FFDDDDDD"/>
      </left>
      <right/>
      <top style="thin">
        <color rgb="FFDDDDDD"/>
      </top>
      <bottom style="thin">
        <color rgb="FFF7F7F7"/>
      </bottom>
      <diagonal/>
    </border>
    <border>
      <left/>
      <right/>
      <top style="thin">
        <color rgb="FFDDDDDD"/>
      </top>
      <bottom style="thin">
        <color rgb="FFF7F7F7"/>
      </bottom>
      <diagonal/>
    </border>
    <border>
      <left style="thin">
        <color rgb="FFDDDDDD"/>
      </left>
      <right style="thin">
        <color rgb="FFDDDDDD"/>
      </right>
      <top style="thin">
        <color rgb="FFDDDDDD"/>
      </top>
      <bottom style="thin">
        <color rgb="FFF7F7F7"/>
      </bottom>
      <diagonal/>
    </border>
    <border>
      <left/>
      <right style="thin">
        <color rgb="FFDDDDDD"/>
      </right>
      <top style="thin">
        <color rgb="FFF7F7F7"/>
      </top>
      <bottom style="thin">
        <color rgb="FFF7F7F7"/>
      </bottom>
      <diagonal/>
    </border>
    <border>
      <left style="thin">
        <color rgb="FFDDDDDD"/>
      </left>
      <right/>
      <top style="thin">
        <color rgb="FFF7F7F7"/>
      </top>
      <bottom style="thin">
        <color rgb="FFF7F7F7"/>
      </bottom>
      <diagonal/>
    </border>
    <border>
      <left/>
      <right/>
      <top style="thin">
        <color rgb="FFF7F7F7"/>
      </top>
      <bottom style="thin">
        <color rgb="FFF7F7F7"/>
      </bottom>
      <diagonal/>
    </border>
    <border>
      <left style="thin">
        <color rgb="FFDDDDDD"/>
      </left>
      <right style="thin">
        <color rgb="FFDDDDDD"/>
      </right>
      <top style="thin">
        <color rgb="FFF7F7F7"/>
      </top>
      <bottom style="thin">
        <color rgb="FFF7F7F7"/>
      </bottom>
      <diagonal/>
    </border>
    <border>
      <left style="thin">
        <color rgb="FFDDDDDD"/>
      </left>
      <right/>
      <top style="thin">
        <color rgb="FFDDDDDD"/>
      </top>
      <bottom/>
      <diagonal/>
    </border>
    <border>
      <left/>
      <right/>
      <top style="thin">
        <color rgb="FFDDDDDD"/>
      </top>
      <bottom/>
      <diagonal/>
    </border>
    <border>
      <left style="thin">
        <color rgb="FFDDDDDD"/>
      </left>
      <right/>
      <top/>
      <bottom/>
      <diagonal/>
    </border>
    <border>
      <left/>
      <right style="thin">
        <color rgb="FFDDDDDD"/>
      </right>
      <top style="thin">
        <color rgb="FFF7F7F7"/>
      </top>
      <bottom style="thin">
        <color rgb="FFDDDDDD"/>
      </bottom>
      <diagonal/>
    </border>
    <border>
      <left style="thin">
        <color rgb="FFDDDDDD"/>
      </left>
      <right/>
      <top style="thin">
        <color rgb="FFF7F7F7"/>
      </top>
      <bottom style="thin">
        <color rgb="FFDDDDDD"/>
      </bottom>
      <diagonal/>
    </border>
    <border>
      <left/>
      <right/>
      <top style="thin">
        <color rgb="FFF7F7F7"/>
      </top>
      <bottom style="thin">
        <color rgb="FFDDDDDD"/>
      </bottom>
      <diagonal/>
    </border>
    <border>
      <left style="thin">
        <color rgb="FFDDDDDD"/>
      </left>
      <right style="thin">
        <color rgb="FFDDDDDD"/>
      </right>
      <top style="thin">
        <color rgb="FFF7F7F7"/>
      </top>
      <bottom style="thin">
        <color rgb="FFDDDDDD"/>
      </bottom>
      <diagonal/>
    </border>
    <border>
      <left style="thin">
        <color rgb="FFDDDDDD"/>
      </left>
      <right/>
      <top/>
      <bottom style="thin">
        <color rgb="FFDDDDDD"/>
      </bottom>
      <diagonal/>
    </border>
    <border>
      <left style="thin">
        <color rgb="FFDDDDDD"/>
      </left>
      <right/>
      <top/>
      <bottom style="thin">
        <color rgb="FFF6F6F6"/>
      </bottom>
      <diagonal/>
    </border>
    <border>
      <left/>
      <right/>
      <top/>
      <bottom style="thin">
        <color rgb="FFF6F6F6"/>
      </bottom>
      <diagonal/>
    </border>
    <border>
      <left style="thin">
        <color rgb="FFDDDDDD"/>
      </left>
      <right/>
      <top style="thin">
        <color rgb="FFF6F6F6"/>
      </top>
      <bottom style="thin">
        <color rgb="FFF7F7F7"/>
      </bottom>
      <diagonal/>
    </border>
    <border>
      <left/>
      <right/>
      <top style="thin">
        <color rgb="FFF6F6F6"/>
      </top>
      <bottom style="thin">
        <color rgb="FFF7F7F7"/>
      </bottom>
      <diagonal/>
    </border>
    <border>
      <left/>
      <right/>
      <top/>
      <bottom style="thin">
        <color rgb="FFE1E1E1"/>
      </bottom>
      <diagonal/>
    </border>
    <border>
      <left style="thin">
        <color rgb="FFDDDDDD"/>
      </left>
      <right/>
      <top style="thin">
        <color rgb="FFE1E1E1"/>
      </top>
      <bottom style="thin">
        <color rgb="FFDDDDDD"/>
      </bottom>
      <diagonal/>
    </border>
    <border>
      <left/>
      <right/>
      <top style="thin">
        <color rgb="FFE1E1E1"/>
      </top>
      <bottom style="thin">
        <color rgb="FFDDDDDD"/>
      </bottom>
      <diagonal/>
    </border>
    <border>
      <left/>
      <right style="thin">
        <color rgb="FFDDDDDD"/>
      </right>
      <top style="thin">
        <color rgb="FFE1E1E1"/>
      </top>
      <bottom style="thin">
        <color rgb="FFDDDDDD"/>
      </bottom>
      <diagonal/>
    </border>
    <border>
      <left style="thin">
        <color rgb="FFE1E1E1"/>
      </left>
      <right/>
      <top style="thin">
        <color rgb="FFE1E1E1"/>
      </top>
      <bottom style="thin">
        <color rgb="FFDDDDDD"/>
      </bottom>
      <diagonal/>
    </border>
    <border>
      <left style="thin">
        <color rgb="FFDDDDDD"/>
      </left>
      <right style="thin">
        <color rgb="FFE1E1E1"/>
      </right>
      <top style="thin">
        <color rgb="FFDDDDDD"/>
      </top>
      <bottom style="thin">
        <color rgb="FFDDDDDD"/>
      </bottom>
      <diagonal/>
    </border>
    <border>
      <left style="thin">
        <color rgb="FFE1E1E1"/>
      </left>
      <right/>
      <top style="thin">
        <color rgb="FFDDDDDD"/>
      </top>
      <bottom style="thin">
        <color rgb="FFDDDDDD"/>
      </bottom>
      <diagonal/>
    </border>
    <border>
      <left/>
      <right style="thin">
        <color rgb="FFDCDCDC"/>
      </right>
      <top style="thin">
        <color rgb="FFDDDDDD"/>
      </top>
      <bottom style="thin">
        <color rgb="FFF7F7F7"/>
      </bottom>
      <diagonal/>
    </border>
    <border>
      <left/>
      <right/>
      <top style="thin">
        <color rgb="FFDDDDDD"/>
      </top>
      <bottom style="thin">
        <color rgb="FFF6F6F6"/>
      </bottom>
      <diagonal/>
    </border>
    <border>
      <left style="thin">
        <color rgb="FFDDDDDD"/>
      </left>
      <right style="thin">
        <color rgb="FFE1E1E1"/>
      </right>
      <top style="thin">
        <color rgb="FFDDDDDD"/>
      </top>
      <bottom style="thin">
        <color rgb="FFF7F7F7"/>
      </bottom>
      <diagonal/>
    </border>
    <border>
      <left style="thin">
        <color rgb="FFE1E1E1"/>
      </left>
      <right/>
      <top style="thin">
        <color rgb="FFDDDDDD"/>
      </top>
      <bottom style="thin">
        <color rgb="FFF7F7F7"/>
      </bottom>
      <diagonal/>
    </border>
    <border>
      <left style="thin">
        <color rgb="FFDDDDDD"/>
      </left>
      <right style="thin">
        <color rgb="FFE1E1E1"/>
      </right>
      <top style="thin">
        <color rgb="FFF7F7F7"/>
      </top>
      <bottom style="thin">
        <color rgb="FFF7F7F7"/>
      </bottom>
      <diagonal/>
    </border>
    <border>
      <left style="thin">
        <color rgb="FFE1E1E1"/>
      </left>
      <right/>
      <top style="thin">
        <color rgb="FFF7F7F7"/>
      </top>
      <bottom style="thin">
        <color rgb="FFF7F7F7"/>
      </bottom>
      <diagonal/>
    </border>
    <border>
      <left style="thin">
        <color rgb="FFDDDDDD"/>
      </left>
      <right style="thin">
        <color rgb="FFE1E1E1"/>
      </right>
      <top style="thin">
        <color rgb="FFF7F7F7"/>
      </top>
      <bottom style="thin">
        <color rgb="FFDDDDDD"/>
      </bottom>
      <diagonal/>
    </border>
    <border>
      <left style="thin">
        <color rgb="FFE1E1E1"/>
      </left>
      <right/>
      <top style="thin">
        <color rgb="FFF7F7F7"/>
      </top>
      <bottom style="thin">
        <color rgb="FFDDDDDD"/>
      </bottom>
      <diagonal/>
    </border>
    <border>
      <left style="thin">
        <color rgb="FFE1E1E1"/>
      </left>
      <right/>
      <top style="thin">
        <color rgb="FFDDDDDD"/>
      </top>
      <bottom/>
      <diagonal/>
    </border>
    <border>
      <left style="thin">
        <color rgb="FFE1E1E1"/>
      </left>
      <right/>
      <top/>
      <bottom/>
      <diagonal/>
    </border>
    <border>
      <left style="thin">
        <color rgb="FFE1E1E1"/>
      </left>
      <right/>
      <top/>
      <bottom style="thin">
        <color rgb="FFDDDDDD"/>
      </bottom>
      <diagonal/>
    </border>
    <border>
      <left/>
      <right/>
      <top/>
      <bottom style="thin">
        <color rgb="FFDBDBDB"/>
      </bottom>
      <diagonal/>
    </border>
    <border>
      <left/>
      <right style="thin">
        <color rgb="FFDBDBDB"/>
      </right>
      <top style="thin">
        <color rgb="FFDBDBDB"/>
      </top>
      <bottom style="thin">
        <color rgb="FFDBDBDB"/>
      </bottom>
      <diagonal/>
    </border>
    <border>
      <left style="thin">
        <color rgb="FFDBDBDB"/>
      </left>
      <right/>
      <top style="thin">
        <color rgb="FFDBDBDB"/>
      </top>
      <bottom style="thin">
        <color rgb="FFDBDBDB"/>
      </bottom>
      <diagonal/>
    </border>
    <border>
      <left/>
      <right/>
      <top style="thin">
        <color rgb="FFDBDBDB"/>
      </top>
      <bottom style="thin">
        <color rgb="FFDBDBDB"/>
      </bottom>
      <diagonal/>
    </border>
    <border>
      <left style="thin">
        <color rgb="FFDBDBDB"/>
      </left>
      <right style="thin">
        <color rgb="FFDBDBDB"/>
      </right>
      <top style="thin">
        <color rgb="FFDBDBDB"/>
      </top>
      <bottom style="thin">
        <color rgb="FFDBDBDB"/>
      </bottom>
      <diagonal/>
    </border>
    <border>
      <left/>
      <right style="thin">
        <color rgb="FFDBDBDB"/>
      </right>
      <top style="thin">
        <color rgb="FFDBDBDB"/>
      </top>
      <bottom style="thin">
        <color rgb="FFF5F5F5"/>
      </bottom>
      <diagonal/>
    </border>
    <border>
      <left style="thin">
        <color rgb="FFDBDBDB"/>
      </left>
      <right/>
      <top style="thin">
        <color rgb="FFDBDBDB"/>
      </top>
      <bottom style="thin">
        <color rgb="FFF5F5F5"/>
      </bottom>
      <diagonal/>
    </border>
    <border>
      <left/>
      <right/>
      <top style="thin">
        <color rgb="FFDBDBDB"/>
      </top>
      <bottom style="thin">
        <color rgb="FFF5F5F5"/>
      </bottom>
      <diagonal/>
    </border>
    <border>
      <left style="thin">
        <color rgb="FFDBDBDB"/>
      </left>
      <right style="thin">
        <color rgb="FFDBDBDB"/>
      </right>
      <top style="thin">
        <color rgb="FFDBDBDB"/>
      </top>
      <bottom style="thin">
        <color rgb="FFF5F5F5"/>
      </bottom>
      <diagonal/>
    </border>
    <border>
      <left/>
      <right style="thin">
        <color rgb="FFDBDBDB"/>
      </right>
      <top style="thin">
        <color rgb="FFF5F5F5"/>
      </top>
      <bottom style="thin">
        <color rgb="FFF5F5F5"/>
      </bottom>
      <diagonal/>
    </border>
    <border>
      <left style="thin">
        <color rgb="FFDBDBDB"/>
      </left>
      <right/>
      <top style="thin">
        <color rgb="FFF5F5F5"/>
      </top>
      <bottom style="thin">
        <color rgb="FFF5F5F5"/>
      </bottom>
      <diagonal/>
    </border>
    <border>
      <left style="thin">
        <color rgb="FFDBDBDB"/>
      </left>
      <right style="thin">
        <color rgb="FFDBDBDB"/>
      </right>
      <top style="thin">
        <color rgb="FFF5F5F5"/>
      </top>
      <bottom style="thin">
        <color rgb="FFF5F5F5"/>
      </bottom>
      <diagonal/>
    </border>
    <border>
      <left/>
      <right style="thin">
        <color rgb="FFDBDBDB"/>
      </right>
      <top style="thin">
        <color rgb="FFF5F5F5"/>
      </top>
      <bottom style="thin">
        <color rgb="FFDBDBDB"/>
      </bottom>
      <diagonal/>
    </border>
    <border>
      <left style="thin">
        <color rgb="FFDBDBDB"/>
      </left>
      <right/>
      <top style="thin">
        <color rgb="FFF5F5F5"/>
      </top>
      <bottom style="thin">
        <color rgb="FFDBDBDB"/>
      </bottom>
      <diagonal/>
    </border>
    <border>
      <left/>
      <right/>
      <top style="thin">
        <color rgb="FFF5F5F5"/>
      </top>
      <bottom style="thin">
        <color rgb="FFDBDBDB"/>
      </bottom>
      <diagonal/>
    </border>
    <border>
      <left style="thin">
        <color rgb="FFDBDBDB"/>
      </left>
      <right style="thin">
        <color rgb="FFDBDBDB"/>
      </right>
      <top style="thin">
        <color rgb="FFF5F5F5"/>
      </top>
      <bottom style="thin">
        <color rgb="FFDBDBDB"/>
      </bottom>
      <diagonal/>
    </border>
    <border>
      <left style="thin">
        <color rgb="FFDADADA"/>
      </left>
      <right/>
      <top style="thin">
        <color rgb="FFF4F4F4"/>
      </top>
      <bottom style="thin">
        <color rgb="FFDADADA"/>
      </bottom>
      <diagonal/>
    </border>
    <border>
      <left/>
      <right/>
      <top style="thin">
        <color rgb="FFF4F4F4"/>
      </top>
      <bottom style="thin">
        <color rgb="FFDADADA"/>
      </bottom>
      <diagonal/>
    </border>
    <border>
      <left/>
      <right style="thin">
        <color rgb="FFDADADA"/>
      </right>
      <top style="thin">
        <color rgb="FFF4F4F4"/>
      </top>
      <bottom style="thin">
        <color rgb="FFDADADA"/>
      </bottom>
      <diagonal/>
    </border>
    <border>
      <left style="thin">
        <color rgb="FFDBDBDB"/>
      </left>
      <right/>
      <top style="thin">
        <color rgb="FFDBDBDB"/>
      </top>
      <bottom/>
      <diagonal/>
    </border>
    <border>
      <left/>
      <right/>
      <top style="thin">
        <color rgb="FFDBDBDB"/>
      </top>
      <bottom/>
      <diagonal/>
    </border>
    <border>
      <left style="thin">
        <color rgb="FFDBDBDB"/>
      </left>
      <right/>
      <top/>
      <bottom style="thin">
        <color rgb="FFF5F5F5"/>
      </bottom>
      <diagonal/>
    </border>
    <border>
      <left/>
      <right/>
      <top/>
      <bottom style="thin">
        <color rgb="FFDEDEDE"/>
      </bottom>
      <diagonal/>
    </border>
    <border>
      <left/>
      <right style="thin">
        <color rgb="FFDEDEDE"/>
      </right>
      <top style="thin">
        <color rgb="FFDEDEDE"/>
      </top>
      <bottom style="thin">
        <color rgb="FFDEDEDE"/>
      </bottom>
      <diagonal/>
    </border>
    <border>
      <left style="thin">
        <color rgb="FFDEDEDE"/>
      </left>
      <right/>
      <top style="thin">
        <color rgb="FFDEDEDE"/>
      </top>
      <bottom style="thin">
        <color rgb="FFDEDEDE"/>
      </bottom>
      <diagonal/>
    </border>
    <border>
      <left/>
      <right/>
      <top style="thin">
        <color rgb="FFDEDEDE"/>
      </top>
      <bottom style="thin">
        <color rgb="FFDEDEDE"/>
      </bottom>
      <diagonal/>
    </border>
    <border>
      <left style="thin">
        <color rgb="FFDEDEDE"/>
      </left>
      <right style="thin">
        <color rgb="FFDEDEDE"/>
      </right>
      <top style="thin">
        <color rgb="FFDEDEDE"/>
      </top>
      <bottom style="thin">
        <color rgb="FFDEDEDE"/>
      </bottom>
      <diagonal/>
    </border>
    <border>
      <left/>
      <right style="thin">
        <color rgb="FFDEDEDE"/>
      </right>
      <top/>
      <bottom style="thin">
        <color rgb="FFF8F8F8"/>
      </bottom>
      <diagonal/>
    </border>
    <border>
      <left style="thin">
        <color rgb="FFDEDEDE"/>
      </left>
      <right/>
      <top/>
      <bottom style="thin">
        <color rgb="FFF8F8F8"/>
      </bottom>
      <diagonal/>
    </border>
    <border>
      <left/>
      <right/>
      <top/>
      <bottom style="thin">
        <color rgb="FFF8F8F8"/>
      </bottom>
      <diagonal/>
    </border>
    <border>
      <left style="thin">
        <color rgb="FFDEDEDE"/>
      </left>
      <right style="thin">
        <color rgb="FFDEDEDE"/>
      </right>
      <top/>
      <bottom style="thin">
        <color rgb="FFF8F8F8"/>
      </bottom>
      <diagonal/>
    </border>
    <border>
      <left/>
      <right style="thin">
        <color rgb="FFDEDEDE"/>
      </right>
      <top style="thin">
        <color rgb="FFF8F8F8"/>
      </top>
      <bottom style="thin">
        <color rgb="FFF8F8F8"/>
      </bottom>
      <diagonal/>
    </border>
    <border>
      <left style="thin">
        <color rgb="FFDEDEDE"/>
      </left>
      <right/>
      <top style="thin">
        <color rgb="FFF8F8F8"/>
      </top>
      <bottom style="thin">
        <color rgb="FFF8F8F8"/>
      </bottom>
      <diagonal/>
    </border>
    <border>
      <left/>
      <right/>
      <top style="thin">
        <color rgb="FFF8F8F8"/>
      </top>
      <bottom style="thin">
        <color rgb="FFF8F8F8"/>
      </bottom>
      <diagonal/>
    </border>
    <border>
      <left style="thin">
        <color rgb="FFDEDEDE"/>
      </left>
      <right style="thin">
        <color rgb="FFDEDEDE"/>
      </right>
      <top style="thin">
        <color rgb="FFF8F8F8"/>
      </top>
      <bottom style="thin">
        <color rgb="FFF8F8F8"/>
      </bottom>
      <diagonal/>
    </border>
    <border>
      <left/>
      <right style="thin">
        <color rgb="FFDEDEDE"/>
      </right>
      <top style="thin">
        <color rgb="FFDEDEDE"/>
      </top>
      <bottom style="thin">
        <color rgb="FFF8F8F8"/>
      </bottom>
      <diagonal/>
    </border>
    <border>
      <left style="thin">
        <color rgb="FFDEDEDE"/>
      </left>
      <right/>
      <top style="thin">
        <color rgb="FFDEDEDE"/>
      </top>
      <bottom style="thin">
        <color rgb="FFF8F8F8"/>
      </bottom>
      <diagonal/>
    </border>
    <border>
      <left/>
      <right/>
      <top style="thin">
        <color rgb="FFDEDEDE"/>
      </top>
      <bottom style="thin">
        <color rgb="FFF8F8F8"/>
      </bottom>
      <diagonal/>
    </border>
    <border>
      <left style="thin">
        <color rgb="FFDEDEDE"/>
      </left>
      <right style="thin">
        <color rgb="FFDEDEDE"/>
      </right>
      <top style="thin">
        <color rgb="FFDEDEDE"/>
      </top>
      <bottom style="thin">
        <color rgb="FFF8F8F8"/>
      </bottom>
      <diagonal/>
    </border>
    <border>
      <left/>
      <right style="thin">
        <color rgb="FFDEDEDE"/>
      </right>
      <top style="thin">
        <color rgb="FFF8F8F8"/>
      </top>
      <bottom style="thin">
        <color rgb="FFDEDEDE"/>
      </bottom>
      <diagonal/>
    </border>
    <border>
      <left style="thin">
        <color rgb="FFDEDEDE"/>
      </left>
      <right/>
      <top style="thin">
        <color rgb="FFF8F8F8"/>
      </top>
      <bottom style="thin">
        <color rgb="FFDEDEDE"/>
      </bottom>
      <diagonal/>
    </border>
    <border>
      <left/>
      <right/>
      <top style="thin">
        <color rgb="FFF8F8F8"/>
      </top>
      <bottom style="thin">
        <color rgb="FFDEDEDE"/>
      </bottom>
      <diagonal/>
    </border>
    <border>
      <left/>
      <right style="thin">
        <color rgb="FFDEDEDE"/>
      </right>
      <top style="thin">
        <color rgb="FFF8F8F8"/>
      </top>
      <bottom style="thin">
        <color rgb="FFF7F7F7"/>
      </bottom>
      <diagonal/>
    </border>
    <border>
      <left style="thin">
        <color rgb="FFDEDEDE"/>
      </left>
      <right/>
      <top style="thin">
        <color rgb="FFF8F8F8"/>
      </top>
      <bottom style="thin">
        <color rgb="FFF7F7F7"/>
      </bottom>
      <diagonal/>
    </border>
    <border>
      <left/>
      <right/>
      <top style="thin">
        <color rgb="FFF8F8F8"/>
      </top>
      <bottom style="thin">
        <color rgb="FFF7F7F7"/>
      </bottom>
      <diagonal/>
    </border>
    <border>
      <left style="thin">
        <color rgb="FFDEDEDE"/>
      </left>
      <right style="thin">
        <color rgb="FFDEDEDE"/>
      </right>
      <top style="thin">
        <color rgb="FFF8F8F8"/>
      </top>
      <bottom style="thin">
        <color rgb="FFF7F7F7"/>
      </bottom>
      <diagonal/>
    </border>
    <border>
      <left/>
      <right style="thin">
        <color rgb="FFDEDEDE"/>
      </right>
      <top style="thin">
        <color rgb="FFF7F7F7"/>
      </top>
      <bottom style="thin">
        <color rgb="FFF8F8F8"/>
      </bottom>
      <diagonal/>
    </border>
    <border>
      <left style="thin">
        <color rgb="FFDEDEDE"/>
      </left>
      <right/>
      <top style="thin">
        <color rgb="FFF7F7F7"/>
      </top>
      <bottom style="thin">
        <color rgb="FFF8F8F8"/>
      </bottom>
      <diagonal/>
    </border>
    <border>
      <left/>
      <right/>
      <top style="thin">
        <color rgb="FFF7F7F7"/>
      </top>
      <bottom style="thin">
        <color rgb="FFF8F8F8"/>
      </bottom>
      <diagonal/>
    </border>
    <border>
      <left style="thin">
        <color rgb="FFDEDEDE"/>
      </left>
      <right style="thin">
        <color rgb="FFDEDEDE"/>
      </right>
      <top style="thin">
        <color rgb="FFF7F7F7"/>
      </top>
      <bottom style="thin">
        <color rgb="FFF8F8F8"/>
      </bottom>
      <diagonal/>
    </border>
    <border>
      <left/>
      <right style="thin">
        <color rgb="FFDEDEDE"/>
      </right>
      <top style="thin">
        <color rgb="FFDDDDDD"/>
      </top>
      <bottom style="thin">
        <color rgb="FFDDDDDD"/>
      </bottom>
      <diagonal/>
    </border>
    <border>
      <left style="thin">
        <color rgb="FFDEDEDE"/>
      </left>
      <right/>
      <top style="thin">
        <color rgb="FFDDDDDD"/>
      </top>
      <bottom style="thin">
        <color rgb="FFDDDDDD"/>
      </bottom>
      <diagonal/>
    </border>
    <border>
      <left style="thin">
        <color rgb="FFDEDEDE"/>
      </left>
      <right style="thin">
        <color rgb="FFDEDEDE"/>
      </right>
      <top style="thin">
        <color rgb="FFDDDDDD"/>
      </top>
      <bottom style="thin">
        <color rgb="FFDDDDDD"/>
      </bottom>
      <diagonal/>
    </border>
    <border>
      <left/>
      <right style="thin">
        <color rgb="FFDEDEDE"/>
      </right>
      <top style="thin">
        <color rgb="FFDDDDDD"/>
      </top>
      <bottom style="thin">
        <color rgb="FFF8F8F8"/>
      </bottom>
      <diagonal/>
    </border>
    <border>
      <left style="thin">
        <color rgb="FFDEDEDE"/>
      </left>
      <right/>
      <top style="thin">
        <color rgb="FFDDDDDD"/>
      </top>
      <bottom/>
      <diagonal/>
    </border>
    <border>
      <left style="thin">
        <color rgb="FFDEDEDE"/>
      </left>
      <right/>
      <top/>
      <bottom/>
      <diagonal/>
    </border>
    <border>
      <left/>
      <right style="thin">
        <color rgb="FFDEDEDE"/>
      </right>
      <top style="thin">
        <color rgb="FFF8F8F8"/>
      </top>
      <bottom style="thin">
        <color rgb="FFDDDDDD"/>
      </bottom>
      <diagonal/>
    </border>
    <border>
      <left style="thin">
        <color rgb="FFDEDEDE"/>
      </left>
      <right/>
      <top style="thin">
        <color rgb="FFF8F8F8"/>
      </top>
      <bottom style="thin">
        <color rgb="FFDDDDDD"/>
      </bottom>
      <diagonal/>
    </border>
    <border>
      <left/>
      <right/>
      <top style="thin">
        <color rgb="FFF8F8F8"/>
      </top>
      <bottom style="thin">
        <color rgb="FFDDDDDD"/>
      </bottom>
      <diagonal/>
    </border>
    <border>
      <left style="thin">
        <color rgb="FFDEDEDE"/>
      </left>
      <right style="thin">
        <color rgb="FFDEDEDE"/>
      </right>
      <top style="thin">
        <color rgb="FFF8F8F8"/>
      </top>
      <bottom style="thin">
        <color rgb="FFDDDDDD"/>
      </bottom>
      <diagonal/>
    </border>
    <border>
      <left/>
      <right/>
      <top style="thin">
        <color rgb="FFDDDDDD"/>
      </top>
      <bottom style="thin">
        <color rgb="FFF8F8F8"/>
      </bottom>
      <diagonal/>
    </border>
    <border>
      <left/>
      <right style="thin">
        <color rgb="FFDADADA"/>
      </right>
      <top style="thin">
        <color rgb="FFF3F3F3"/>
      </top>
      <bottom style="thin">
        <color rgb="FFF3F3F3"/>
      </bottom>
      <diagonal/>
    </border>
    <border>
      <left/>
      <right style="thin">
        <color rgb="FFDDDDDD"/>
      </right>
      <top/>
      <bottom style="thin">
        <color rgb="FFF7F7F7"/>
      </bottom>
      <diagonal/>
    </border>
    <border>
      <left/>
      <right style="thin">
        <color rgb="FFDDDDDD"/>
      </right>
      <top/>
      <bottom/>
      <diagonal/>
    </border>
    <border>
      <left style="thin">
        <color rgb="FFDDDDDD"/>
      </left>
      <right style="thin">
        <color rgb="FFDDDDDD"/>
      </right>
      <top/>
      <bottom/>
      <diagonal/>
    </border>
    <border>
      <left style="thin">
        <color rgb="FFDBDBDB"/>
      </left>
      <right/>
      <top/>
      <bottom style="thin">
        <color rgb="FFF6F6F6"/>
      </bottom>
      <diagonal/>
    </border>
    <border>
      <left/>
      <right style="thin">
        <color rgb="FFDBDBDB"/>
      </right>
      <top/>
      <bottom style="thin">
        <color rgb="FFF6F6F6"/>
      </bottom>
      <diagonal/>
    </border>
    <border>
      <left style="thin">
        <color rgb="FFDBDBDB"/>
      </left>
      <right style="thin">
        <color rgb="FFDBDBDB"/>
      </right>
      <top/>
      <bottom style="thin">
        <color rgb="FFF6F6F6"/>
      </bottom>
      <diagonal/>
    </border>
    <border>
      <left style="thin">
        <color rgb="FFDBDBDB"/>
      </left>
      <right/>
      <top style="thin">
        <color rgb="FFF6F6F6"/>
      </top>
      <bottom style="thin">
        <color rgb="FFF4F4F4"/>
      </bottom>
      <diagonal/>
    </border>
    <border>
      <left/>
      <right/>
      <top style="thin">
        <color rgb="FFF6F6F6"/>
      </top>
      <bottom style="thin">
        <color rgb="FFF4F4F4"/>
      </bottom>
      <diagonal/>
    </border>
    <border>
      <left/>
      <right style="thin">
        <color rgb="FFDBDBDB"/>
      </right>
      <top style="thin">
        <color rgb="FFF6F6F6"/>
      </top>
      <bottom style="thin">
        <color rgb="FFF4F4F4"/>
      </bottom>
      <diagonal/>
    </border>
    <border>
      <left style="thin">
        <color rgb="FFDBDBDB"/>
      </left>
      <right style="thin">
        <color rgb="FFDBDBDB"/>
      </right>
      <top style="thin">
        <color rgb="FFF6F6F6"/>
      </top>
      <bottom style="thin">
        <color rgb="FFF4F4F4"/>
      </bottom>
      <diagonal/>
    </border>
    <border>
      <left style="thin">
        <color rgb="FFDBDBDB"/>
      </left>
      <right/>
      <top style="thin">
        <color rgb="FFF4F4F4"/>
      </top>
      <bottom style="thin">
        <color rgb="FFF5F5F5"/>
      </bottom>
      <diagonal/>
    </border>
    <border>
      <left/>
      <right/>
      <top style="thin">
        <color rgb="FFF4F4F4"/>
      </top>
      <bottom style="thin">
        <color rgb="FFF5F5F5"/>
      </bottom>
      <diagonal/>
    </border>
    <border>
      <left/>
      <right style="thin">
        <color rgb="FFDBDBDB"/>
      </right>
      <top style="thin">
        <color rgb="FFF4F4F4"/>
      </top>
      <bottom style="thin">
        <color rgb="FFF5F5F5"/>
      </bottom>
      <diagonal/>
    </border>
    <border>
      <left/>
      <right style="thin">
        <color rgb="FFDADADA"/>
      </right>
      <top style="thin">
        <color rgb="FFF4F4F4"/>
      </top>
      <bottom style="thin">
        <color rgb="FFF5F5F5"/>
      </bottom>
      <diagonal/>
    </border>
    <border>
      <left style="thin">
        <color rgb="FFDADADA"/>
      </left>
      <right style="thin">
        <color rgb="FFDBDBDB"/>
      </right>
      <top style="thin">
        <color rgb="FFF4F4F4"/>
      </top>
      <bottom style="thin">
        <color rgb="FFF5F5F5"/>
      </bottom>
      <diagonal/>
    </border>
    <border>
      <left style="thin">
        <color rgb="FFDBDBDB"/>
      </left>
      <right/>
      <top style="thin">
        <color rgb="FFF7F7F7"/>
      </top>
      <bottom style="thin">
        <color rgb="FFF7F7F7"/>
      </bottom>
      <diagonal/>
    </border>
    <border>
      <left/>
      <right style="thin">
        <color rgb="FFDBDBDB"/>
      </right>
      <top style="thin">
        <color rgb="FFF7F7F7"/>
      </top>
      <bottom style="thin">
        <color rgb="FFF7F7F7"/>
      </bottom>
      <diagonal/>
    </border>
    <border>
      <left style="thin">
        <color rgb="FFDBDBDB"/>
      </left>
      <right style="thin">
        <color rgb="FFDBDBDB"/>
      </right>
      <top style="thin">
        <color rgb="FFF7F7F7"/>
      </top>
      <bottom style="thin">
        <color rgb="FFF7F7F7"/>
      </bottom>
      <diagonal/>
    </border>
    <border>
      <left style="thin">
        <color rgb="FFDBDBDB"/>
      </left>
      <right/>
      <top style="thin">
        <color rgb="FFF7F7F7"/>
      </top>
      <bottom style="thin">
        <color rgb="FFF5F5F5"/>
      </bottom>
      <diagonal/>
    </border>
    <border>
      <left/>
      <right/>
      <top style="thin">
        <color rgb="FFF7F7F7"/>
      </top>
      <bottom style="thin">
        <color rgb="FFF5F5F5"/>
      </bottom>
      <diagonal/>
    </border>
    <border>
      <left/>
      <right style="thin">
        <color rgb="FFDBDBDB"/>
      </right>
      <top style="thin">
        <color rgb="FFF7F7F7"/>
      </top>
      <bottom style="thin">
        <color rgb="FFF5F5F5"/>
      </bottom>
      <diagonal/>
    </border>
    <border>
      <left style="thin">
        <color rgb="FFDBDBDB"/>
      </left>
      <right style="thin">
        <color rgb="FFDBDBDB"/>
      </right>
      <top style="thin">
        <color rgb="FFF7F7F7"/>
      </top>
      <bottom style="thin">
        <color rgb="FFF5F5F5"/>
      </bottom>
      <diagonal/>
    </border>
    <border>
      <left/>
      <right style="thin">
        <color rgb="FFDDDDDD"/>
      </right>
      <top style="thin">
        <color rgb="FFF7F7F7"/>
      </top>
      <bottom/>
      <diagonal/>
    </border>
    <border>
      <left style="thin">
        <color rgb="FFDDDDDD"/>
      </left>
      <right/>
      <top style="thin">
        <color rgb="FFF7F7F7"/>
      </top>
      <bottom/>
      <diagonal/>
    </border>
    <border>
      <left/>
      <right/>
      <top style="thin">
        <color rgb="FFF7F7F7"/>
      </top>
      <bottom/>
      <diagonal/>
    </border>
    <border>
      <left style="thin">
        <color rgb="FFDDDDDD"/>
      </left>
      <right style="thin">
        <color rgb="FFDDDDDD"/>
      </right>
      <top style="thin">
        <color rgb="FFF7F7F7"/>
      </top>
      <bottom/>
      <diagonal/>
    </border>
    <border>
      <left style="thin">
        <color rgb="FFDDDDDD"/>
      </left>
      <right/>
      <top/>
      <bottom style="thin">
        <color rgb="FFF7F7F7"/>
      </bottom>
      <diagonal/>
    </border>
    <border>
      <left/>
      <right/>
      <top/>
      <bottom style="thin">
        <color rgb="FFF7F7F7"/>
      </bottom>
      <diagonal/>
    </border>
    <border>
      <left style="thin">
        <color rgb="FFDDDDDD"/>
      </left>
      <right style="thin">
        <color rgb="FFDDDDDD"/>
      </right>
      <top/>
      <bottom style="thin">
        <color rgb="FFF7F7F7"/>
      </bottom>
      <diagonal/>
    </border>
    <border>
      <left style="thin">
        <color rgb="FFDDDDDD"/>
      </left>
      <right/>
      <top/>
      <bottom style="thin">
        <color rgb="FFF5F5F5"/>
      </bottom>
      <diagonal/>
    </border>
    <border>
      <left/>
      <right/>
      <top/>
      <bottom style="thin">
        <color rgb="FFF5F5F5"/>
      </bottom>
      <diagonal/>
    </border>
    <border>
      <left style="thin">
        <color rgb="FFDDDDDD"/>
      </left>
      <right/>
      <top style="thin">
        <color rgb="FFF5F5F5"/>
      </top>
      <bottom/>
      <diagonal/>
    </border>
    <border>
      <left/>
      <right/>
      <top style="thin">
        <color rgb="FFF5F5F5"/>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right/>
      <top/>
      <bottom style="thin">
        <color rgb="FFDADADA"/>
      </bottom>
      <diagonal/>
    </border>
    <border>
      <left/>
      <right style="thin">
        <color rgb="FFDADADA"/>
      </right>
      <top style="thin">
        <color rgb="FFDADADA"/>
      </top>
      <bottom style="thin">
        <color rgb="FFDADADA"/>
      </bottom>
      <diagonal/>
    </border>
    <border>
      <left style="thin">
        <color rgb="FFDADADA"/>
      </left>
      <right/>
      <top style="thin">
        <color rgb="FFDADADA"/>
      </top>
      <bottom style="thin">
        <color rgb="FFDADADA"/>
      </bottom>
      <diagonal/>
    </border>
    <border>
      <left/>
      <right/>
      <top style="thin">
        <color rgb="FFDADADA"/>
      </top>
      <bottom style="thin">
        <color rgb="FFDADADA"/>
      </bottom>
      <diagonal/>
    </border>
    <border>
      <left style="thin">
        <color rgb="FFDADADA"/>
      </left>
      <right style="thin">
        <color rgb="FFDADADA"/>
      </right>
      <top style="thin">
        <color rgb="FFDADADA"/>
      </top>
      <bottom style="thin">
        <color rgb="FFDADADA"/>
      </bottom>
      <diagonal/>
    </border>
    <border>
      <left/>
      <right style="thin">
        <color rgb="FFDADADA"/>
      </right>
      <top style="thin">
        <color rgb="FFDADADA"/>
      </top>
      <bottom style="thin">
        <color rgb="FFF4F4F4"/>
      </bottom>
      <diagonal/>
    </border>
    <border>
      <left style="thin">
        <color rgb="FFDADADA"/>
      </left>
      <right/>
      <top style="thin">
        <color rgb="FFDADADA"/>
      </top>
      <bottom style="thin">
        <color rgb="FFF4F4F4"/>
      </bottom>
      <diagonal/>
    </border>
    <border>
      <left/>
      <right/>
      <top style="thin">
        <color rgb="FFDADADA"/>
      </top>
      <bottom style="thin">
        <color rgb="FFF4F4F4"/>
      </bottom>
      <diagonal/>
    </border>
    <border>
      <left style="thin">
        <color rgb="FFDADADA"/>
      </left>
      <right style="thin">
        <color rgb="FFDADADA"/>
      </right>
      <top style="thin">
        <color rgb="FFDADADA"/>
      </top>
      <bottom style="thin">
        <color rgb="FFF4F4F4"/>
      </bottom>
      <diagonal/>
    </border>
    <border>
      <left/>
      <right style="thin">
        <color rgb="FFDADADA"/>
      </right>
      <top style="thin">
        <color rgb="FFF4F4F4"/>
      </top>
      <bottom style="thin">
        <color rgb="FFF4F4F4"/>
      </bottom>
      <diagonal/>
    </border>
    <border>
      <left style="thin">
        <color rgb="FFDADADA"/>
      </left>
      <right/>
      <top style="thin">
        <color rgb="FFF4F4F4"/>
      </top>
      <bottom style="thin">
        <color rgb="FFF4F4F4"/>
      </bottom>
      <diagonal/>
    </border>
    <border>
      <left/>
      <right/>
      <top style="thin">
        <color rgb="FFF4F4F4"/>
      </top>
      <bottom style="thin">
        <color rgb="FFF4F4F4"/>
      </bottom>
      <diagonal/>
    </border>
    <border>
      <left style="thin">
        <color rgb="FFDADADA"/>
      </left>
      <right style="thin">
        <color rgb="FFDADADA"/>
      </right>
      <top style="thin">
        <color rgb="FFF4F4F4"/>
      </top>
      <bottom style="thin">
        <color rgb="FFF4F4F4"/>
      </bottom>
      <diagonal/>
    </border>
    <border>
      <left style="thin">
        <color rgb="FFDADADA"/>
      </left>
      <right style="thin">
        <color rgb="FFDADADA"/>
      </right>
      <top style="thin">
        <color rgb="FFF4F4F4"/>
      </top>
      <bottom style="thin">
        <color rgb="FFDADADA"/>
      </bottom>
      <diagonal/>
    </border>
    <border>
      <left style="thin">
        <color rgb="FFF4F4F4"/>
      </left>
      <right style="thin">
        <color rgb="FFDADADA"/>
      </right>
      <top style="thin">
        <color rgb="FFF4F4F4"/>
      </top>
      <bottom style="thin">
        <color rgb="FFF4F4F4"/>
      </bottom>
      <diagonal/>
    </border>
    <border>
      <left/>
      <right/>
      <top style="thin">
        <color rgb="FFDADADA"/>
      </top>
      <bottom/>
      <diagonal/>
    </border>
    <border>
      <left/>
      <right style="thin">
        <color rgb="FFDBDBDB"/>
      </right>
      <top style="thin">
        <color rgb="FFDBDBDB"/>
      </top>
      <bottom style="thin">
        <color rgb="FFF4F4F4"/>
      </bottom>
      <diagonal/>
    </border>
    <border>
      <left style="thin">
        <color rgb="FFDBDBDB"/>
      </left>
      <right/>
      <top style="thin">
        <color rgb="FFDBDBDB"/>
      </top>
      <bottom style="thin">
        <color rgb="FFF4F4F4"/>
      </bottom>
      <diagonal/>
    </border>
    <border>
      <left/>
      <right/>
      <top style="thin">
        <color rgb="FFDBDBDB"/>
      </top>
      <bottom style="thin">
        <color rgb="FFF4F4F4"/>
      </bottom>
      <diagonal/>
    </border>
    <border>
      <left style="thin">
        <color rgb="FFDBDBDB"/>
      </left>
      <right style="thin">
        <color rgb="FFDBDBDB"/>
      </right>
      <top style="thin">
        <color rgb="FFDBDBDB"/>
      </top>
      <bottom style="thin">
        <color rgb="FFF4F4F4"/>
      </bottom>
      <diagonal/>
    </border>
    <border>
      <left/>
      <right style="thin">
        <color rgb="FFDBDBDB"/>
      </right>
      <top style="thin">
        <color rgb="FFF4F4F4"/>
      </top>
      <bottom style="thin">
        <color rgb="FFF4F4F4"/>
      </bottom>
      <diagonal/>
    </border>
    <border>
      <left style="thin">
        <color rgb="FFDBDBDB"/>
      </left>
      <right/>
      <top style="thin">
        <color rgb="FFF4F4F4"/>
      </top>
      <bottom style="thin">
        <color rgb="FFF4F4F4"/>
      </bottom>
      <diagonal/>
    </border>
    <border>
      <left style="thin">
        <color rgb="FFDBDBDB"/>
      </left>
      <right style="thin">
        <color rgb="FFDBDBDB"/>
      </right>
      <top style="thin">
        <color rgb="FFF4F4F4"/>
      </top>
      <bottom style="thin">
        <color rgb="FFF4F4F4"/>
      </bottom>
      <diagonal/>
    </border>
    <border>
      <left/>
      <right style="thin">
        <color rgb="FFDBDBDB"/>
      </right>
      <top style="thin">
        <color rgb="FFF4F4F4"/>
      </top>
      <bottom style="thin">
        <color rgb="FFDBDBDB"/>
      </bottom>
      <diagonal/>
    </border>
    <border>
      <left style="thin">
        <color rgb="FFDBDBDB"/>
      </left>
      <right/>
      <top style="thin">
        <color rgb="FFF4F4F4"/>
      </top>
      <bottom style="thin">
        <color rgb="FFDBDBDB"/>
      </bottom>
      <diagonal/>
    </border>
    <border>
      <left/>
      <right/>
      <top style="thin">
        <color rgb="FFF4F4F4"/>
      </top>
      <bottom style="thin">
        <color rgb="FFDBDBDB"/>
      </bottom>
      <diagonal/>
    </border>
    <border>
      <left style="thin">
        <color rgb="FFDBDBDB"/>
      </left>
      <right style="thin">
        <color rgb="FFDBDBDB"/>
      </right>
      <top style="thin">
        <color rgb="FFF4F4F4"/>
      </top>
      <bottom style="thin">
        <color rgb="FFDBDBDB"/>
      </bottom>
      <diagonal/>
    </border>
    <border>
      <left style="thin">
        <color rgb="FFDBDBDB"/>
      </left>
      <right/>
      <top style="thin">
        <color rgb="FFDBDBDB"/>
      </top>
      <bottom style="thin">
        <color rgb="FFF6F6F6"/>
      </bottom>
      <diagonal/>
    </border>
    <border>
      <left/>
      <right/>
      <top style="thin">
        <color rgb="FFDBDBDB"/>
      </top>
      <bottom style="thin">
        <color rgb="FFF6F6F6"/>
      </bottom>
      <diagonal/>
    </border>
    <border>
      <left style="thin">
        <color rgb="FFDBDBDB"/>
      </left>
      <right/>
      <top style="thin">
        <color rgb="FFF6F6F6"/>
      </top>
      <bottom style="thin">
        <color rgb="FFF6F6F6"/>
      </bottom>
      <diagonal/>
    </border>
    <border>
      <left/>
      <right/>
      <top style="thin">
        <color rgb="FFF6F6F6"/>
      </top>
      <bottom style="thin">
        <color rgb="FFF6F6F6"/>
      </bottom>
      <diagonal/>
    </border>
    <border>
      <left style="thin">
        <color rgb="FFDBDBDB"/>
      </left>
      <right/>
      <top style="thin">
        <color rgb="FFF6F6F6"/>
      </top>
      <bottom style="thin">
        <color rgb="FFDBDBDB"/>
      </bottom>
      <diagonal/>
    </border>
    <border>
      <left/>
      <right/>
      <top style="thin">
        <color rgb="FFF6F6F6"/>
      </top>
      <bottom style="thin">
        <color rgb="FFDBDBDB"/>
      </bottom>
      <diagonal/>
    </border>
    <border>
      <left/>
      <right style="thin">
        <color rgb="FFDADADA"/>
      </right>
      <top style="thin">
        <color rgb="FFDADADA"/>
      </top>
      <bottom style="thin">
        <color rgb="FFF3F3F3"/>
      </bottom>
      <diagonal/>
    </border>
    <border>
      <left style="thin">
        <color rgb="FFDADADA"/>
      </left>
      <right/>
      <top style="thin">
        <color rgb="FFDADADA"/>
      </top>
      <bottom style="thin">
        <color rgb="FFF3F3F3"/>
      </bottom>
      <diagonal/>
    </border>
    <border>
      <left/>
      <right/>
      <top style="thin">
        <color rgb="FFDADADA"/>
      </top>
      <bottom style="thin">
        <color rgb="FFF3F3F3"/>
      </bottom>
      <diagonal/>
    </border>
    <border>
      <left style="thin">
        <color rgb="FFDADADA"/>
      </left>
      <right/>
      <top style="thin">
        <color rgb="FFF3F3F3"/>
      </top>
      <bottom style="thin">
        <color rgb="FFF3F3F3"/>
      </bottom>
      <diagonal/>
    </border>
    <border>
      <left/>
      <right style="thin">
        <color rgb="FFDADADA"/>
      </right>
      <top style="thin">
        <color rgb="FFF3F3F3"/>
      </top>
      <bottom style="thin">
        <color rgb="FFDADADA"/>
      </bottom>
      <diagonal/>
    </border>
    <border>
      <left style="thin">
        <color rgb="FFDADADA"/>
      </left>
      <right/>
      <top style="thin">
        <color rgb="FFF3F3F3"/>
      </top>
      <bottom style="thin">
        <color rgb="FFDADADA"/>
      </bottom>
      <diagonal/>
    </border>
    <border>
      <left/>
      <right/>
      <top style="thin">
        <color rgb="FFF3F3F3"/>
      </top>
      <bottom style="thin">
        <color rgb="FFDADADA"/>
      </bottom>
      <diagonal/>
    </border>
    <border>
      <left/>
      <right style="thin">
        <color rgb="FFDADADA"/>
      </right>
      <top/>
      <bottom style="thin">
        <color rgb="FFF3F3F3"/>
      </bottom>
      <diagonal/>
    </border>
    <border>
      <left style="thin">
        <color rgb="FFDADADA"/>
      </left>
      <right/>
      <top/>
      <bottom style="thin">
        <color rgb="FFF3F3F3"/>
      </bottom>
      <diagonal/>
    </border>
    <border>
      <left/>
      <right/>
      <top/>
      <bottom style="thin">
        <color rgb="FFF3F3F3"/>
      </bottom>
      <diagonal/>
    </border>
    <border>
      <left style="thin">
        <color rgb="FFDADADA"/>
      </left>
      <right style="thin">
        <color rgb="FFDADADA"/>
      </right>
      <top/>
      <bottom style="thin">
        <color rgb="FFF3F3F3"/>
      </bottom>
      <diagonal/>
    </border>
    <border>
      <left style="thin">
        <color rgb="FFDADADA"/>
      </left>
      <right style="thin">
        <color rgb="FFDADADA"/>
      </right>
      <top style="thin">
        <color rgb="FFF3F3F3"/>
      </top>
      <bottom style="thin">
        <color rgb="FFF3F3F3"/>
      </bottom>
      <diagonal/>
    </border>
    <border>
      <left style="thin">
        <color rgb="FFDADADA"/>
      </left>
      <right style="thin">
        <color rgb="FFDADADA"/>
      </right>
      <top style="thin">
        <color rgb="FFF3F3F3"/>
      </top>
      <bottom style="thin">
        <color rgb="FFDADADA"/>
      </bottom>
      <diagonal/>
    </border>
    <border>
      <left style="thin">
        <color rgb="FFF3F3F3"/>
      </left>
      <right style="thin">
        <color rgb="FFD9D9D9"/>
      </right>
      <top style="thin">
        <color rgb="FFD9D9D9"/>
      </top>
      <bottom style="thin">
        <color rgb="FFD9D9D9"/>
      </bottom>
      <diagonal/>
    </border>
    <border>
      <left/>
      <right style="thin">
        <color rgb="FFD9D9D9"/>
      </right>
      <top style="thin">
        <color rgb="FFD9D9D9"/>
      </top>
      <bottom style="thin">
        <color rgb="FFF3F3F3"/>
      </bottom>
      <diagonal/>
    </border>
    <border>
      <left style="thin">
        <color rgb="FFF3F3F3"/>
      </left>
      <right style="thin">
        <color rgb="FFD9D9D9"/>
      </right>
      <top style="thin">
        <color rgb="FFD9D9D9"/>
      </top>
      <bottom style="thin">
        <color rgb="FFF3F3F3"/>
      </bottom>
      <diagonal/>
    </border>
    <border>
      <left/>
      <right style="thin">
        <color rgb="FFD9D9D9"/>
      </right>
      <top style="thin">
        <color rgb="FFF3F3F3"/>
      </top>
      <bottom style="thin">
        <color rgb="FFF3F3F3"/>
      </bottom>
      <diagonal/>
    </border>
    <border>
      <left style="thin">
        <color rgb="FFF3F3F3"/>
      </left>
      <right style="thin">
        <color rgb="FFD9D9D9"/>
      </right>
      <top style="thin">
        <color rgb="FFF3F3F3"/>
      </top>
      <bottom style="thin">
        <color rgb="FFF3F3F3"/>
      </bottom>
      <diagonal/>
    </border>
    <border>
      <left/>
      <right style="thin">
        <color rgb="FFD9D9D9"/>
      </right>
      <top style="thin">
        <color rgb="FFF3F3F3"/>
      </top>
      <bottom style="thin">
        <color rgb="FFD9D9D9"/>
      </bottom>
      <diagonal/>
    </border>
    <border>
      <left style="thin">
        <color rgb="FFF3F3F3"/>
      </left>
      <right style="thin">
        <color rgb="FFD9D9D9"/>
      </right>
      <top style="thin">
        <color rgb="FFF3F3F3"/>
      </top>
      <bottom style="thin">
        <color rgb="FFD9D9D9"/>
      </bottom>
      <diagonal/>
    </border>
    <border>
      <left style="thin">
        <color rgb="FFD9D9D9"/>
      </left>
      <right/>
      <top style="thin">
        <color rgb="FFF3F3F3"/>
      </top>
      <bottom style="thin">
        <color rgb="FFF3F3F3"/>
      </bottom>
      <diagonal/>
    </border>
    <border>
      <left/>
      <right style="thin">
        <color rgb="FFDADADA"/>
      </right>
      <top style="thin">
        <color rgb="FFF3F3F3"/>
      </top>
      <bottom style="thin">
        <color rgb="FFF4F4F4"/>
      </bottom>
      <diagonal/>
    </border>
    <border>
      <left style="thin">
        <color rgb="FFDADADA"/>
      </left>
      <right/>
      <top style="thin">
        <color rgb="FFF3F3F3"/>
      </top>
      <bottom style="thin">
        <color rgb="FFF4F4F4"/>
      </bottom>
      <diagonal/>
    </border>
    <border>
      <left/>
      <right/>
      <top style="thin">
        <color rgb="FFF3F3F3"/>
      </top>
      <bottom style="thin">
        <color rgb="FFF4F4F4"/>
      </bottom>
      <diagonal/>
    </border>
    <border>
      <left/>
      <right style="thin">
        <color rgb="FFDADADA"/>
      </right>
      <top style="thin">
        <color rgb="FFF4F4F4"/>
      </top>
      <bottom style="thin">
        <color rgb="FFF3F3F3"/>
      </bottom>
      <diagonal/>
    </border>
    <border>
      <left style="thin">
        <color rgb="FFDADADA"/>
      </left>
      <right/>
      <top style="thin">
        <color rgb="FFF4F4F4"/>
      </top>
      <bottom style="thin">
        <color rgb="FFF3F3F3"/>
      </bottom>
      <diagonal/>
    </border>
    <border>
      <left/>
      <right/>
      <top style="thin">
        <color rgb="FFF4F4F4"/>
      </top>
      <bottom style="thin">
        <color rgb="FFF3F3F3"/>
      </bottom>
      <diagonal/>
    </border>
    <border>
      <left style="thin">
        <color rgb="FFDADADA"/>
      </left>
      <right style="thin">
        <color rgb="FFDADADA"/>
      </right>
      <top style="thin">
        <color rgb="FFDADADA"/>
      </top>
      <bottom style="thin">
        <color rgb="FFF3F3F3"/>
      </bottom>
      <diagonal/>
    </border>
    <border>
      <left style="thin">
        <color rgb="FFDADADA"/>
      </left>
      <right style="thin">
        <color rgb="FFF3F3F3"/>
      </right>
      <top style="thin">
        <color rgb="FFDADADA"/>
      </top>
      <bottom style="thin">
        <color rgb="FFDADADA"/>
      </bottom>
      <diagonal/>
    </border>
    <border>
      <left style="thin">
        <color rgb="FFF3F3F3"/>
      </left>
      <right style="thin">
        <color rgb="FFF3F3F3"/>
      </right>
      <top style="thin">
        <color rgb="FFDADADA"/>
      </top>
      <bottom style="thin">
        <color rgb="FFDADADA"/>
      </bottom>
      <diagonal/>
    </border>
    <border>
      <left style="thin">
        <color rgb="FFF3F3F3"/>
      </left>
      <right style="thin">
        <color rgb="FFDADADA"/>
      </right>
      <top style="thin">
        <color rgb="FFDADADA"/>
      </top>
      <bottom style="thin">
        <color rgb="FFDADADA"/>
      </bottom>
      <diagonal/>
    </border>
    <border>
      <left style="thin">
        <color rgb="FFF3F3F3"/>
      </left>
      <right/>
      <top style="thin">
        <color rgb="FFDADADA"/>
      </top>
      <bottom style="thin">
        <color rgb="FFDADADA"/>
      </bottom>
      <diagonal/>
    </border>
    <border>
      <left style="thin">
        <color rgb="FFDADADA"/>
      </left>
      <right style="thin">
        <color rgb="FFF3F3F3"/>
      </right>
      <top style="thin">
        <color rgb="FFDADADA"/>
      </top>
      <bottom style="thin">
        <color rgb="FFF3F3F3"/>
      </bottom>
      <diagonal/>
    </border>
    <border>
      <left style="thin">
        <color rgb="FFF3F3F3"/>
      </left>
      <right style="thin">
        <color rgb="FFF3F3F3"/>
      </right>
      <top style="thin">
        <color rgb="FFDADADA"/>
      </top>
      <bottom style="thin">
        <color rgb="FFF3F3F3"/>
      </bottom>
      <diagonal/>
    </border>
    <border>
      <left style="thin">
        <color rgb="FFF3F3F3"/>
      </left>
      <right style="thin">
        <color rgb="FFDADADA"/>
      </right>
      <top style="thin">
        <color rgb="FFDADADA"/>
      </top>
      <bottom style="thin">
        <color rgb="FFF3F3F3"/>
      </bottom>
      <diagonal/>
    </border>
    <border>
      <left style="thin">
        <color rgb="FFF3F3F3"/>
      </left>
      <right style="thin">
        <color rgb="FFF3F3F3"/>
      </right>
      <top style="thin">
        <color rgb="FFD9D9D9"/>
      </top>
      <bottom style="thin">
        <color rgb="FFF3F3F3"/>
      </bottom>
      <diagonal/>
    </border>
    <border>
      <left style="thin">
        <color rgb="FFD9D9D9"/>
      </left>
      <right style="thin">
        <color rgb="FFF3F3F3"/>
      </right>
      <top style="thin">
        <color rgb="FFDADADA"/>
      </top>
      <bottom style="thin">
        <color rgb="FFF3F3F3"/>
      </bottom>
      <diagonal/>
    </border>
    <border>
      <left style="thin">
        <color rgb="FFF3F3F3"/>
      </left>
      <right/>
      <top style="thin">
        <color rgb="FFDADADA"/>
      </top>
      <bottom style="thin">
        <color rgb="FFF3F3F3"/>
      </bottom>
      <diagonal/>
    </border>
    <border>
      <left style="thin">
        <color rgb="FFDADADA"/>
      </left>
      <right style="thin">
        <color rgb="FFF3F3F3"/>
      </right>
      <top style="thin">
        <color rgb="FFF3F3F3"/>
      </top>
      <bottom style="thin">
        <color rgb="FFF3F3F3"/>
      </bottom>
      <diagonal/>
    </border>
    <border>
      <left style="thin">
        <color rgb="FFF3F3F3"/>
      </left>
      <right style="thin">
        <color rgb="FFF3F3F3"/>
      </right>
      <top style="thin">
        <color rgb="FFF3F3F3"/>
      </top>
      <bottom style="thin">
        <color rgb="FFF3F3F3"/>
      </bottom>
      <diagonal/>
    </border>
    <border>
      <left style="thin">
        <color rgb="FFF3F3F3"/>
      </left>
      <right style="thin">
        <color rgb="FFDADADA"/>
      </right>
      <top style="thin">
        <color rgb="FFF3F3F3"/>
      </top>
      <bottom style="thin">
        <color rgb="FFF3F3F3"/>
      </bottom>
      <diagonal/>
    </border>
    <border>
      <left style="thin">
        <color rgb="FFDADADA"/>
      </left>
      <right style="thin">
        <color rgb="FFF3F3F3"/>
      </right>
      <top style="thin">
        <color rgb="FFF3F3F3"/>
      </top>
      <bottom style="thin">
        <color rgb="FFDADADA"/>
      </bottom>
      <diagonal/>
    </border>
    <border>
      <left style="thin">
        <color rgb="FFF3F3F3"/>
      </left>
      <right style="thin">
        <color rgb="FFF3F3F3"/>
      </right>
      <top style="thin">
        <color rgb="FFF3F3F3"/>
      </top>
      <bottom style="thin">
        <color rgb="FFDADADA"/>
      </bottom>
      <diagonal/>
    </border>
    <border>
      <left style="thin">
        <color rgb="FFF3F3F3"/>
      </left>
      <right style="thin">
        <color rgb="FFDADADA"/>
      </right>
      <top style="thin">
        <color rgb="FFF3F3F3"/>
      </top>
      <bottom style="thin">
        <color rgb="FFDADADA"/>
      </bottom>
      <diagonal/>
    </border>
    <border>
      <left style="thin">
        <color rgb="FFF3F3F3"/>
      </left>
      <right style="thin">
        <color rgb="FFF3F3F3"/>
      </right>
      <top style="thin">
        <color rgb="FFF3F3F3"/>
      </top>
      <bottom style="thin">
        <color rgb="FFD9D9D9"/>
      </bottom>
      <diagonal/>
    </border>
    <border>
      <left style="thin">
        <color rgb="FFD9D9D9"/>
      </left>
      <right style="thin">
        <color rgb="FFF3F3F3"/>
      </right>
      <top style="thin">
        <color rgb="FFF3F3F3"/>
      </top>
      <bottom style="thin">
        <color rgb="FFDADADA"/>
      </bottom>
      <diagonal/>
    </border>
    <border>
      <left style="thin">
        <color rgb="FFF3F3F3"/>
      </left>
      <right/>
      <top style="thin">
        <color rgb="FFF3F3F3"/>
      </top>
      <bottom style="thin">
        <color rgb="FFDADADA"/>
      </bottom>
      <diagonal/>
    </border>
    <border>
      <left style="thin">
        <color rgb="FFF3F3F3"/>
      </left>
      <right style="thin">
        <color rgb="FFF3F3F3"/>
      </right>
      <top style="thin">
        <color rgb="FFD9D9D9"/>
      </top>
      <bottom style="thin">
        <color rgb="FFD9D9D9"/>
      </bottom>
      <diagonal/>
    </border>
    <border>
      <left style="thin">
        <color rgb="FFD9D9D9"/>
      </left>
      <right style="thin">
        <color rgb="FFF3F3F3"/>
      </right>
      <top style="thin">
        <color rgb="FFDADADA"/>
      </top>
      <bottom style="thin">
        <color rgb="FFDADADA"/>
      </bottom>
      <diagonal/>
    </border>
    <border>
      <left/>
      <right style="thin">
        <color rgb="FFDADADA"/>
      </right>
      <top style="thin">
        <color rgb="FFDADADA"/>
      </top>
      <bottom/>
      <diagonal/>
    </border>
    <border>
      <left style="thin">
        <color rgb="FFDADADA"/>
      </left>
      <right style="thin">
        <color rgb="FFF4F4F4"/>
      </right>
      <top style="thin">
        <color rgb="FFDADADA"/>
      </top>
      <bottom/>
      <diagonal/>
    </border>
    <border>
      <left style="thin">
        <color rgb="FFF4F4F4"/>
      </left>
      <right style="thin">
        <color rgb="FFF4F4F4"/>
      </right>
      <top style="thin">
        <color rgb="FFDADADA"/>
      </top>
      <bottom/>
      <diagonal/>
    </border>
    <border>
      <left style="thin">
        <color rgb="FFF4F4F4"/>
      </left>
      <right style="thin">
        <color rgb="FFDADADA"/>
      </right>
      <top style="thin">
        <color rgb="FFDADADA"/>
      </top>
      <bottom/>
      <diagonal/>
    </border>
    <border>
      <left style="thin">
        <color rgb="FFF4F4F4"/>
      </left>
      <right/>
      <top style="thin">
        <color rgb="FFDADADA"/>
      </top>
      <bottom/>
      <diagonal/>
    </border>
    <border>
      <left/>
      <right style="thin">
        <color rgb="FFDADADA"/>
      </right>
      <top/>
      <bottom style="thin">
        <color rgb="FFDADADA"/>
      </bottom>
      <diagonal/>
    </border>
    <border>
      <left style="thin">
        <color rgb="FFDADADA"/>
      </left>
      <right style="thin">
        <color rgb="FFF4F4F4"/>
      </right>
      <top/>
      <bottom style="thin">
        <color rgb="FFDADADA"/>
      </bottom>
      <diagonal/>
    </border>
    <border>
      <left style="thin">
        <color rgb="FFF4F4F4"/>
      </left>
      <right style="thin">
        <color rgb="FFF4F4F4"/>
      </right>
      <top/>
      <bottom style="thin">
        <color rgb="FFDADADA"/>
      </bottom>
      <diagonal/>
    </border>
    <border>
      <left style="thin">
        <color rgb="FFF4F4F4"/>
      </left>
      <right style="thin">
        <color rgb="FFDADADA"/>
      </right>
      <top/>
      <bottom style="thin">
        <color rgb="FFDADADA"/>
      </bottom>
      <diagonal/>
    </border>
    <border>
      <left style="thin">
        <color rgb="FFF4F4F4"/>
      </left>
      <right/>
      <top/>
      <bottom style="thin">
        <color rgb="FFDADADA"/>
      </bottom>
      <diagonal/>
    </border>
    <border>
      <left style="thin">
        <color rgb="FFDADADA"/>
      </left>
      <right style="thin">
        <color rgb="FFF4F4F4"/>
      </right>
      <top style="thin">
        <color rgb="FFDADADA"/>
      </top>
      <bottom style="thin">
        <color rgb="FFF4F4F4"/>
      </bottom>
      <diagonal/>
    </border>
    <border>
      <left style="thin">
        <color rgb="FFF4F4F4"/>
      </left>
      <right style="thin">
        <color rgb="FFF4F4F4"/>
      </right>
      <top style="thin">
        <color rgb="FFDADADA"/>
      </top>
      <bottom style="thin">
        <color rgb="FFF4F4F4"/>
      </bottom>
      <diagonal/>
    </border>
    <border>
      <left style="thin">
        <color rgb="FFF4F4F4"/>
      </left>
      <right style="thin">
        <color rgb="FFDADADA"/>
      </right>
      <top style="thin">
        <color rgb="FFDADADA"/>
      </top>
      <bottom style="thin">
        <color rgb="FFF4F4F4"/>
      </bottom>
      <diagonal/>
    </border>
    <border>
      <left style="thin">
        <color rgb="FFF4F4F4"/>
      </left>
      <right/>
      <top style="thin">
        <color rgb="FFDADADA"/>
      </top>
      <bottom style="thin">
        <color rgb="FFF4F4F4"/>
      </bottom>
      <diagonal/>
    </border>
    <border>
      <left style="thin">
        <color rgb="FFDADADA"/>
      </left>
      <right style="thin">
        <color rgb="FFF4F4F4"/>
      </right>
      <top style="thin">
        <color rgb="FFF4F4F4"/>
      </top>
      <bottom style="thin">
        <color rgb="FFF4F4F4"/>
      </bottom>
      <diagonal/>
    </border>
    <border>
      <left style="thin">
        <color rgb="FFF4F4F4"/>
      </left>
      <right style="thin">
        <color rgb="FFF4F4F4"/>
      </right>
      <top style="thin">
        <color rgb="FFF4F4F4"/>
      </top>
      <bottom style="thin">
        <color rgb="FFF4F4F4"/>
      </bottom>
      <diagonal/>
    </border>
    <border>
      <left style="thin">
        <color rgb="FFF4F4F4"/>
      </left>
      <right/>
      <top style="thin">
        <color rgb="FFF4F4F4"/>
      </top>
      <bottom style="thin">
        <color rgb="FFF4F4F4"/>
      </bottom>
      <diagonal/>
    </border>
    <border>
      <left style="thin">
        <color rgb="FFDADADA"/>
      </left>
      <right style="thin">
        <color rgb="FFF4F4F4"/>
      </right>
      <top style="thin">
        <color rgb="FFF4F4F4"/>
      </top>
      <bottom style="thin">
        <color rgb="FFDADADA"/>
      </bottom>
      <diagonal/>
    </border>
    <border>
      <left style="thin">
        <color rgb="FFF4F4F4"/>
      </left>
      <right style="thin">
        <color rgb="FFF4F4F4"/>
      </right>
      <top style="thin">
        <color rgb="FFF4F4F4"/>
      </top>
      <bottom style="thin">
        <color rgb="FFDADADA"/>
      </bottom>
      <diagonal/>
    </border>
    <border>
      <left style="thin">
        <color rgb="FFF4F4F4"/>
      </left>
      <right style="thin">
        <color rgb="FFDADADA"/>
      </right>
      <top style="thin">
        <color rgb="FFF4F4F4"/>
      </top>
      <bottom style="thin">
        <color rgb="FFDADADA"/>
      </bottom>
      <diagonal/>
    </border>
    <border>
      <left style="thin">
        <color rgb="FFF4F4F4"/>
      </left>
      <right/>
      <top style="thin">
        <color rgb="FFF4F4F4"/>
      </top>
      <bottom style="thin">
        <color rgb="FFDADADA"/>
      </bottom>
      <diagonal/>
    </border>
    <border>
      <left style="thin">
        <color rgb="FFDADADA"/>
      </left>
      <right style="thin">
        <color rgb="FFF4F4F4"/>
      </right>
      <top style="thin">
        <color rgb="FFDADADA"/>
      </top>
      <bottom style="thin">
        <color rgb="FFDADADA"/>
      </bottom>
      <diagonal/>
    </border>
    <border>
      <left style="thin">
        <color rgb="FFF4F4F4"/>
      </left>
      <right style="thin">
        <color rgb="FFF4F4F4"/>
      </right>
      <top style="thin">
        <color rgb="FFDADADA"/>
      </top>
      <bottom style="thin">
        <color rgb="FFDADADA"/>
      </bottom>
      <diagonal/>
    </border>
    <border>
      <left style="thin">
        <color rgb="FFF4F4F4"/>
      </left>
      <right style="thin">
        <color rgb="FFDADADA"/>
      </right>
      <top style="thin">
        <color rgb="FFDADADA"/>
      </top>
      <bottom style="thin">
        <color rgb="FFDADADA"/>
      </bottom>
      <diagonal/>
    </border>
    <border>
      <left style="thin">
        <color rgb="FFF4F4F4"/>
      </left>
      <right/>
      <top style="thin">
        <color rgb="FFDADADA"/>
      </top>
      <bottom style="thin">
        <color rgb="FFDADADA"/>
      </bottom>
      <diagonal/>
    </border>
    <border>
      <left style="thin">
        <color rgb="FFF4F4F4"/>
      </left>
      <right style="thin">
        <color rgb="FFF4F4F4"/>
      </right>
      <top style="thin">
        <color rgb="FFF4F4F4"/>
      </top>
      <bottom/>
      <diagonal/>
    </border>
    <border>
      <left style="thin">
        <color rgb="FFF4F4F4"/>
      </left>
      <right style="thin">
        <color rgb="FFF4F4F4"/>
      </right>
      <top/>
      <bottom style="thin">
        <color rgb="FFF4F4F4"/>
      </bottom>
      <diagonal/>
    </border>
    <border>
      <left/>
      <right style="thin">
        <color rgb="FFDADADA"/>
      </right>
      <top style="thin">
        <color rgb="FFD9D9D9"/>
      </top>
      <bottom style="thin">
        <color rgb="FFD9D9D9"/>
      </bottom>
      <diagonal/>
    </border>
    <border>
      <left style="thin">
        <color rgb="FFDADADA"/>
      </left>
      <right/>
      <top style="thin">
        <color rgb="FFD9D9D9"/>
      </top>
      <bottom style="thin">
        <color rgb="FFD9D9D9"/>
      </bottom>
      <diagonal/>
    </border>
    <border>
      <left/>
      <right style="thin">
        <color rgb="FFD9D9D9"/>
      </right>
      <top/>
      <bottom style="thin">
        <color rgb="FFF3F3F3"/>
      </bottom>
      <diagonal/>
    </border>
    <border>
      <left style="thin">
        <color rgb="FFD9D9D9"/>
      </left>
      <right/>
      <top/>
      <bottom style="thin">
        <color rgb="FFF3F3F3"/>
      </bottom>
      <diagonal/>
    </border>
    <border>
      <left style="thin">
        <color rgb="FFD9D9D9"/>
      </left>
      <right/>
      <top style="thin">
        <color rgb="FFF3F3F3"/>
      </top>
      <bottom style="thin">
        <color rgb="FFD9D9D9"/>
      </bottom>
      <diagonal/>
    </border>
    <border>
      <left/>
      <right style="thin">
        <color rgb="FFDADADA"/>
      </right>
      <top style="thin">
        <color rgb="FFF3F3F3"/>
      </top>
      <bottom style="thin">
        <color rgb="FFD9D9D9"/>
      </bottom>
      <diagonal/>
    </border>
    <border>
      <left style="thin">
        <color rgb="FFDADADA"/>
      </left>
      <right/>
      <top style="thin">
        <color rgb="FFF3F3F3"/>
      </top>
      <bottom style="thin">
        <color rgb="FFD9D9D9"/>
      </bottom>
      <diagonal/>
    </border>
    <border>
      <left/>
      <right style="thin">
        <color rgb="FFD9D9D9"/>
      </right>
      <top style="thin">
        <color rgb="FFD9D9D9"/>
      </top>
      <bottom style="thin">
        <color rgb="FFDADADA"/>
      </bottom>
      <diagonal/>
    </border>
    <border>
      <left/>
      <right/>
      <top style="thin">
        <color rgb="FFD9D9D9"/>
      </top>
      <bottom style="thin">
        <color rgb="FFDADADA"/>
      </bottom>
      <diagonal/>
    </border>
    <border>
      <left style="thin">
        <color rgb="FFD9D9D9"/>
      </left>
      <right/>
      <top style="thin">
        <color rgb="FFD9D9D9"/>
      </top>
      <bottom style="thin">
        <color rgb="FFDADADA"/>
      </bottom>
      <diagonal/>
    </border>
    <border>
      <left/>
      <right style="thin">
        <color rgb="FFDADADA"/>
      </right>
      <top style="thin">
        <color rgb="FFD9D9D9"/>
      </top>
      <bottom style="thin">
        <color rgb="FFDADADA"/>
      </bottom>
      <diagonal/>
    </border>
    <border>
      <left style="thin">
        <color rgb="FFDADADA"/>
      </left>
      <right/>
      <top style="thin">
        <color rgb="FFD9D9D9"/>
      </top>
      <bottom style="thin">
        <color rgb="FFDADADA"/>
      </bottom>
      <diagonal/>
    </border>
    <border>
      <left/>
      <right style="thin">
        <color rgb="FFDADADA"/>
      </right>
      <top/>
      <bottom style="thin">
        <color rgb="FFF4F4F4"/>
      </bottom>
      <diagonal/>
    </border>
    <border>
      <left style="thin">
        <color rgb="FFDADADA"/>
      </left>
      <right/>
      <top/>
      <bottom style="thin">
        <color rgb="FFF4F4F4"/>
      </bottom>
      <diagonal/>
    </border>
    <border>
      <left style="double">
        <color rgb="FFF4F4F4"/>
      </left>
      <right/>
      <top style="thin">
        <color rgb="FFDADADA"/>
      </top>
      <bottom style="thin">
        <color rgb="FFDADADA"/>
      </bottom>
      <diagonal/>
    </border>
    <border>
      <left style="thin">
        <color rgb="FFDDDDDD"/>
      </left>
      <right/>
      <top style="thin">
        <color rgb="FFF7F7F7"/>
      </top>
      <bottom style="thin">
        <color rgb="FFDCDCDC"/>
      </bottom>
      <diagonal/>
    </border>
    <border>
      <left/>
      <right/>
      <top style="thin">
        <color rgb="FFF7F7F7"/>
      </top>
      <bottom style="thin">
        <color rgb="FFDCDCDC"/>
      </bottom>
      <diagonal/>
    </border>
    <border>
      <left/>
      <right style="thin">
        <color rgb="FFDDDDDD"/>
      </right>
      <top style="thin">
        <color rgb="FFF7F7F7"/>
      </top>
      <bottom style="thin">
        <color rgb="FFDCDCDC"/>
      </bottom>
      <diagonal/>
    </border>
    <border>
      <left style="thin">
        <color rgb="FFDDDDDD"/>
      </left>
      <right style="thin">
        <color rgb="FFDDDDDD"/>
      </right>
      <top style="thin">
        <color rgb="FFF7F7F7"/>
      </top>
      <bottom style="thin">
        <color rgb="FFDCDCDC"/>
      </bottom>
      <diagonal/>
    </border>
    <border>
      <left/>
      <right style="thin">
        <color rgb="FFDDDDDD"/>
      </right>
      <top style="thin">
        <color rgb="FFF7F7F7"/>
      </top>
      <bottom style="thin">
        <color rgb="FFDADADA"/>
      </bottom>
      <diagonal/>
    </border>
    <border>
      <left style="thin">
        <color rgb="FFDDDDDD"/>
      </left>
      <right/>
      <top style="thin">
        <color rgb="FFF7F7F7"/>
      </top>
      <bottom style="thin">
        <color rgb="FFDADADA"/>
      </bottom>
      <diagonal/>
    </border>
    <border>
      <left/>
      <right/>
      <top style="thin">
        <color rgb="FFF7F7F7"/>
      </top>
      <bottom style="thin">
        <color rgb="FFDADADA"/>
      </bottom>
      <diagonal/>
    </border>
    <border>
      <left style="thin">
        <color rgb="FFDDDDDD"/>
      </left>
      <right style="thin">
        <color rgb="FFDDDDDD"/>
      </right>
      <top style="thin">
        <color rgb="FFF7F7F7"/>
      </top>
      <bottom style="thin">
        <color rgb="FFDADADA"/>
      </bottom>
      <diagonal/>
    </border>
    <border>
      <left/>
      <right style="thin">
        <color rgb="FFDADADA"/>
      </right>
      <top style="thin">
        <color rgb="FFDEDEDE"/>
      </top>
      <bottom/>
      <diagonal/>
    </border>
    <border>
      <left style="thin">
        <color rgb="FFDADADA"/>
      </left>
      <right/>
      <top style="thin">
        <color rgb="FFDEDEDE"/>
      </top>
      <bottom style="thin">
        <color rgb="FFF7F7F7"/>
      </bottom>
      <diagonal/>
    </border>
    <border>
      <left/>
      <right/>
      <top style="thin">
        <color rgb="FFDEDEDE"/>
      </top>
      <bottom style="thin">
        <color rgb="FFF7F7F7"/>
      </bottom>
      <diagonal/>
    </border>
    <border>
      <left/>
      <right style="thin">
        <color rgb="FFDEDEDE"/>
      </right>
      <top style="thin">
        <color rgb="FFDEDEDE"/>
      </top>
      <bottom style="thin">
        <color rgb="FFF7F7F7"/>
      </bottom>
      <diagonal/>
    </border>
    <border>
      <left style="thin">
        <color rgb="FFDEDEDE"/>
      </left>
      <right style="thin">
        <color rgb="FFDEDEDE"/>
      </right>
      <top style="thin">
        <color rgb="FFF7F7F7"/>
      </top>
      <bottom style="thin">
        <color rgb="FFF7F7F7"/>
      </bottom>
      <diagonal/>
    </border>
    <border>
      <left style="thin">
        <color rgb="FFDEDEDE"/>
      </left>
      <right/>
      <top style="thin">
        <color rgb="FFF7F7F7"/>
      </top>
      <bottom style="thin">
        <color rgb="FFF7F7F7"/>
      </bottom>
      <diagonal/>
    </border>
    <border>
      <left/>
      <right style="thin">
        <color rgb="FFDEDEDE"/>
      </right>
      <top style="thin">
        <color rgb="FFF7F7F7"/>
      </top>
      <bottom style="thin">
        <color rgb="FFF7F7F7"/>
      </bottom>
      <diagonal/>
    </border>
    <border>
      <left/>
      <right style="thin">
        <color rgb="FFDEDEDE"/>
      </right>
      <top style="thin">
        <color rgb="FFF7F7F7"/>
      </top>
      <bottom/>
      <diagonal/>
    </border>
    <border>
      <left style="thin">
        <color rgb="FFDEDEDE"/>
      </left>
      <right/>
      <top style="thin">
        <color rgb="FFF4F4F4"/>
      </top>
      <bottom style="thin">
        <color rgb="FFF4F4F4"/>
      </bottom>
      <diagonal/>
    </border>
    <border>
      <left/>
      <right style="thin">
        <color rgb="FFDEDEDE"/>
      </right>
      <top/>
      <bottom style="thin">
        <color rgb="FFF3F3F3"/>
      </bottom>
      <diagonal/>
    </border>
    <border>
      <left style="thin">
        <color rgb="FFDBDBDB"/>
      </left>
      <right style="thin">
        <color rgb="FFDEDEDE"/>
      </right>
      <top style="thin">
        <color rgb="FFF4F4F4"/>
      </top>
      <bottom style="thin">
        <color rgb="FFF4F4F4"/>
      </bottom>
      <diagonal/>
    </border>
    <border>
      <left/>
      <right style="thin">
        <color rgb="FFDEDEDE"/>
      </right>
      <top/>
      <bottom style="thin">
        <color rgb="FFDEDEDE"/>
      </bottom>
      <diagonal/>
    </border>
    <border>
      <left style="thin">
        <color rgb="FFDBDBDB"/>
      </left>
      <right style="thin">
        <color rgb="FFDEDEDE"/>
      </right>
      <top style="thin">
        <color rgb="FFDBDBDB"/>
      </top>
      <bottom style="thin">
        <color rgb="FFDBDBDB"/>
      </bottom>
      <diagonal/>
    </border>
    <border>
      <left style="thin">
        <color rgb="FFDEDEDE"/>
      </left>
      <right/>
      <top style="thin">
        <color rgb="FFDBDBDB"/>
      </top>
      <bottom style="thin">
        <color rgb="FFDBDBDB"/>
      </bottom>
      <diagonal/>
    </border>
    <border>
      <left/>
      <right style="thin">
        <color rgb="FFDEDEDE"/>
      </right>
      <top/>
      <bottom/>
      <diagonal/>
    </border>
    <border>
      <left/>
      <right style="thin">
        <color rgb="FFDEDEDE"/>
      </right>
      <top/>
      <bottom style="thin">
        <color rgb="FFDBDBDB"/>
      </bottom>
      <diagonal/>
    </border>
    <border>
      <left style="thin">
        <color rgb="FFDEDEDE"/>
      </left>
      <right/>
      <top style="thin">
        <color rgb="FFF8F8F8"/>
      </top>
      <bottom style="thin">
        <color rgb="FFF4F4F4"/>
      </bottom>
      <diagonal/>
    </border>
    <border>
      <left/>
      <right/>
      <top style="thin">
        <color rgb="FFF8F8F8"/>
      </top>
      <bottom style="thin">
        <color rgb="FFF4F4F4"/>
      </bottom>
      <diagonal/>
    </border>
    <border>
      <left/>
      <right style="thin">
        <color rgb="FFDEDEDE"/>
      </right>
      <top style="thin">
        <color rgb="FFF8F8F8"/>
      </top>
      <bottom style="thin">
        <color rgb="FFF4F4F4"/>
      </bottom>
      <diagonal/>
    </border>
    <border>
      <left/>
      <right style="thin">
        <color rgb="FFDDDDDD"/>
      </right>
      <top style="thin">
        <color rgb="FFF3F3F3"/>
      </top>
      <bottom style="thin">
        <color rgb="FFF7F7F7"/>
      </bottom>
      <diagonal/>
    </border>
    <border>
      <left style="thin">
        <color rgb="FFDDDDDD"/>
      </left>
      <right/>
      <top style="thin">
        <color rgb="FFF4F4F4"/>
      </top>
      <bottom style="thin">
        <color rgb="FFF4F4F4"/>
      </bottom>
      <diagonal/>
    </border>
    <border>
      <left/>
      <right style="thin">
        <color rgb="FFDEDEDE"/>
      </right>
      <top style="thin">
        <color rgb="FFF4F4F4"/>
      </top>
      <bottom style="thin">
        <color rgb="FFF4F4F4"/>
      </bottom>
      <diagonal/>
    </border>
    <border>
      <left style="thin">
        <color rgb="FFDEDEDE"/>
      </left>
      <right style="thin">
        <color rgb="FFDEDEDE"/>
      </right>
      <top style="thin">
        <color rgb="FFF4F4F4"/>
      </top>
      <bottom style="thin">
        <color rgb="FFF4F4F4"/>
      </bottom>
      <diagonal/>
    </border>
    <border>
      <left/>
      <right style="thin">
        <color rgb="FFDEDEDE"/>
      </right>
      <top style="thin">
        <color rgb="FFF7F7F7"/>
      </top>
      <bottom style="thin">
        <color rgb="FFF3F3F3"/>
      </bottom>
      <diagonal/>
    </border>
    <border>
      <left/>
      <right style="thin">
        <color rgb="FFDEDEDE"/>
      </right>
      <top style="thin">
        <color rgb="FFF7F7F7"/>
      </top>
      <bottom style="thin">
        <color rgb="FFDEDEDE"/>
      </bottom>
      <diagonal/>
    </border>
    <border>
      <left style="thin">
        <color rgb="FFDEDEDE"/>
      </left>
      <right style="thin">
        <color rgb="FFDEDEDE"/>
      </right>
      <top style="thin">
        <color rgb="FFF4F4F4"/>
      </top>
      <bottom style="thin">
        <color rgb="FFDEDEDE"/>
      </bottom>
      <diagonal/>
    </border>
    <border>
      <left style="thin">
        <color rgb="FFDEDEDE"/>
      </left>
      <right style="thin">
        <color rgb="FFD9D9D9"/>
      </right>
      <top style="thin">
        <color rgb="FFDEDEDE"/>
      </top>
      <bottom style="thin">
        <color rgb="FFDEDEDE"/>
      </bottom>
      <diagonal/>
    </border>
    <border>
      <left style="thin">
        <color rgb="FFDEDEDE"/>
      </left>
      <right style="thin">
        <color rgb="FFD9D9D9"/>
      </right>
      <top style="thin">
        <color rgb="FFDEDEDE"/>
      </top>
      <bottom style="thin">
        <color rgb="FFF8F8F8"/>
      </bottom>
      <diagonal/>
    </border>
    <border>
      <left style="thin">
        <color rgb="FFDBDBDB"/>
      </left>
      <right style="thin">
        <color rgb="FFD9D9D9"/>
      </right>
      <top style="thin">
        <color rgb="FFF4F4F4"/>
      </top>
      <bottom style="thin">
        <color rgb="FFF4F4F4"/>
      </bottom>
      <diagonal/>
    </border>
    <border>
      <left style="thin">
        <color rgb="FFDBDBDB"/>
      </left>
      <right style="thin">
        <color rgb="FFDDDDDD"/>
      </right>
      <top style="thin">
        <color rgb="FFF4F4F4"/>
      </top>
      <bottom style="thin">
        <color rgb="FFF4F4F4"/>
      </bottom>
      <diagonal/>
    </border>
    <border>
      <left style="thin">
        <color rgb="FFDEDEDE"/>
      </left>
      <right style="thin">
        <color rgb="FFDEDEDE"/>
      </right>
      <top style="thin">
        <color rgb="FFF8F8F8"/>
      </top>
      <bottom style="thin">
        <color rgb="FFDEDEDE"/>
      </bottom>
      <diagonal/>
    </border>
    <border>
      <left/>
      <right/>
      <top style="thin">
        <color rgb="FFDEDEDE"/>
      </top>
      <bottom/>
      <diagonal/>
    </border>
    <border>
      <left/>
      <right style="thin">
        <color rgb="FFDADADA"/>
      </right>
      <top style="thin">
        <color rgb="FFDBDBDB"/>
      </top>
      <bottom style="thin">
        <color rgb="FFDBDBDB"/>
      </bottom>
      <diagonal/>
    </border>
    <border>
      <left style="thin">
        <color rgb="FFDADADA"/>
      </left>
      <right/>
      <top style="thin">
        <color rgb="FFDBDBDB"/>
      </top>
      <bottom style="thin">
        <color rgb="FFDBDBDB"/>
      </bottom>
      <diagonal/>
    </border>
    <border>
      <left/>
      <right style="thin">
        <color rgb="FFDBDBDB"/>
      </right>
      <top style="thin">
        <color rgb="FFDBDBDB"/>
      </top>
      <bottom style="thin">
        <color rgb="FFF3F3F3"/>
      </bottom>
      <diagonal/>
    </border>
    <border>
      <left/>
      <right style="thin">
        <color rgb="FFDBDBDB"/>
      </right>
      <top style="thin">
        <color rgb="FFF3F3F3"/>
      </top>
      <bottom style="thin">
        <color rgb="FFF3F3F3"/>
      </bottom>
      <diagonal/>
    </border>
    <border>
      <left style="thin">
        <color rgb="FFDBDBDB"/>
      </left>
      <right/>
      <top style="thin">
        <color rgb="FFF3F3F3"/>
      </top>
      <bottom style="thin">
        <color rgb="FFF3F3F3"/>
      </bottom>
      <diagonal/>
    </border>
    <border>
      <left style="thin">
        <color rgb="FFDBDBDB"/>
      </left>
      <right style="thin">
        <color rgb="FFDBDBDB"/>
      </right>
      <top style="thin">
        <color rgb="FFF3F3F3"/>
      </top>
      <bottom style="thin">
        <color rgb="FFF3F3F3"/>
      </bottom>
      <diagonal/>
    </border>
    <border>
      <left/>
      <right style="thin">
        <color rgb="FFDBDBDB"/>
      </right>
      <top style="thin">
        <color rgb="FFF3F3F3"/>
      </top>
      <bottom style="thin">
        <color rgb="FFDBDBDB"/>
      </bottom>
      <diagonal/>
    </border>
    <border>
      <left style="thin">
        <color rgb="FFD9D9D9"/>
      </left>
      <right/>
      <top style="thin">
        <color rgb="FFD9D9D9"/>
      </top>
      <bottom style="thin">
        <color rgb="FFF3F3F3"/>
      </bottom>
      <diagonal/>
    </border>
    <border>
      <left/>
      <right style="thin">
        <color rgb="FFDADADA"/>
      </right>
      <top style="thin">
        <color rgb="FFDBDBDB"/>
      </top>
      <bottom style="thin">
        <color rgb="FFD9D9D9"/>
      </bottom>
      <diagonal/>
    </border>
    <border>
      <left style="thin">
        <color rgb="FFDCDCDC"/>
      </left>
      <right/>
      <top style="thin">
        <color rgb="FFDCDCDC"/>
      </top>
      <bottom style="thin">
        <color rgb="FFDBDBDB"/>
      </bottom>
      <diagonal/>
    </border>
    <border>
      <left/>
      <right/>
      <top style="thin">
        <color rgb="FFDBDBDB"/>
      </top>
      <bottom style="thin">
        <color rgb="FFD9D9D9"/>
      </bottom>
      <diagonal/>
    </border>
    <border>
      <left/>
      <right style="thin">
        <color rgb="FFDBDBDB"/>
      </right>
      <top style="thin">
        <color rgb="FFDBDBDB"/>
      </top>
      <bottom style="thin">
        <color rgb="FFD9D9D9"/>
      </bottom>
      <diagonal/>
    </border>
    <border>
      <left style="thin">
        <color rgb="FFDBDBDB"/>
      </left>
      <right style="thin">
        <color rgb="FFDCDCDC"/>
      </right>
      <top style="thin">
        <color rgb="FFDBDBDB"/>
      </top>
      <bottom style="thin">
        <color rgb="FFD9D9D9"/>
      </bottom>
      <diagonal/>
    </border>
    <border>
      <left style="thin">
        <color rgb="FFDCDCDC"/>
      </left>
      <right/>
      <top style="thin">
        <color rgb="FFDBDBDB"/>
      </top>
      <bottom style="thin">
        <color rgb="FFD9D9D9"/>
      </bottom>
      <diagonal/>
    </border>
    <border>
      <left/>
      <right style="thin">
        <color rgb="FFDADADA"/>
      </right>
      <top style="thin">
        <color rgb="FFD9D9D9"/>
      </top>
      <bottom style="thin">
        <color rgb="FFF3F3F3"/>
      </bottom>
      <diagonal/>
    </border>
    <border>
      <left style="thin">
        <color rgb="FFDCDCDC"/>
      </left>
      <right/>
      <top style="thin">
        <color rgb="FFF3F3F3"/>
      </top>
      <bottom style="thin">
        <color rgb="FFF3F3F3"/>
      </bottom>
      <diagonal/>
    </border>
    <border>
      <left/>
      <right style="thin">
        <color rgb="FFDCDCDC"/>
      </right>
      <top style="thin">
        <color rgb="FFF3F3F3"/>
      </top>
      <bottom style="thin">
        <color rgb="FFF3F3F3"/>
      </bottom>
      <diagonal/>
    </border>
    <border>
      <left style="thin">
        <color rgb="FFDCDCDC"/>
      </left>
      <right style="thin">
        <color rgb="FFDCDCDC"/>
      </right>
      <top style="thin">
        <color rgb="FFF3F3F3"/>
      </top>
      <bottom style="thin">
        <color rgb="FFF3F3F3"/>
      </bottom>
      <diagonal/>
    </border>
    <border>
      <left style="thin">
        <color rgb="FFDBDBDB"/>
      </left>
      <right/>
      <top style="thin">
        <color rgb="FFD9D9D9"/>
      </top>
      <bottom style="thin">
        <color rgb="FFF3F3F3"/>
      </bottom>
      <diagonal/>
    </border>
    <border>
      <left/>
      <right style="thin">
        <color rgb="FFDBDBDB"/>
      </right>
      <top style="thin">
        <color rgb="FFD9D9D9"/>
      </top>
      <bottom style="thin">
        <color rgb="FFF3F3F3"/>
      </bottom>
      <diagonal/>
    </border>
    <border>
      <left style="thin">
        <color rgb="FFDCDCDC"/>
      </left>
      <right/>
      <top style="thin">
        <color rgb="FFD9D9D9"/>
      </top>
      <bottom style="thin">
        <color rgb="FFF3F3F3"/>
      </bottom>
      <diagonal/>
    </border>
    <border>
      <left style="thin">
        <color rgb="FFDBDBDB"/>
      </left>
      <right/>
      <top style="thin">
        <color rgb="FFDADADA"/>
      </top>
      <bottom style="thin">
        <color rgb="FFF3F3F3"/>
      </bottom>
      <diagonal/>
    </border>
    <border>
      <left style="thin">
        <color rgb="FFDBDBDB"/>
      </left>
      <right style="thin">
        <color rgb="FFDCDCDC"/>
      </right>
      <top style="thin">
        <color rgb="FFD9D9D9"/>
      </top>
      <bottom style="thin">
        <color rgb="FFF3F3F3"/>
      </bottom>
      <diagonal/>
    </border>
    <border>
      <left style="thin">
        <color rgb="FFDCDCDC"/>
      </left>
      <right/>
      <top style="thin">
        <color rgb="FFDADADA"/>
      </top>
      <bottom style="thin">
        <color rgb="FFF3F3F3"/>
      </bottom>
      <diagonal/>
    </border>
    <border>
      <left/>
      <right style="thin">
        <color rgb="FFDBDBDB"/>
      </right>
      <top style="thin">
        <color rgb="FFF3F3F3"/>
      </top>
      <bottom style="thin">
        <color rgb="FFD9D9D9"/>
      </bottom>
      <diagonal/>
    </border>
    <border>
      <left style="thin">
        <color rgb="FFDADADA"/>
      </left>
      <right/>
      <top style="thin">
        <color rgb="FFDCDCDC"/>
      </top>
      <bottom style="thin">
        <color rgb="FFDADADA"/>
      </bottom>
      <diagonal/>
    </border>
    <border>
      <left/>
      <right/>
      <top style="thin">
        <color rgb="FFDCDCDC"/>
      </top>
      <bottom style="thin">
        <color rgb="FFDADADA"/>
      </bottom>
      <diagonal/>
    </border>
    <border>
      <left/>
      <right style="thin">
        <color rgb="FFDCDCDC"/>
      </right>
      <top style="thin">
        <color rgb="FFDCDCDC"/>
      </top>
      <bottom style="thin">
        <color rgb="FFDADADA"/>
      </bottom>
      <diagonal/>
    </border>
    <border>
      <left style="thin">
        <color rgb="FFDCDCDC"/>
      </left>
      <right/>
      <top style="thin">
        <color rgb="FFDCDCDC"/>
      </top>
      <bottom style="thin">
        <color rgb="FFDADADA"/>
      </bottom>
      <diagonal/>
    </border>
    <border>
      <left/>
      <right style="thin">
        <color rgb="FFDCDCDC"/>
      </right>
      <top/>
      <bottom style="thin">
        <color rgb="FFDADADA"/>
      </bottom>
      <diagonal/>
    </border>
    <border>
      <left style="thin">
        <color rgb="FFDCDCDC"/>
      </left>
      <right style="thin">
        <color rgb="FFDCDCDC"/>
      </right>
      <top/>
      <bottom style="thin">
        <color rgb="FFDADADA"/>
      </bottom>
      <diagonal/>
    </border>
    <border>
      <left style="thin">
        <color rgb="FFDCDCDC"/>
      </left>
      <right/>
      <top/>
      <bottom style="thin">
        <color rgb="FFDADADA"/>
      </bottom>
      <diagonal/>
    </border>
    <border>
      <left/>
      <right style="thin">
        <color rgb="FFDCDCDC"/>
      </right>
      <top style="thin">
        <color rgb="FFDADADA"/>
      </top>
      <bottom style="thin">
        <color rgb="FFF3F3F3"/>
      </bottom>
      <diagonal/>
    </border>
    <border>
      <left style="thin">
        <color rgb="FFDCDCDC"/>
      </left>
      <right style="thin">
        <color rgb="FFDCDCDC"/>
      </right>
      <top style="thin">
        <color rgb="FFDADADA"/>
      </top>
      <bottom style="thin">
        <color rgb="FFF3F3F3"/>
      </bottom>
      <diagonal/>
    </border>
    <border>
      <left/>
      <right style="thin">
        <color rgb="FFDBDBDB"/>
      </right>
      <top style="thin">
        <color rgb="FFF3F3F3"/>
      </top>
      <bottom style="thin">
        <color rgb="FFDADADA"/>
      </bottom>
      <diagonal/>
    </border>
    <border>
      <left style="thin">
        <color rgb="FFDBDBDB"/>
      </left>
      <right/>
      <top style="thin">
        <color rgb="FFF3F3F3"/>
      </top>
      <bottom style="thin">
        <color rgb="FFDADADA"/>
      </bottom>
      <diagonal/>
    </border>
    <border>
      <left/>
      <right style="thin">
        <color rgb="FFDCDCDC"/>
      </right>
      <top style="thin">
        <color rgb="FFF3F3F3"/>
      </top>
      <bottom style="thin">
        <color rgb="FFDADADA"/>
      </bottom>
      <diagonal/>
    </border>
    <border>
      <left style="thin">
        <color rgb="FFDCDCDC"/>
      </left>
      <right/>
      <top style="thin">
        <color rgb="FFF3F3F3"/>
      </top>
      <bottom style="thin">
        <color rgb="FFDADADA"/>
      </bottom>
      <diagonal/>
    </border>
    <border>
      <left style="thin">
        <color rgb="FFDCDCDC"/>
      </left>
      <right style="thin">
        <color rgb="FFDCDCDC"/>
      </right>
      <top style="thin">
        <color rgb="FFF3F3F3"/>
      </top>
      <bottom style="thin">
        <color rgb="FFDADADA"/>
      </bottom>
      <diagonal/>
    </border>
    <border>
      <left/>
      <right style="thin">
        <color rgb="FFDCDCDC"/>
      </right>
      <top style="thin">
        <color rgb="FFDADADA"/>
      </top>
      <bottom style="thin">
        <color rgb="FFDADADA"/>
      </bottom>
      <diagonal/>
    </border>
    <border>
      <left style="thin">
        <color rgb="FFDCDCDC"/>
      </left>
      <right/>
      <top style="thin">
        <color rgb="FFDADADA"/>
      </top>
      <bottom style="thin">
        <color rgb="FFDADADA"/>
      </bottom>
      <diagonal/>
    </border>
    <border>
      <left style="thin">
        <color rgb="FFDCDCDC"/>
      </left>
      <right style="thin">
        <color rgb="FFDCDCDC"/>
      </right>
      <top style="thin">
        <color rgb="FFDADADA"/>
      </top>
      <bottom style="thin">
        <color rgb="FFDADADA"/>
      </bottom>
      <diagonal/>
    </border>
    <border>
      <left/>
      <right style="thin">
        <color rgb="FFDBDBDB"/>
      </right>
      <top style="thin">
        <color rgb="FFF3F3F3"/>
      </top>
      <bottom style="thin">
        <color rgb="FFF4F4F4"/>
      </bottom>
      <diagonal/>
    </border>
    <border>
      <left style="thin">
        <color rgb="FFDCDCDC"/>
      </left>
      <right/>
      <top style="thin">
        <color rgb="FFF4F4F4"/>
      </top>
      <bottom style="thin">
        <color rgb="FFF4F4F4"/>
      </bottom>
      <diagonal/>
    </border>
    <border>
      <left/>
      <right style="thin">
        <color rgb="FFDCDCDC"/>
      </right>
      <top style="thin">
        <color rgb="FFF4F4F4"/>
      </top>
      <bottom style="thin">
        <color rgb="FFF4F4F4"/>
      </bottom>
      <diagonal/>
    </border>
    <border>
      <left style="thin">
        <color rgb="FFDCDCDC"/>
      </left>
      <right style="thin">
        <color rgb="FFDCDCDC"/>
      </right>
      <top style="thin">
        <color rgb="FFF4F4F4"/>
      </top>
      <bottom style="thin">
        <color rgb="FFF4F4F4"/>
      </bottom>
      <diagonal/>
    </border>
    <border>
      <left/>
      <right style="thin">
        <color rgb="FFDBDBDB"/>
      </right>
      <top style="thin">
        <color rgb="FFF4F4F4"/>
      </top>
      <bottom style="thin">
        <color rgb="FFDADADA"/>
      </bottom>
      <diagonal/>
    </border>
    <border>
      <left style="thin">
        <color rgb="FFDCDCDC"/>
      </left>
      <right/>
      <top style="thin">
        <color rgb="FFF4F4F4"/>
      </top>
      <bottom style="thin">
        <color rgb="FFDADADA"/>
      </bottom>
      <diagonal/>
    </border>
    <border>
      <left/>
      <right style="thin">
        <color rgb="FFDCDCDC"/>
      </right>
      <top style="thin">
        <color rgb="FFF4F4F4"/>
      </top>
      <bottom style="thin">
        <color rgb="FFDADADA"/>
      </bottom>
      <diagonal/>
    </border>
    <border>
      <left style="thin">
        <color rgb="FFDCDCDC"/>
      </left>
      <right style="thin">
        <color rgb="FFDCDCDC"/>
      </right>
      <top style="thin">
        <color rgb="FFF4F4F4"/>
      </top>
      <bottom style="thin">
        <color rgb="FFDADADA"/>
      </bottom>
      <diagonal/>
    </border>
    <border>
      <left style="thin">
        <color rgb="FFDCDCDC"/>
      </left>
      <right/>
      <top style="thin">
        <color rgb="FFF3F3F3"/>
      </top>
      <bottom style="thin">
        <color rgb="FFD9D9D9"/>
      </bottom>
      <diagonal/>
    </border>
    <border>
      <left/>
      <right style="thin">
        <color rgb="FFDCDCDC"/>
      </right>
      <top style="thin">
        <color rgb="FFF3F3F3"/>
      </top>
      <bottom style="thin">
        <color rgb="FFD9D9D9"/>
      </bottom>
      <diagonal/>
    </border>
    <border>
      <left style="thin">
        <color rgb="FFDCDCDC"/>
      </left>
      <right style="thin">
        <color rgb="FFDCDCDC"/>
      </right>
      <top style="thin">
        <color rgb="FFF3F3F3"/>
      </top>
      <bottom style="thin">
        <color rgb="FFD9D9D9"/>
      </bottom>
      <diagonal/>
    </border>
  </borders>
  <cellStyleXfs count="39">
    <xf numFmtId="0" fontId="0" fillId="0" borderId="0"/>
    <xf numFmtId="9" fontId="24" fillId="0" borderId="0" applyFont="0" applyFill="0" applyBorder="0" applyAlignment="0" applyProtection="0"/>
    <xf numFmtId="0" fontId="4" fillId="0" borderId="0" applyNumberFormat="0" applyFill="0" applyBorder="0" applyAlignment="0" applyProtection="0"/>
    <xf numFmtId="0" fontId="24" fillId="0" borderId="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5" fillId="0" borderId="0"/>
    <xf numFmtId="0" fontId="55" fillId="0" borderId="0"/>
    <xf numFmtId="43" fontId="55" fillId="0" borderId="0" applyFont="0" applyFill="0" applyBorder="0" applyAlignment="0" applyProtection="0"/>
    <xf numFmtId="0" fontId="24" fillId="0" borderId="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24" fillId="0" borderId="0"/>
    <xf numFmtId="0" fontId="82" fillId="0" borderId="0"/>
    <xf numFmtId="0" fontId="1" fillId="0" borderId="0"/>
    <xf numFmtId="43" fontId="1" fillId="0" borderId="0" applyFont="0" applyFill="0" applyBorder="0" applyAlignment="0" applyProtection="0"/>
    <xf numFmtId="43" fontId="88" fillId="0" borderId="0" applyFont="0" applyFill="0" applyBorder="0" applyAlignment="0" applyProtection="0"/>
    <xf numFmtId="43" fontId="55" fillId="0" borderId="0" applyFont="0" applyFill="0" applyBorder="0" applyAlignment="0" applyProtection="0"/>
  </cellStyleXfs>
  <cellXfs count="2984">
    <xf numFmtId="0" fontId="0" fillId="0" borderId="0" xfId="0"/>
    <xf numFmtId="0" fontId="5" fillId="0" borderId="0" xfId="0" applyFont="1"/>
    <xf numFmtId="0" fontId="6" fillId="0" borderId="0" xfId="0" applyFont="1"/>
    <xf numFmtId="0" fontId="7" fillId="0" borderId="0" xfId="0" applyFont="1"/>
    <xf numFmtId="0" fontId="15" fillId="2" borderId="0" xfId="0" applyFont="1" applyFill="1" applyAlignment="1">
      <alignment vertical="center"/>
    </xf>
    <xf numFmtId="0" fontId="16" fillId="2" borderId="0" xfId="0" applyFont="1" applyFill="1" applyAlignment="1">
      <alignment horizontal="right" vertical="center"/>
    </xf>
    <xf numFmtId="0" fontId="17" fillId="0" borderId="0" xfId="0" applyFont="1" applyAlignment="1">
      <alignment vertical="center"/>
    </xf>
    <xf numFmtId="0" fontId="0" fillId="0" borderId="0" xfId="0" applyAlignment="1">
      <alignment horizontal="right" vertical="top"/>
    </xf>
    <xf numFmtId="0" fontId="17" fillId="0" borderId="0" xfId="0" applyFont="1" applyAlignment="1">
      <alignment vertical="top"/>
    </xf>
    <xf numFmtId="0" fontId="18" fillId="0" borderId="1" xfId="2" applyNumberFormat="1" applyFont="1" applyBorder="1" applyAlignment="1"/>
    <xf numFmtId="0" fontId="18" fillId="0" borderId="2" xfId="2" quotePrefix="1" applyNumberFormat="1" applyFont="1" applyBorder="1" applyAlignment="1">
      <alignment horizontal="right"/>
    </xf>
    <xf numFmtId="0" fontId="19" fillId="0" borderId="0" xfId="2" applyNumberFormat="1" applyFont="1" applyBorder="1" applyAlignment="1"/>
    <xf numFmtId="0" fontId="19" fillId="0" borderId="0" xfId="2" quotePrefix="1" applyNumberFormat="1" applyFont="1" applyBorder="1" applyAlignment="1">
      <alignment horizontal="right"/>
    </xf>
    <xf numFmtId="0" fontId="20" fillId="0" borderId="0" xfId="2" applyNumberFormat="1" applyFont="1" applyBorder="1" applyAlignment="1"/>
    <xf numFmtId="0" fontId="19" fillId="0" borderId="0" xfId="0" quotePrefix="1" applyFont="1" applyAlignment="1">
      <alignment horizontal="right"/>
    </xf>
    <xf numFmtId="0" fontId="18" fillId="0" borderId="1" xfId="2" applyNumberFormat="1" applyFont="1" applyBorder="1" applyAlignment="1">
      <alignment horizontal="left" indent="1"/>
    </xf>
    <xf numFmtId="0" fontId="18" fillId="0" borderId="1" xfId="2" quotePrefix="1" applyNumberFormat="1" applyFont="1" applyBorder="1" applyAlignment="1">
      <alignment horizontal="right"/>
    </xf>
    <xf numFmtId="0" fontId="20" fillId="0" borderId="1" xfId="2" applyNumberFormat="1" applyFont="1" applyBorder="1" applyAlignment="1"/>
    <xf numFmtId="0" fontId="19" fillId="0" borderId="1" xfId="2" quotePrefix="1" applyNumberFormat="1" applyFont="1" applyBorder="1" applyAlignment="1">
      <alignment horizontal="right"/>
    </xf>
    <xf numFmtId="0" fontId="18" fillId="0" borderId="0" xfId="2" applyNumberFormat="1" applyFont="1" applyBorder="1" applyAlignment="1"/>
    <xf numFmtId="0" fontId="21" fillId="0" borderId="0" xfId="2" applyNumberFormat="1" applyFont="1" applyBorder="1" applyAlignment="1"/>
    <xf numFmtId="0" fontId="21" fillId="0" borderId="0" xfId="2" quotePrefix="1" applyFont="1" applyBorder="1" applyAlignment="1">
      <alignment horizontal="right"/>
    </xf>
    <xf numFmtId="0" fontId="18" fillId="0" borderId="0" xfId="2" applyNumberFormat="1" applyFont="1" applyBorder="1" applyAlignment="1">
      <alignment vertical="center"/>
    </xf>
    <xf numFmtId="0" fontId="24" fillId="0" borderId="0" xfId="3"/>
    <xf numFmtId="0" fontId="25" fillId="2" borderId="0" xfId="3" applyFont="1" applyFill="1" applyAlignment="1">
      <alignment vertical="center"/>
    </xf>
    <xf numFmtId="0" fontId="20" fillId="0" borderId="0" xfId="3" applyFont="1" applyAlignment="1">
      <alignment horizontal="left"/>
    </xf>
    <xf numFmtId="0" fontId="33" fillId="0" borderId="4" xfId="3" applyFont="1" applyBorder="1" applyAlignment="1">
      <alignment vertical="center" wrapText="1"/>
    </xf>
    <xf numFmtId="0" fontId="34" fillId="0" borderId="5" xfId="3" applyFont="1" applyBorder="1" applyAlignment="1">
      <alignment vertical="center"/>
    </xf>
    <xf numFmtId="0" fontId="34" fillId="0" borderId="6" xfId="3" applyFont="1" applyBorder="1" applyAlignment="1">
      <alignment vertical="center"/>
    </xf>
    <xf numFmtId="0" fontId="34" fillId="0" borderId="4" xfId="3" applyFont="1" applyBorder="1" applyAlignment="1">
      <alignment vertical="center"/>
    </xf>
    <xf numFmtId="0" fontId="35" fillId="0" borderId="5" xfId="3" applyFont="1" applyBorder="1" applyAlignment="1">
      <alignment vertical="center"/>
    </xf>
    <xf numFmtId="0" fontId="35" fillId="0" borderId="6" xfId="3" applyFont="1" applyBorder="1" applyAlignment="1">
      <alignment vertical="center"/>
    </xf>
    <xf numFmtId="0" fontId="35" fillId="0" borderId="4" xfId="3" applyFont="1" applyBorder="1" applyAlignment="1">
      <alignment vertical="center"/>
    </xf>
    <xf numFmtId="0" fontId="35" fillId="0" borderId="5" xfId="3" applyFont="1" applyBorder="1" applyAlignment="1">
      <alignment horizontal="center" vertical="center"/>
    </xf>
    <xf numFmtId="0" fontId="37" fillId="0" borderId="4" xfId="3" applyFont="1" applyBorder="1" applyAlignment="1">
      <alignment vertical="center" wrapText="1"/>
    </xf>
    <xf numFmtId="164" fontId="38" fillId="0" borderId="5" xfId="3" applyNumberFormat="1" applyFont="1" applyBorder="1" applyAlignment="1">
      <alignment horizontal="right" vertical="center"/>
    </xf>
    <xf numFmtId="164" fontId="30" fillId="0" borderId="6" xfId="3" applyNumberFormat="1" applyFont="1" applyBorder="1" applyAlignment="1">
      <alignment horizontal="right" vertical="center"/>
    </xf>
    <xf numFmtId="164" fontId="30" fillId="0" borderId="4" xfId="3" applyNumberFormat="1" applyFont="1" applyBorder="1" applyAlignment="1">
      <alignment horizontal="right" vertical="center"/>
    </xf>
    <xf numFmtId="164" fontId="30" fillId="0" borderId="5" xfId="3" applyNumberFormat="1" applyFont="1" applyBorder="1" applyAlignment="1">
      <alignment horizontal="right" vertical="center"/>
    </xf>
    <xf numFmtId="164" fontId="30" fillId="0" borderId="7" xfId="3" applyNumberFormat="1" applyFont="1" applyBorder="1" applyAlignment="1">
      <alignment horizontal="right" vertical="center"/>
    </xf>
    <xf numFmtId="0" fontId="38" fillId="0" borderId="8" xfId="3" applyFont="1" applyBorder="1" applyAlignment="1">
      <alignment vertical="center"/>
    </xf>
    <xf numFmtId="41" fontId="30" fillId="0" borderId="9" xfId="3" applyNumberFormat="1" applyFont="1" applyBorder="1" applyAlignment="1">
      <alignment horizontal="right" vertical="center"/>
    </xf>
    <xf numFmtId="41" fontId="30" fillId="0" borderId="10" xfId="3" applyNumberFormat="1" applyFont="1" applyBorder="1" applyAlignment="1">
      <alignment horizontal="right" vertical="center"/>
    </xf>
    <xf numFmtId="41" fontId="30" fillId="0" borderId="8" xfId="3" applyNumberFormat="1" applyFont="1" applyBorder="1" applyAlignment="1">
      <alignment horizontal="right" vertical="center"/>
    </xf>
    <xf numFmtId="41" fontId="30" fillId="0" borderId="9" xfId="3" applyNumberFormat="1" applyFont="1" applyBorder="1" applyAlignment="1">
      <alignment vertical="center"/>
    </xf>
    <xf numFmtId="41" fontId="30" fillId="0" borderId="10" xfId="3" applyNumberFormat="1" applyFont="1" applyBorder="1" applyAlignment="1">
      <alignment vertical="center"/>
    </xf>
    <xf numFmtId="41" fontId="30" fillId="0" borderId="11" xfId="3" applyNumberFormat="1" applyFont="1" applyBorder="1" applyAlignment="1">
      <alignment vertical="center"/>
    </xf>
    <xf numFmtId="0" fontId="38" fillId="0" borderId="12" xfId="3" applyFont="1" applyBorder="1" applyAlignment="1">
      <alignment horizontal="left" vertical="center" indent="1"/>
    </xf>
    <xf numFmtId="165" fontId="38" fillId="0" borderId="13" xfId="3" applyNumberFormat="1" applyFont="1" applyBorder="1" applyAlignment="1">
      <alignment vertical="center"/>
    </xf>
    <xf numFmtId="165" fontId="38" fillId="0" borderId="14" xfId="3" applyNumberFormat="1" applyFont="1" applyBorder="1" applyAlignment="1">
      <alignment vertical="center"/>
    </xf>
    <xf numFmtId="165" fontId="38" fillId="0" borderId="12" xfId="3" applyNumberFormat="1" applyFont="1" applyBorder="1" applyAlignment="1">
      <alignment vertical="center"/>
    </xf>
    <xf numFmtId="165" fontId="38" fillId="0" borderId="15" xfId="3" applyNumberFormat="1" applyFont="1" applyBorder="1" applyAlignment="1">
      <alignment vertical="center"/>
    </xf>
    <xf numFmtId="0" fontId="30" fillId="0" borderId="12" xfId="3" applyFont="1" applyBorder="1" applyAlignment="1">
      <alignment horizontal="left" vertical="center" indent="2"/>
    </xf>
    <xf numFmtId="165" fontId="30" fillId="0" borderId="13" xfId="3" applyNumberFormat="1" applyFont="1" applyBorder="1" applyAlignment="1">
      <alignment vertical="center"/>
    </xf>
    <xf numFmtId="165" fontId="30" fillId="0" borderId="14" xfId="3" applyNumberFormat="1" applyFont="1" applyBorder="1" applyAlignment="1">
      <alignment vertical="center"/>
    </xf>
    <xf numFmtId="165" fontId="30" fillId="0" borderId="12" xfId="3" applyNumberFormat="1" applyFont="1" applyBorder="1" applyAlignment="1">
      <alignment vertical="center"/>
    </xf>
    <xf numFmtId="165" fontId="30" fillId="0" borderId="15" xfId="3" applyNumberFormat="1" applyFont="1" applyBorder="1" applyAlignment="1">
      <alignment vertical="center"/>
    </xf>
    <xf numFmtId="0" fontId="38" fillId="0" borderId="12" xfId="3" applyFont="1" applyBorder="1" applyAlignment="1">
      <alignment vertical="center"/>
    </xf>
    <xf numFmtId="0" fontId="38" fillId="0" borderId="4" xfId="3" applyFont="1" applyBorder="1" applyAlignment="1">
      <alignment vertical="center"/>
    </xf>
    <xf numFmtId="165" fontId="38" fillId="0" borderId="5" xfId="3" applyNumberFormat="1" applyFont="1" applyBorder="1" applyAlignment="1">
      <alignment vertical="center"/>
    </xf>
    <xf numFmtId="165" fontId="38" fillId="0" borderId="6" xfId="3" applyNumberFormat="1" applyFont="1" applyBorder="1" applyAlignment="1">
      <alignment vertical="center"/>
    </xf>
    <xf numFmtId="165" fontId="38" fillId="0" borderId="4" xfId="3" applyNumberFormat="1" applyFont="1" applyBorder="1" applyAlignment="1">
      <alignment vertical="center"/>
    </xf>
    <xf numFmtId="165" fontId="38" fillId="0" borderId="7" xfId="3" applyNumberFormat="1" applyFont="1" applyBorder="1" applyAlignment="1">
      <alignment vertical="center"/>
    </xf>
    <xf numFmtId="165" fontId="30" fillId="0" borderId="5" xfId="3" applyNumberFormat="1" applyFont="1" applyBorder="1" applyAlignment="1">
      <alignment vertical="center"/>
    </xf>
    <xf numFmtId="165" fontId="30" fillId="0" borderId="6" xfId="3" applyNumberFormat="1" applyFont="1" applyBorder="1" applyAlignment="1">
      <alignment vertical="center"/>
    </xf>
    <xf numFmtId="165" fontId="30" fillId="0" borderId="4" xfId="3" applyNumberFormat="1" applyFont="1" applyBorder="1" applyAlignment="1">
      <alignment vertical="center"/>
    </xf>
    <xf numFmtId="165" fontId="30" fillId="0" borderId="7" xfId="3" applyNumberFormat="1" applyFont="1" applyBorder="1" applyAlignment="1">
      <alignment vertical="center"/>
    </xf>
    <xf numFmtId="165" fontId="30" fillId="0" borderId="9" xfId="3" applyNumberFormat="1" applyFont="1" applyBorder="1" applyAlignment="1">
      <alignment vertical="center"/>
    </xf>
    <xf numFmtId="165" fontId="30" fillId="0" borderId="10" xfId="3" applyNumberFormat="1" applyFont="1" applyBorder="1" applyAlignment="1">
      <alignment vertical="center"/>
    </xf>
    <xf numFmtId="165" fontId="30" fillId="0" borderId="8" xfId="3" applyNumberFormat="1" applyFont="1" applyBorder="1" applyAlignment="1">
      <alignment vertical="center"/>
    </xf>
    <xf numFmtId="165" fontId="30" fillId="0" borderId="11" xfId="3" applyNumberFormat="1" applyFont="1" applyBorder="1" applyAlignment="1">
      <alignment vertical="center"/>
    </xf>
    <xf numFmtId="0" fontId="39" fillId="0" borderId="16" xfId="3" applyFont="1" applyBorder="1" applyAlignment="1">
      <alignment vertical="center"/>
    </xf>
    <xf numFmtId="41" fontId="39" fillId="0" borderId="16" xfId="3" applyNumberFormat="1" applyFont="1" applyBorder="1" applyAlignment="1">
      <alignment vertical="center"/>
    </xf>
    <xf numFmtId="41" fontId="40" fillId="0" borderId="16" xfId="3" applyNumberFormat="1" applyFont="1" applyBorder="1" applyAlignment="1">
      <alignment vertical="center"/>
    </xf>
    <xf numFmtId="0" fontId="41" fillId="0" borderId="0" xfId="3" quotePrefix="1" applyFont="1" applyAlignment="1">
      <alignment horizontal="left" vertical="center"/>
    </xf>
    <xf numFmtId="0" fontId="41" fillId="0" borderId="0" xfId="3" applyFont="1" applyAlignment="1">
      <alignment horizontal="left" vertical="center"/>
    </xf>
    <xf numFmtId="0" fontId="41" fillId="0" borderId="0" xfId="3" quotePrefix="1" applyFont="1" applyAlignment="1">
      <alignment horizontal="left" vertical="center" wrapText="1"/>
    </xf>
    <xf numFmtId="0" fontId="46" fillId="4" borderId="19" xfId="3" applyFont="1" applyFill="1" applyBorder="1" applyAlignment="1">
      <alignment vertical="top"/>
    </xf>
    <xf numFmtId="0" fontId="46" fillId="4" borderId="21" xfId="3" applyFont="1" applyFill="1" applyBorder="1" applyAlignment="1">
      <alignment horizontal="center" vertical="top"/>
    </xf>
    <xf numFmtId="49" fontId="46" fillId="4" borderId="21" xfId="4" applyNumberFormat="1" applyFont="1" applyFill="1" applyBorder="1" applyAlignment="1">
      <alignment vertical="top" wrapText="1"/>
    </xf>
    <xf numFmtId="0" fontId="46" fillId="4" borderId="22" xfId="3" applyFont="1" applyFill="1" applyBorder="1" applyAlignment="1">
      <alignment horizontal="center" vertical="top"/>
    </xf>
    <xf numFmtId="0" fontId="46" fillId="4" borderId="23" xfId="3" applyFont="1" applyFill="1" applyBorder="1" applyAlignment="1">
      <alignment horizontal="center" vertical="top" wrapText="1"/>
    </xf>
    <xf numFmtId="0" fontId="46" fillId="4" borderId="18" xfId="3" applyFont="1" applyFill="1" applyBorder="1" applyAlignment="1">
      <alignment horizontal="center" vertical="top" wrapText="1"/>
    </xf>
    <xf numFmtId="0" fontId="42" fillId="4" borderId="24" xfId="3" applyFont="1" applyFill="1" applyBorder="1" applyAlignment="1">
      <alignment vertical="center"/>
    </xf>
    <xf numFmtId="0" fontId="42" fillId="4" borderId="25" xfId="3" applyFont="1" applyFill="1" applyBorder="1" applyAlignment="1">
      <alignment horizontal="center" vertical="center"/>
    </xf>
    <xf numFmtId="49" fontId="42" fillId="4" borderId="25" xfId="4" applyNumberFormat="1" applyFont="1" applyFill="1" applyBorder="1" applyAlignment="1">
      <alignment vertical="center" wrapText="1"/>
    </xf>
    <xf numFmtId="0" fontId="42" fillId="4" borderId="26" xfId="3" applyFont="1" applyFill="1" applyBorder="1" applyAlignment="1">
      <alignment horizontal="right" vertical="center"/>
    </xf>
    <xf numFmtId="0" fontId="42" fillId="4" borderId="27" xfId="3" applyFont="1" applyFill="1" applyBorder="1" applyAlignment="1">
      <alignment horizontal="right" vertical="center"/>
    </xf>
    <xf numFmtId="0" fontId="42" fillId="4" borderId="28" xfId="3" applyFont="1" applyFill="1" applyBorder="1" applyAlignment="1">
      <alignment horizontal="right" vertical="center"/>
    </xf>
    <xf numFmtId="0" fontId="42" fillId="4" borderId="29" xfId="3" applyFont="1" applyFill="1" applyBorder="1" applyAlignment="1">
      <alignment vertical="center"/>
    </xf>
    <xf numFmtId="0" fontId="42" fillId="4" borderId="30" xfId="3" applyFont="1" applyFill="1" applyBorder="1" applyAlignment="1">
      <alignment horizontal="center" vertical="center"/>
    </xf>
    <xf numFmtId="49" fontId="42" fillId="4" borderId="30" xfId="4" applyNumberFormat="1" applyFont="1" applyFill="1" applyBorder="1" applyAlignment="1">
      <alignment vertical="center" wrapText="1"/>
    </xf>
    <xf numFmtId="0" fontId="42" fillId="4" borderId="31" xfId="3" applyFont="1" applyFill="1" applyBorder="1" applyAlignment="1">
      <alignment horizontal="right" vertical="center"/>
    </xf>
    <xf numFmtId="0" fontId="42" fillId="4" borderId="32" xfId="3" applyFont="1" applyFill="1" applyBorder="1" applyAlignment="1">
      <alignment horizontal="right" vertical="center"/>
    </xf>
    <xf numFmtId="0" fontId="42" fillId="4" borderId="33" xfId="3" applyFont="1" applyFill="1" applyBorder="1" applyAlignment="1">
      <alignment horizontal="right" vertical="center"/>
    </xf>
    <xf numFmtId="0" fontId="42" fillId="4" borderId="34" xfId="3" applyFont="1" applyFill="1" applyBorder="1" applyAlignment="1">
      <alignment vertical="center"/>
    </xf>
    <xf numFmtId="0" fontId="42" fillId="4" borderId="35" xfId="3" applyFont="1" applyFill="1" applyBorder="1" applyAlignment="1">
      <alignment horizontal="center" vertical="center"/>
    </xf>
    <xf numFmtId="49" fontId="42" fillId="4" borderId="35" xfId="4" applyNumberFormat="1" applyFont="1" applyFill="1" applyBorder="1" applyAlignment="1">
      <alignment vertical="center" wrapText="1"/>
    </xf>
    <xf numFmtId="0" fontId="42" fillId="4" borderId="36" xfId="3" applyFont="1" applyFill="1" applyBorder="1" applyAlignment="1">
      <alignment horizontal="right" vertical="center" wrapText="1"/>
    </xf>
    <xf numFmtId="0" fontId="42" fillId="4" borderId="37" xfId="3" applyFont="1" applyFill="1" applyBorder="1" applyAlignment="1">
      <alignment horizontal="right" vertical="center" wrapText="1"/>
    </xf>
    <xf numFmtId="0" fontId="42" fillId="4" borderId="38" xfId="3" applyFont="1" applyFill="1" applyBorder="1" applyAlignment="1">
      <alignment horizontal="right" vertical="center"/>
    </xf>
    <xf numFmtId="0" fontId="42" fillId="4" borderId="36" xfId="3" applyFont="1" applyFill="1" applyBorder="1" applyAlignment="1">
      <alignment horizontal="right" vertical="center"/>
    </xf>
    <xf numFmtId="0" fontId="42" fillId="4" borderId="37" xfId="3" applyFont="1" applyFill="1" applyBorder="1" applyAlignment="1">
      <alignment horizontal="right" vertical="center"/>
    </xf>
    <xf numFmtId="0" fontId="42" fillId="4" borderId="29" xfId="3" applyFont="1" applyFill="1" applyBorder="1" applyAlignment="1">
      <alignment vertical="center" wrapText="1"/>
    </xf>
    <xf numFmtId="0" fontId="42" fillId="4" borderId="33" xfId="3" applyFont="1" applyFill="1" applyBorder="1" applyAlignment="1">
      <alignment horizontal="right" vertical="center" wrapText="1"/>
    </xf>
    <xf numFmtId="0" fontId="42" fillId="4" borderId="34" xfId="3" applyFont="1" applyFill="1" applyBorder="1" applyAlignment="1">
      <alignment vertical="center" wrapText="1"/>
    </xf>
    <xf numFmtId="0" fontId="42" fillId="4" borderId="24" xfId="3" applyFont="1" applyFill="1" applyBorder="1" applyAlignment="1">
      <alignment vertical="center" wrapText="1"/>
    </xf>
    <xf numFmtId="0" fontId="29" fillId="0" borderId="41" xfId="3" applyFont="1" applyBorder="1" applyAlignment="1">
      <alignment vertical="center" wrapText="1"/>
    </xf>
    <xf numFmtId="0" fontId="29" fillId="0" borderId="42" xfId="3" applyFont="1" applyBorder="1" applyAlignment="1">
      <alignment vertical="center"/>
    </xf>
    <xf numFmtId="0" fontId="29" fillId="0" borderId="43" xfId="3" applyFont="1" applyBorder="1" applyAlignment="1">
      <alignment vertical="center"/>
    </xf>
    <xf numFmtId="0" fontId="29" fillId="0" borderId="41" xfId="3" applyFont="1" applyBorder="1" applyAlignment="1">
      <alignment vertical="center"/>
    </xf>
    <xf numFmtId="0" fontId="7" fillId="0" borderId="42" xfId="3" applyFont="1" applyBorder="1" applyAlignment="1">
      <alignment vertical="center"/>
    </xf>
    <xf numFmtId="0" fontId="7" fillId="0" borderId="43" xfId="3" applyFont="1" applyBorder="1" applyAlignment="1">
      <alignment vertical="center"/>
    </xf>
    <xf numFmtId="0" fontId="7" fillId="0" borderId="41" xfId="3" applyFont="1" applyBorder="1" applyAlignment="1">
      <alignment vertical="center"/>
    </xf>
    <xf numFmtId="0" fontId="7" fillId="0" borderId="42" xfId="3" applyFont="1" applyBorder="1" applyAlignment="1">
      <alignment horizontal="center" vertical="center"/>
    </xf>
    <xf numFmtId="0" fontId="17" fillId="0" borderId="41" xfId="3" applyFont="1" applyBorder="1" applyAlignment="1">
      <alignment horizontal="left" vertical="center" wrapText="1"/>
    </xf>
    <xf numFmtId="0" fontId="29" fillId="0" borderId="42" xfId="3" applyFont="1" applyBorder="1" applyAlignment="1">
      <alignment horizontal="right" vertical="center"/>
    </xf>
    <xf numFmtId="0" fontId="7" fillId="0" borderId="43" xfId="3" applyFont="1" applyBorder="1" applyAlignment="1">
      <alignment horizontal="right" vertical="center"/>
    </xf>
    <xf numFmtId="0" fontId="7" fillId="0" borderId="41" xfId="3" applyFont="1" applyBorder="1" applyAlignment="1">
      <alignment horizontal="right" vertical="center"/>
    </xf>
    <xf numFmtId="166" fontId="7" fillId="0" borderId="42" xfId="3" applyNumberFormat="1" applyFont="1" applyBorder="1" applyAlignment="1">
      <alignment vertical="center"/>
    </xf>
    <xf numFmtId="166" fontId="7" fillId="0" borderId="44" xfId="3" applyNumberFormat="1" applyFont="1" applyBorder="1" applyAlignment="1">
      <alignment vertical="center"/>
    </xf>
    <xf numFmtId="166" fontId="7" fillId="0" borderId="43" xfId="3" applyNumberFormat="1" applyFont="1" applyBorder="1" applyAlignment="1">
      <alignment vertical="center"/>
    </xf>
    <xf numFmtId="0" fontId="29" fillId="0" borderId="45" xfId="3" applyFont="1" applyBorder="1" applyAlignment="1">
      <alignment horizontal="left" vertical="center" wrapText="1" indent="1"/>
    </xf>
    <xf numFmtId="166" fontId="29" fillId="0" borderId="46" xfId="3" applyNumberFormat="1" applyFont="1" applyBorder="1" applyAlignment="1">
      <alignment vertical="center"/>
    </xf>
    <xf numFmtId="166" fontId="7" fillId="0" borderId="47" xfId="3" applyNumberFormat="1" applyFont="1" applyBorder="1" applyAlignment="1">
      <alignment vertical="center"/>
    </xf>
    <xf numFmtId="166" fontId="7" fillId="0" borderId="45" xfId="3" applyNumberFormat="1" applyFont="1" applyBorder="1" applyAlignment="1">
      <alignment vertical="center"/>
    </xf>
    <xf numFmtId="166" fontId="29" fillId="0" borderId="47" xfId="3" applyNumberFormat="1" applyFont="1" applyBorder="1" applyAlignment="1">
      <alignment vertical="center"/>
    </xf>
    <xf numFmtId="166" fontId="29" fillId="0" borderId="45" xfId="3" applyNumberFormat="1" applyFont="1" applyBorder="1" applyAlignment="1">
      <alignment vertical="center"/>
    </xf>
    <xf numFmtId="166" fontId="29" fillId="0" borderId="48" xfId="3" applyNumberFormat="1" applyFont="1" applyBorder="1" applyAlignment="1">
      <alignment vertical="center"/>
    </xf>
    <xf numFmtId="0" fontId="7" fillId="0" borderId="49" xfId="3" applyFont="1" applyBorder="1" applyAlignment="1">
      <alignment horizontal="left" vertical="center" indent="2"/>
    </xf>
    <xf numFmtId="165" fontId="29" fillId="0" borderId="50" xfId="3" applyNumberFormat="1" applyFont="1" applyBorder="1" applyAlignment="1">
      <alignment horizontal="right" vertical="center"/>
    </xf>
    <xf numFmtId="165" fontId="7" fillId="0" borderId="51" xfId="3" applyNumberFormat="1" applyFont="1" applyBorder="1" applyAlignment="1">
      <alignment horizontal="right" vertical="center"/>
    </xf>
    <xf numFmtId="165" fontId="7" fillId="0" borderId="49" xfId="3" applyNumberFormat="1" applyFont="1" applyBorder="1" applyAlignment="1">
      <alignment horizontal="right" vertical="center"/>
    </xf>
    <xf numFmtId="165" fontId="7" fillId="0" borderId="50" xfId="3" applyNumberFormat="1" applyFont="1" applyBorder="1" applyAlignment="1">
      <alignment vertical="center"/>
    </xf>
    <xf numFmtId="165" fontId="7" fillId="0" borderId="51" xfId="3" applyNumberFormat="1" applyFont="1" applyBorder="1" applyAlignment="1">
      <alignment vertical="center"/>
    </xf>
    <xf numFmtId="165" fontId="7" fillId="0" borderId="49" xfId="3" applyNumberFormat="1" applyFont="1" applyBorder="1" applyAlignment="1">
      <alignment vertical="center"/>
    </xf>
    <xf numFmtId="165" fontId="7" fillId="0" borderId="52" xfId="3" applyNumberFormat="1" applyFont="1" applyBorder="1" applyAlignment="1">
      <alignment vertical="center"/>
    </xf>
    <xf numFmtId="165" fontId="7" fillId="0" borderId="50" xfId="3" applyNumberFormat="1" applyFont="1" applyBorder="1" applyAlignment="1">
      <alignment horizontal="right" vertical="center"/>
    </xf>
    <xf numFmtId="167" fontId="29" fillId="0" borderId="50" xfId="3" quotePrefix="1" applyNumberFormat="1" applyFont="1" applyBorder="1" applyAlignment="1">
      <alignment horizontal="right" vertical="center"/>
    </xf>
    <xf numFmtId="167" fontId="7" fillId="0" borderId="51" xfId="3" applyNumberFormat="1" applyFont="1" applyBorder="1" applyAlignment="1">
      <alignment horizontal="right" vertical="center"/>
    </xf>
    <xf numFmtId="167" fontId="7" fillId="0" borderId="49" xfId="3" applyNumberFormat="1" applyFont="1" applyBorder="1" applyAlignment="1">
      <alignment horizontal="right" vertical="center"/>
    </xf>
    <xf numFmtId="167" fontId="7" fillId="0" borderId="50" xfId="3" applyNumberFormat="1" applyFont="1" applyBorder="1" applyAlignment="1">
      <alignment vertical="center"/>
    </xf>
    <xf numFmtId="167" fontId="7" fillId="0" borderId="51" xfId="3" applyNumberFormat="1" applyFont="1" applyBorder="1" applyAlignment="1">
      <alignment vertical="center"/>
    </xf>
    <xf numFmtId="167" fontId="7" fillId="0" borderId="49" xfId="3" applyNumberFormat="1" applyFont="1" applyBorder="1" applyAlignment="1">
      <alignment vertical="center"/>
    </xf>
    <xf numFmtId="167" fontId="7" fillId="0" borderId="52" xfId="3" applyNumberFormat="1" applyFont="1" applyBorder="1" applyAlignment="1">
      <alignment vertical="center"/>
    </xf>
    <xf numFmtId="167" fontId="7" fillId="0" borderId="50" xfId="3" applyNumberFormat="1" applyFont="1" applyBorder="1" applyAlignment="1">
      <alignment horizontal="right" vertical="center"/>
    </xf>
    <xf numFmtId="167" fontId="29" fillId="0" borderId="50" xfId="3" applyNumberFormat="1" applyFont="1" applyBorder="1" applyAlignment="1">
      <alignment horizontal="right" vertical="center"/>
    </xf>
    <xf numFmtId="168" fontId="29" fillId="0" borderId="50" xfId="3" applyNumberFormat="1" applyFont="1" applyBorder="1" applyAlignment="1">
      <alignment horizontal="right" vertical="center"/>
    </xf>
    <xf numFmtId="168" fontId="7" fillId="0" borderId="51" xfId="3" applyNumberFormat="1" applyFont="1" applyBorder="1" applyAlignment="1">
      <alignment horizontal="right" vertical="center"/>
    </xf>
    <xf numFmtId="168" fontId="7" fillId="0" borderId="49" xfId="3" applyNumberFormat="1" applyFont="1" applyBorder="1" applyAlignment="1">
      <alignment horizontal="right" vertical="center"/>
    </xf>
    <xf numFmtId="168" fontId="7" fillId="0" borderId="50" xfId="3" applyNumberFormat="1" applyFont="1" applyBorder="1" applyAlignment="1">
      <alignment vertical="center"/>
    </xf>
    <xf numFmtId="168" fontId="7" fillId="0" borderId="51" xfId="3" applyNumberFormat="1" applyFont="1" applyBorder="1" applyAlignment="1">
      <alignment vertical="center"/>
    </xf>
    <xf numFmtId="168" fontId="7" fillId="0" borderId="49" xfId="3" applyNumberFormat="1" applyFont="1" applyBorder="1" applyAlignment="1">
      <alignment vertical="center"/>
    </xf>
    <xf numFmtId="168" fontId="7" fillId="0" borderId="52" xfId="3" applyNumberFormat="1" applyFont="1" applyBorder="1" applyAlignment="1">
      <alignment vertical="center"/>
    </xf>
    <xf numFmtId="168" fontId="7" fillId="0" borderId="50" xfId="3" applyNumberFormat="1" applyFont="1" applyBorder="1" applyAlignment="1">
      <alignment horizontal="right" vertical="center"/>
    </xf>
    <xf numFmtId="0" fontId="29" fillId="0" borderId="49" xfId="3" applyFont="1" applyBorder="1" applyAlignment="1">
      <alignment horizontal="left" vertical="center" indent="1"/>
    </xf>
    <xf numFmtId="41" fontId="29" fillId="0" borderId="50" xfId="3" applyNumberFormat="1" applyFont="1" applyBorder="1" applyAlignment="1">
      <alignment horizontal="right" vertical="center"/>
    </xf>
    <xf numFmtId="41" fontId="7" fillId="0" borderId="51" xfId="3" applyNumberFormat="1" applyFont="1" applyBorder="1" applyAlignment="1">
      <alignment horizontal="right" vertical="center"/>
    </xf>
    <xf numFmtId="41" fontId="7" fillId="0" borderId="49" xfId="3" applyNumberFormat="1" applyFont="1" applyBorder="1" applyAlignment="1">
      <alignment horizontal="right" vertical="center"/>
    </xf>
    <xf numFmtId="41" fontId="7" fillId="0" borderId="50" xfId="3" applyNumberFormat="1" applyFont="1" applyBorder="1" applyAlignment="1">
      <alignment vertical="center"/>
    </xf>
    <xf numFmtId="41" fontId="7" fillId="0" borderId="51" xfId="3" applyNumberFormat="1" applyFont="1" applyBorder="1" applyAlignment="1">
      <alignment vertical="center"/>
    </xf>
    <xf numFmtId="41" fontId="7" fillId="0" borderId="49" xfId="3" applyNumberFormat="1" applyFont="1" applyBorder="1" applyAlignment="1">
      <alignment vertical="center"/>
    </xf>
    <xf numFmtId="41" fontId="7" fillId="0" borderId="52" xfId="3" applyNumberFormat="1" applyFont="1" applyBorder="1" applyAlignment="1">
      <alignment vertical="center"/>
    </xf>
    <xf numFmtId="41" fontId="7" fillId="0" borderId="50" xfId="3" applyNumberFormat="1" applyFont="1" applyBorder="1" applyAlignment="1">
      <alignment horizontal="right" vertical="center"/>
    </xf>
    <xf numFmtId="0" fontId="29" fillId="0" borderId="43" xfId="3" applyFont="1" applyBorder="1" applyAlignment="1">
      <alignment horizontal="right" vertical="center"/>
    </xf>
    <xf numFmtId="0" fontId="29" fillId="0" borderId="41" xfId="3" applyFont="1" applyBorder="1" applyAlignment="1">
      <alignment horizontal="right" vertical="center"/>
    </xf>
    <xf numFmtId="0" fontId="29" fillId="0" borderId="44" xfId="3" applyFont="1" applyBorder="1" applyAlignment="1">
      <alignment horizontal="right" vertical="center"/>
    </xf>
    <xf numFmtId="166" fontId="29" fillId="0" borderId="42" xfId="3" applyNumberFormat="1" applyFont="1" applyBorder="1" applyAlignment="1">
      <alignment vertical="center"/>
    </xf>
    <xf numFmtId="166" fontId="29" fillId="0" borderId="43" xfId="3" applyNumberFormat="1" applyFont="1" applyBorder="1" applyAlignment="1">
      <alignment vertical="center"/>
    </xf>
    <xf numFmtId="0" fontId="7" fillId="0" borderId="45" xfId="3" applyFont="1" applyBorder="1" applyAlignment="1">
      <alignment horizontal="left" vertical="center" indent="1"/>
    </xf>
    <xf numFmtId="168" fontId="29" fillId="0" borderId="46" xfId="3" applyNumberFormat="1" applyFont="1" applyBorder="1" applyAlignment="1">
      <alignment horizontal="right" vertical="center"/>
    </xf>
    <xf numFmtId="168" fontId="7" fillId="0" borderId="47" xfId="3" applyNumberFormat="1" applyFont="1" applyBorder="1" applyAlignment="1">
      <alignment horizontal="right" vertical="center"/>
    </xf>
    <xf numFmtId="168" fontId="7" fillId="0" borderId="45" xfId="3" applyNumberFormat="1" applyFont="1" applyBorder="1" applyAlignment="1">
      <alignment horizontal="right" vertical="center"/>
    </xf>
    <xf numFmtId="168" fontId="7" fillId="0" borderId="46" xfId="3" applyNumberFormat="1" applyFont="1" applyBorder="1" applyAlignment="1">
      <alignment vertical="center"/>
    </xf>
    <xf numFmtId="168" fontId="7" fillId="0" borderId="47" xfId="3" applyNumberFormat="1" applyFont="1" applyBorder="1" applyAlignment="1">
      <alignment vertical="center"/>
    </xf>
    <xf numFmtId="168" fontId="7" fillId="0" borderId="45" xfId="3" applyNumberFormat="1" applyFont="1" applyBorder="1" applyAlignment="1">
      <alignment vertical="center"/>
    </xf>
    <xf numFmtId="168" fontId="7" fillId="0" borderId="48" xfId="3" applyNumberFormat="1" applyFont="1" applyBorder="1" applyAlignment="1">
      <alignment vertical="center"/>
    </xf>
    <xf numFmtId="169" fontId="7" fillId="5" borderId="53" xfId="3" applyNumberFormat="1" applyFont="1" applyFill="1" applyBorder="1" applyAlignment="1">
      <alignment vertical="center"/>
    </xf>
    <xf numFmtId="169" fontId="7" fillId="5" borderId="54" xfId="3" applyNumberFormat="1" applyFont="1" applyFill="1" applyBorder="1" applyAlignment="1">
      <alignment vertical="center"/>
    </xf>
    <xf numFmtId="0" fontId="7" fillId="0" borderId="49" xfId="3" applyFont="1" applyBorder="1" applyAlignment="1">
      <alignment horizontal="left" vertical="center" indent="1"/>
    </xf>
    <xf numFmtId="169" fontId="7" fillId="5" borderId="55" xfId="3" applyNumberFormat="1" applyFont="1" applyFill="1" applyBorder="1" applyAlignment="1">
      <alignment vertical="center"/>
    </xf>
    <xf numFmtId="169" fontId="7" fillId="5" borderId="0" xfId="3" applyNumberFormat="1" applyFont="1" applyFill="1" applyAlignment="1">
      <alignment vertical="center"/>
    </xf>
    <xf numFmtId="0" fontId="7" fillId="0" borderId="56" xfId="3" applyFont="1" applyBorder="1" applyAlignment="1">
      <alignment horizontal="left" vertical="center" indent="1"/>
    </xf>
    <xf numFmtId="168" fontId="29" fillId="0" borderId="57" xfId="3" applyNumberFormat="1" applyFont="1" applyBorder="1" applyAlignment="1">
      <alignment horizontal="right" vertical="center"/>
    </xf>
    <xf numFmtId="168" fontId="7" fillId="0" borderId="58" xfId="3" applyNumberFormat="1" applyFont="1" applyBorder="1" applyAlignment="1">
      <alignment horizontal="right" vertical="center"/>
    </xf>
    <xf numFmtId="168" fontId="7" fillId="0" borderId="56" xfId="3" applyNumberFormat="1" applyFont="1" applyBorder="1" applyAlignment="1">
      <alignment horizontal="right" vertical="center"/>
    </xf>
    <xf numFmtId="168" fontId="7" fillId="0" borderId="57" xfId="3" applyNumberFormat="1" applyFont="1" applyBorder="1" applyAlignment="1">
      <alignment vertical="center"/>
    </xf>
    <xf numFmtId="168" fontId="7" fillId="0" borderId="58" xfId="3" applyNumberFormat="1" applyFont="1" applyBorder="1" applyAlignment="1">
      <alignment vertical="center"/>
    </xf>
    <xf numFmtId="168" fontId="7" fillId="0" borderId="56" xfId="3" applyNumberFormat="1" applyFont="1" applyBorder="1" applyAlignment="1">
      <alignment vertical="center"/>
    </xf>
    <xf numFmtId="168" fontId="7" fillId="0" borderId="59" xfId="3" applyNumberFormat="1" applyFont="1" applyBorder="1" applyAlignment="1">
      <alignment vertical="center"/>
    </xf>
    <xf numFmtId="169" fontId="7" fillId="5" borderId="60" xfId="3" applyNumberFormat="1" applyFont="1" applyFill="1" applyBorder="1" applyAlignment="1">
      <alignment vertical="center"/>
    </xf>
    <xf numFmtId="169" fontId="7" fillId="5" borderId="40" xfId="3" applyNumberFormat="1" applyFont="1" applyFill="1" applyBorder="1" applyAlignment="1">
      <alignment vertical="center"/>
    </xf>
    <xf numFmtId="165" fontId="29" fillId="0" borderId="46" xfId="3" quotePrefix="1" applyNumberFormat="1" applyFont="1" applyBorder="1" applyAlignment="1">
      <alignment horizontal="right" vertical="center"/>
    </xf>
    <xf numFmtId="165" fontId="7" fillId="0" borderId="47" xfId="3" applyNumberFormat="1" applyFont="1" applyBorder="1" applyAlignment="1">
      <alignment horizontal="right" vertical="center"/>
    </xf>
    <xf numFmtId="165" fontId="7" fillId="0" borderId="45" xfId="3" applyNumberFormat="1" applyFont="1" applyBorder="1" applyAlignment="1">
      <alignment horizontal="right" vertical="center"/>
    </xf>
    <xf numFmtId="165" fontId="7" fillId="0" borderId="46" xfId="3" applyNumberFormat="1" applyFont="1" applyBorder="1" applyAlignment="1">
      <alignment vertical="center"/>
    </xf>
    <xf numFmtId="165" fontId="7" fillId="0" borderId="47" xfId="3" applyNumberFormat="1" applyFont="1" applyBorder="1" applyAlignment="1">
      <alignment vertical="center"/>
    </xf>
    <xf numFmtId="165" fontId="7" fillId="0" borderId="45" xfId="3" applyNumberFormat="1" applyFont="1" applyBorder="1" applyAlignment="1">
      <alignment vertical="center"/>
    </xf>
    <xf numFmtId="165" fontId="7" fillId="0" borderId="48" xfId="3" applyNumberFormat="1" applyFont="1" applyBorder="1" applyAlignment="1">
      <alignment vertical="center"/>
    </xf>
    <xf numFmtId="41" fontId="7" fillId="5" borderId="53" xfId="3" applyNumberFormat="1" applyFont="1" applyFill="1" applyBorder="1" applyAlignment="1">
      <alignment vertical="center"/>
    </xf>
    <xf numFmtId="41" fontId="7" fillId="5" borderId="54" xfId="3" applyNumberFormat="1" applyFont="1" applyFill="1" applyBorder="1" applyAlignment="1">
      <alignment vertical="center"/>
    </xf>
    <xf numFmtId="167" fontId="28" fillId="0" borderId="50" xfId="5" applyNumberFormat="1" applyFont="1" applyBorder="1" applyAlignment="1">
      <alignment horizontal="right" vertical="center"/>
    </xf>
    <xf numFmtId="167" fontId="28" fillId="0" borderId="51" xfId="5" applyNumberFormat="1" applyFont="1" applyBorder="1" applyAlignment="1">
      <alignment horizontal="right" vertical="center"/>
    </xf>
    <xf numFmtId="167" fontId="28" fillId="0" borderId="49" xfId="5" applyNumberFormat="1" applyFont="1" applyBorder="1" applyAlignment="1">
      <alignment horizontal="right" vertical="center"/>
    </xf>
    <xf numFmtId="167" fontId="28" fillId="0" borderId="52" xfId="5" applyNumberFormat="1" applyFont="1" applyBorder="1" applyAlignment="1">
      <alignment vertical="center"/>
    </xf>
    <xf numFmtId="170" fontId="7" fillId="5" borderId="55" xfId="3" applyNumberFormat="1" applyFont="1" applyFill="1" applyBorder="1" applyAlignment="1">
      <alignment vertical="center"/>
    </xf>
    <xf numFmtId="170" fontId="7" fillId="5" borderId="0" xfId="3" applyNumberFormat="1" applyFont="1" applyFill="1" applyAlignment="1">
      <alignment vertical="center"/>
    </xf>
    <xf numFmtId="41" fontId="7" fillId="5" borderId="55" xfId="3" applyNumberFormat="1" applyFont="1" applyFill="1" applyBorder="1" applyAlignment="1">
      <alignment vertical="center"/>
    </xf>
    <xf numFmtId="41" fontId="7" fillId="5" borderId="0" xfId="3" applyNumberFormat="1" applyFont="1" applyFill="1" applyAlignment="1">
      <alignment vertical="center"/>
    </xf>
    <xf numFmtId="41" fontId="7" fillId="5" borderId="61" xfId="3" applyNumberFormat="1" applyFont="1" applyFill="1" applyBorder="1" applyAlignment="1">
      <alignment vertical="center"/>
    </xf>
    <xf numFmtId="41" fontId="7" fillId="5" borderId="62" xfId="3" applyNumberFormat="1" applyFont="1" applyFill="1" applyBorder="1" applyAlignment="1">
      <alignment vertical="center"/>
    </xf>
    <xf numFmtId="167" fontId="7" fillId="0" borderId="63" xfId="3" applyNumberFormat="1" applyFont="1" applyBorder="1" applyAlignment="1">
      <alignment horizontal="right" vertical="center"/>
    </xf>
    <xf numFmtId="167" fontId="7" fillId="0" borderId="64" xfId="3" applyNumberFormat="1" applyFont="1" applyBorder="1" applyAlignment="1">
      <alignment horizontal="right" vertical="center"/>
    </xf>
    <xf numFmtId="171" fontId="7" fillId="5" borderId="55" xfId="3" applyNumberFormat="1" applyFont="1" applyFill="1" applyBorder="1" applyAlignment="1">
      <alignment vertical="center"/>
    </xf>
    <xf numFmtId="171" fontId="7" fillId="5" borderId="0" xfId="3" applyNumberFormat="1" applyFont="1" applyFill="1" applyAlignment="1">
      <alignment vertical="center"/>
    </xf>
    <xf numFmtId="165" fontId="7" fillId="0" borderId="52" xfId="3" applyNumberFormat="1" applyFont="1" applyBorder="1" applyAlignment="1">
      <alignment horizontal="right" vertical="center"/>
    </xf>
    <xf numFmtId="0" fontId="7" fillId="0" borderId="56" xfId="3" applyFont="1" applyBorder="1" applyAlignment="1">
      <alignment horizontal="left" vertical="top" wrapText="1" indent="1"/>
    </xf>
    <xf numFmtId="168" fontId="29" fillId="0" borderId="57" xfId="3" applyNumberFormat="1" applyFont="1" applyBorder="1" applyAlignment="1">
      <alignment horizontal="right" vertical="top"/>
    </xf>
    <xf numFmtId="168" fontId="7" fillId="0" borderId="58" xfId="3" applyNumberFormat="1" applyFont="1" applyBorder="1" applyAlignment="1">
      <alignment horizontal="right" vertical="top"/>
    </xf>
    <xf numFmtId="168" fontId="7" fillId="0" borderId="56" xfId="3" applyNumberFormat="1" applyFont="1" applyBorder="1" applyAlignment="1">
      <alignment horizontal="right" vertical="top"/>
    </xf>
    <xf numFmtId="168" fontId="7" fillId="0" borderId="57" xfId="3" applyNumberFormat="1" applyFont="1" applyBorder="1" applyAlignment="1">
      <alignment horizontal="right" vertical="top"/>
    </xf>
    <xf numFmtId="168" fontId="7" fillId="0" borderId="59" xfId="3" applyNumberFormat="1" applyFont="1" applyBorder="1" applyAlignment="1">
      <alignment horizontal="right" vertical="top"/>
    </xf>
    <xf numFmtId="41" fontId="7" fillId="5" borderId="60" xfId="3" applyNumberFormat="1" applyFont="1" applyFill="1" applyBorder="1" applyAlignment="1">
      <alignment vertical="top"/>
    </xf>
    <xf numFmtId="41" fontId="7" fillId="5" borderId="40" xfId="3" applyNumberFormat="1" applyFont="1" applyFill="1" applyBorder="1" applyAlignment="1">
      <alignment vertical="top"/>
    </xf>
    <xf numFmtId="0" fontId="40" fillId="0" borderId="0" xfId="3" applyFont="1" applyAlignment="1">
      <alignment horizontal="left" vertical="center"/>
    </xf>
    <xf numFmtId="0" fontId="40" fillId="0" borderId="0" xfId="3" applyFont="1" applyAlignment="1">
      <alignment horizontal="left" vertical="center" wrapText="1"/>
    </xf>
    <xf numFmtId="0" fontId="29" fillId="0" borderId="66" xfId="3" applyFont="1" applyBorder="1" applyAlignment="1">
      <alignment vertical="center"/>
    </xf>
    <xf numFmtId="0" fontId="29" fillId="0" borderId="67" xfId="3" applyFont="1" applyBorder="1" applyAlignment="1">
      <alignment vertical="center"/>
    </xf>
    <xf numFmtId="0" fontId="29" fillId="0" borderId="68" xfId="3" applyFont="1" applyBorder="1" applyAlignment="1">
      <alignment vertical="center"/>
    </xf>
    <xf numFmtId="166" fontId="29" fillId="0" borderId="42" xfId="3" applyNumberFormat="1" applyFont="1" applyBorder="1" applyAlignment="1">
      <alignment horizontal="right" vertical="center"/>
    </xf>
    <xf numFmtId="166" fontId="7" fillId="0" borderId="43" xfId="3" applyNumberFormat="1" applyFont="1" applyBorder="1" applyAlignment="1">
      <alignment horizontal="right" vertical="center"/>
    </xf>
    <xf numFmtId="166" fontId="7" fillId="0" borderId="41" xfId="3" applyNumberFormat="1" applyFont="1" applyBorder="1" applyAlignment="1">
      <alignment horizontal="right" vertical="center"/>
    </xf>
    <xf numFmtId="166" fontId="7" fillId="0" borderId="42" xfId="3" applyNumberFormat="1" applyFont="1" applyBorder="1" applyAlignment="1">
      <alignment horizontal="right" vertical="center"/>
    </xf>
    <xf numFmtId="166" fontId="7" fillId="0" borderId="70" xfId="3" applyNumberFormat="1" applyFont="1" applyBorder="1" applyAlignment="1">
      <alignment horizontal="right" vertical="center"/>
    </xf>
    <xf numFmtId="166" fontId="7" fillId="0" borderId="71" xfId="3" applyNumberFormat="1" applyFont="1" applyBorder="1" applyAlignment="1">
      <alignment vertical="center"/>
    </xf>
    <xf numFmtId="0" fontId="17" fillId="0" borderId="41" xfId="3" applyFont="1" applyBorder="1" applyAlignment="1">
      <alignment vertical="center" wrapText="1"/>
    </xf>
    <xf numFmtId="3" fontId="7" fillId="0" borderId="43" xfId="3" applyNumberFormat="1" applyFont="1" applyBorder="1" applyAlignment="1">
      <alignment vertical="center"/>
    </xf>
    <xf numFmtId="3" fontId="7" fillId="0" borderId="41" xfId="3" applyNumberFormat="1" applyFont="1" applyBorder="1" applyAlignment="1">
      <alignment vertical="center"/>
    </xf>
    <xf numFmtId="0" fontId="7" fillId="0" borderId="70" xfId="3" applyFont="1" applyBorder="1" applyAlignment="1">
      <alignment vertical="center"/>
    </xf>
    <xf numFmtId="0" fontId="7" fillId="0" borderId="71" xfId="3" applyFont="1" applyBorder="1" applyAlignment="1">
      <alignment vertical="center"/>
    </xf>
    <xf numFmtId="167" fontId="29" fillId="0" borderId="46" xfId="3" applyNumberFormat="1" applyFont="1" applyBorder="1" applyAlignment="1">
      <alignment horizontal="right" vertical="center"/>
    </xf>
    <xf numFmtId="167" fontId="7" fillId="0" borderId="47" xfId="3" applyNumberFormat="1" applyFont="1" applyBorder="1" applyAlignment="1">
      <alignment horizontal="right" vertical="center"/>
    </xf>
    <xf numFmtId="167" fontId="7" fillId="0" borderId="72" xfId="3" applyNumberFormat="1" applyFont="1" applyBorder="1" applyAlignment="1">
      <alignment horizontal="right" vertical="center"/>
    </xf>
    <xf numFmtId="167" fontId="7" fillId="0" borderId="9" xfId="5" applyNumberFormat="1" applyFont="1" applyBorder="1" applyAlignment="1">
      <alignment vertical="center"/>
    </xf>
    <xf numFmtId="167" fontId="7" fillId="0" borderId="73" xfId="5" applyNumberFormat="1" applyFont="1" applyBorder="1" applyAlignment="1">
      <alignment vertical="center"/>
    </xf>
    <xf numFmtId="167" fontId="7" fillId="0" borderId="8" xfId="5" applyNumberFormat="1" applyFont="1" applyBorder="1" applyAlignment="1">
      <alignment vertical="center"/>
    </xf>
    <xf numFmtId="167" fontId="7" fillId="0" borderId="74" xfId="3" applyNumberFormat="1" applyFont="1" applyBorder="1" applyAlignment="1">
      <alignment vertical="center"/>
    </xf>
    <xf numFmtId="167" fontId="7" fillId="0" borderId="75" xfId="3" applyNumberFormat="1" applyFont="1" applyBorder="1" applyAlignment="1">
      <alignment horizontal="right" vertical="center"/>
    </xf>
    <xf numFmtId="167" fontId="7" fillId="0" borderId="47" xfId="3" applyNumberFormat="1" applyFont="1" applyBorder="1" applyAlignment="1">
      <alignment vertical="center"/>
    </xf>
    <xf numFmtId="170" fontId="29" fillId="0" borderId="50" xfId="3" applyNumberFormat="1" applyFont="1" applyBorder="1" applyAlignment="1">
      <alignment horizontal="right" vertical="center"/>
    </xf>
    <xf numFmtId="170" fontId="7" fillId="0" borderId="51" xfId="3" applyNumberFormat="1" applyFont="1" applyBorder="1" applyAlignment="1">
      <alignment horizontal="right" vertical="center"/>
    </xf>
    <xf numFmtId="170" fontId="7" fillId="0" borderId="49" xfId="3" applyNumberFormat="1" applyFont="1" applyBorder="1" applyAlignment="1">
      <alignment horizontal="right" vertical="center"/>
    </xf>
    <xf numFmtId="170" fontId="7" fillId="0" borderId="50" xfId="3" applyNumberFormat="1" applyFont="1" applyBorder="1" applyAlignment="1">
      <alignment vertical="center"/>
    </xf>
    <xf numFmtId="170" fontId="7" fillId="0" borderId="51" xfId="3" applyNumberFormat="1" applyFont="1" applyBorder="1" applyAlignment="1">
      <alignment vertical="center"/>
    </xf>
    <xf numFmtId="170" fontId="7" fillId="0" borderId="49" xfId="3" applyNumberFormat="1" applyFont="1" applyBorder="1" applyAlignment="1">
      <alignment vertical="center"/>
    </xf>
    <xf numFmtId="170" fontId="7" fillId="0" borderId="76" xfId="3" applyNumberFormat="1" applyFont="1" applyBorder="1" applyAlignment="1">
      <alignment vertical="center"/>
    </xf>
    <xf numFmtId="170" fontId="7" fillId="0" borderId="77" xfId="3" applyNumberFormat="1" applyFont="1" applyBorder="1" applyAlignment="1">
      <alignment horizontal="right" vertical="center"/>
    </xf>
    <xf numFmtId="167" fontId="7" fillId="0" borderId="76" xfId="3" applyNumberFormat="1" applyFont="1" applyBorder="1" applyAlignment="1">
      <alignment vertical="center"/>
    </xf>
    <xf numFmtId="167" fontId="7" fillId="0" borderId="77" xfId="3" applyNumberFormat="1" applyFont="1" applyBorder="1" applyAlignment="1">
      <alignment horizontal="right" vertical="center"/>
    </xf>
    <xf numFmtId="172" fontId="29" fillId="0" borderId="50" xfId="3" applyNumberFormat="1" applyFont="1" applyBorder="1" applyAlignment="1">
      <alignment horizontal="right" vertical="center"/>
    </xf>
    <xf numFmtId="172" fontId="7" fillId="0" borderId="51" xfId="3" applyNumberFormat="1" applyFont="1" applyBorder="1" applyAlignment="1">
      <alignment horizontal="right" vertical="center"/>
    </xf>
    <xf numFmtId="172" fontId="7" fillId="0" borderId="49" xfId="3" applyNumberFormat="1" applyFont="1" applyBorder="1" applyAlignment="1">
      <alignment horizontal="right" vertical="center"/>
    </xf>
    <xf numFmtId="172" fontId="7" fillId="0" borderId="50" xfId="3" applyNumberFormat="1" applyFont="1" applyBorder="1" applyAlignment="1">
      <alignment vertical="center"/>
    </xf>
    <xf numFmtId="172" fontId="7" fillId="0" borderId="51" xfId="3" applyNumberFormat="1" applyFont="1" applyBorder="1" applyAlignment="1">
      <alignment vertical="center"/>
    </xf>
    <xf numFmtId="172" fontId="7" fillId="0" borderId="49" xfId="3" applyNumberFormat="1" applyFont="1" applyBorder="1" applyAlignment="1">
      <alignment vertical="center"/>
    </xf>
    <xf numFmtId="172" fontId="7" fillId="0" borderId="76" xfId="3" applyNumberFormat="1" applyFont="1" applyBorder="1" applyAlignment="1">
      <alignment vertical="center"/>
    </xf>
    <xf numFmtId="172" fontId="7" fillId="0" borderId="77" xfId="3" applyNumberFormat="1" applyFont="1" applyBorder="1" applyAlignment="1">
      <alignment horizontal="right" vertical="center"/>
    </xf>
    <xf numFmtId="168" fontId="7" fillId="0" borderId="76" xfId="3" applyNumberFormat="1" applyFont="1" applyBorder="1" applyAlignment="1">
      <alignment vertical="center"/>
    </xf>
    <xf numFmtId="168" fontId="7" fillId="0" borderId="77" xfId="3" applyNumberFormat="1" applyFont="1" applyBorder="1" applyAlignment="1">
      <alignment horizontal="right" vertical="center"/>
    </xf>
    <xf numFmtId="165" fontId="7" fillId="0" borderId="76" xfId="3" applyNumberFormat="1" applyFont="1" applyBorder="1" applyAlignment="1">
      <alignment vertical="center"/>
    </xf>
    <xf numFmtId="165" fontId="7" fillId="0" borderId="77" xfId="3" applyNumberFormat="1" applyFont="1" applyBorder="1" applyAlignment="1">
      <alignment horizontal="right" vertical="center"/>
    </xf>
    <xf numFmtId="0" fontId="7" fillId="0" borderId="56" xfId="3" applyFont="1" applyBorder="1" applyAlignment="1">
      <alignment vertical="center"/>
    </xf>
    <xf numFmtId="41" fontId="29" fillId="0" borderId="57" xfId="3" applyNumberFormat="1" applyFont="1" applyBorder="1" applyAlignment="1">
      <alignment horizontal="right" vertical="center"/>
    </xf>
    <xf numFmtId="41" fontId="7" fillId="0" borderId="58" xfId="3" applyNumberFormat="1" applyFont="1" applyBorder="1" applyAlignment="1">
      <alignment horizontal="right" vertical="center"/>
    </xf>
    <xf numFmtId="41" fontId="7" fillId="0" borderId="56" xfId="3" applyNumberFormat="1" applyFont="1" applyBorder="1" applyAlignment="1">
      <alignment horizontal="right" vertical="center"/>
    </xf>
    <xf numFmtId="41" fontId="7" fillId="0" borderId="57" xfId="3" applyNumberFormat="1" applyFont="1" applyBorder="1" applyAlignment="1">
      <alignment vertical="center"/>
    </xf>
    <xf numFmtId="41" fontId="7" fillId="0" borderId="58" xfId="3" applyNumberFormat="1" applyFont="1" applyBorder="1" applyAlignment="1">
      <alignment vertical="center"/>
    </xf>
    <xf numFmtId="41" fontId="7" fillId="0" borderId="56" xfId="3" applyNumberFormat="1" applyFont="1" applyBorder="1" applyAlignment="1">
      <alignment vertical="center"/>
    </xf>
    <xf numFmtId="41" fontId="7" fillId="0" borderId="78" xfId="3" applyNumberFormat="1" applyFont="1" applyBorder="1" applyAlignment="1">
      <alignment vertical="center"/>
    </xf>
    <xf numFmtId="41" fontId="7" fillId="0" borderId="79" xfId="3" applyNumberFormat="1" applyFont="1" applyBorder="1" applyAlignment="1">
      <alignment horizontal="right" vertical="center"/>
    </xf>
    <xf numFmtId="3" fontId="29" fillId="0" borderId="42" xfId="3" applyNumberFormat="1" applyFont="1" applyBorder="1" applyAlignment="1">
      <alignment horizontal="right" vertical="center"/>
    </xf>
    <xf numFmtId="3" fontId="7" fillId="0" borderId="43" xfId="3" applyNumberFormat="1" applyFont="1" applyBorder="1" applyAlignment="1">
      <alignment horizontal="right" vertical="center"/>
    </xf>
    <xf numFmtId="3" fontId="7" fillId="0" borderId="41" xfId="3" applyNumberFormat="1" applyFont="1" applyBorder="1" applyAlignment="1">
      <alignment horizontal="right" vertical="center"/>
    </xf>
    <xf numFmtId="0" fontId="7" fillId="0" borderId="71" xfId="3" applyFont="1" applyBorder="1" applyAlignment="1">
      <alignment horizontal="right" vertical="center"/>
    </xf>
    <xf numFmtId="165" fontId="29" fillId="0" borderId="46" xfId="3" applyNumberFormat="1" applyFont="1" applyBorder="1" applyAlignment="1">
      <alignment horizontal="right" vertical="center"/>
    </xf>
    <xf numFmtId="165" fontId="7" fillId="0" borderId="74" xfId="3" applyNumberFormat="1" applyFont="1" applyBorder="1" applyAlignment="1">
      <alignment vertical="center"/>
    </xf>
    <xf numFmtId="165" fontId="7" fillId="0" borderId="75" xfId="3" applyNumberFormat="1" applyFont="1" applyBorder="1" applyAlignment="1">
      <alignment horizontal="right" vertical="center"/>
    </xf>
    <xf numFmtId="41" fontId="7" fillId="5" borderId="75" xfId="3" applyNumberFormat="1" applyFont="1" applyFill="1" applyBorder="1" applyAlignment="1">
      <alignment horizontal="right" vertical="center"/>
    </xf>
    <xf numFmtId="41" fontId="7" fillId="5" borderId="47" xfId="3" applyNumberFormat="1" applyFont="1" applyFill="1" applyBorder="1" applyAlignment="1">
      <alignment horizontal="right" vertical="center"/>
    </xf>
    <xf numFmtId="41" fontId="7" fillId="0" borderId="76" xfId="3" applyNumberFormat="1" applyFont="1" applyBorder="1" applyAlignment="1">
      <alignment vertical="center"/>
    </xf>
    <xf numFmtId="41" fontId="7" fillId="0" borderId="77" xfId="3" applyNumberFormat="1" applyFont="1" applyBorder="1" applyAlignment="1">
      <alignment horizontal="right" vertical="center"/>
    </xf>
    <xf numFmtId="41" fontId="7" fillId="6" borderId="80" xfId="3" applyNumberFormat="1" applyFont="1" applyFill="1" applyBorder="1" applyAlignment="1">
      <alignment horizontal="right" vertical="center"/>
    </xf>
    <xf numFmtId="41" fontId="7" fillId="6" borderId="81" xfId="3" applyNumberFormat="1" applyFont="1" applyFill="1" applyBorder="1" applyAlignment="1">
      <alignment horizontal="right" vertical="center"/>
    </xf>
    <xf numFmtId="41" fontId="29" fillId="0" borderId="57" xfId="3" applyNumberFormat="1" applyFont="1" applyBorder="1" applyAlignment="1">
      <alignment vertical="center"/>
    </xf>
    <xf numFmtId="165" fontId="7" fillId="0" borderId="57" xfId="3" applyNumberFormat="1" applyFont="1" applyBorder="1" applyAlignment="1">
      <alignment vertical="center"/>
    </xf>
    <xf numFmtId="165" fontId="7" fillId="0" borderId="58" xfId="3" applyNumberFormat="1" applyFont="1" applyBorder="1" applyAlignment="1">
      <alignment vertical="center"/>
    </xf>
    <xf numFmtId="165" fontId="7" fillId="0" borderId="56" xfId="3" applyNumberFormat="1" applyFont="1" applyBorder="1" applyAlignment="1">
      <alignment vertical="center"/>
    </xf>
    <xf numFmtId="41" fontId="7" fillId="6" borderId="82" xfId="3" applyNumberFormat="1" applyFont="1" applyFill="1" applyBorder="1" applyAlignment="1">
      <alignment horizontal="right" vertical="center"/>
    </xf>
    <xf numFmtId="41" fontId="7" fillId="5" borderId="40" xfId="3" applyNumberFormat="1" applyFont="1" applyFill="1" applyBorder="1" applyAlignment="1">
      <alignment vertical="center"/>
    </xf>
    <xf numFmtId="3" fontId="29" fillId="0" borderId="42" xfId="3" applyNumberFormat="1" applyFont="1" applyBorder="1" applyAlignment="1">
      <alignment vertical="center"/>
    </xf>
    <xf numFmtId="165" fontId="20" fillId="0" borderId="46" xfId="3" applyNumberFormat="1" applyFont="1" applyBorder="1" applyAlignment="1">
      <alignment vertical="center"/>
    </xf>
    <xf numFmtId="165" fontId="19" fillId="0" borderId="47" xfId="3" applyNumberFormat="1" applyFont="1" applyBorder="1" applyAlignment="1">
      <alignment vertical="center"/>
    </xf>
    <xf numFmtId="165" fontId="19" fillId="0" borderId="45" xfId="3" applyNumberFormat="1" applyFont="1" applyBorder="1" applyAlignment="1">
      <alignment vertical="center"/>
    </xf>
    <xf numFmtId="165" fontId="19" fillId="0" borderId="46" xfId="3" applyNumberFormat="1" applyFont="1" applyBorder="1" applyAlignment="1">
      <alignment vertical="center"/>
    </xf>
    <xf numFmtId="41" fontId="19" fillId="0" borderId="74" xfId="3" applyNumberFormat="1" applyFont="1" applyBorder="1" applyAlignment="1">
      <alignment horizontal="right" vertical="center"/>
    </xf>
    <xf numFmtId="165" fontId="20" fillId="0" borderId="50" xfId="3" applyNumberFormat="1" applyFont="1" applyBorder="1" applyAlignment="1">
      <alignment vertical="center"/>
    </xf>
    <xf numFmtId="165" fontId="19" fillId="0" borderId="51" xfId="3" applyNumberFormat="1" applyFont="1" applyBorder="1" applyAlignment="1">
      <alignment vertical="center"/>
    </xf>
    <xf numFmtId="165" fontId="19" fillId="0" borderId="49" xfId="3" applyNumberFormat="1" applyFont="1" applyBorder="1" applyAlignment="1">
      <alignment vertical="center"/>
    </xf>
    <xf numFmtId="165" fontId="19" fillId="0" borderId="50" xfId="3" applyNumberFormat="1" applyFont="1" applyBorder="1" applyAlignment="1">
      <alignment vertical="center"/>
    </xf>
    <xf numFmtId="41" fontId="19" fillId="0" borderId="76" xfId="3" applyNumberFormat="1" applyFont="1" applyBorder="1" applyAlignment="1">
      <alignment horizontal="right" vertical="center"/>
    </xf>
    <xf numFmtId="165" fontId="20" fillId="0" borderId="57" xfId="3" applyNumberFormat="1" applyFont="1" applyBorder="1" applyAlignment="1">
      <alignment vertical="center"/>
    </xf>
    <xf numFmtId="165" fontId="19" fillId="0" borderId="58" xfId="3" applyNumberFormat="1" applyFont="1" applyBorder="1" applyAlignment="1">
      <alignment vertical="center"/>
    </xf>
    <xf numFmtId="165" fontId="19" fillId="0" borderId="56" xfId="3" applyNumberFormat="1" applyFont="1" applyBorder="1" applyAlignment="1">
      <alignment vertical="center"/>
    </xf>
    <xf numFmtId="165" fontId="19" fillId="0" borderId="57" xfId="3" applyNumberFormat="1" applyFont="1" applyBorder="1" applyAlignment="1">
      <alignment vertical="center"/>
    </xf>
    <xf numFmtId="41" fontId="19" fillId="0" borderId="78" xfId="3" applyNumberFormat="1" applyFont="1" applyBorder="1" applyAlignment="1">
      <alignment horizontal="right" vertical="center"/>
    </xf>
    <xf numFmtId="41" fontId="7" fillId="5" borderId="82" xfId="3" applyNumberFormat="1" applyFont="1" applyFill="1" applyBorder="1" applyAlignment="1">
      <alignment horizontal="right" vertical="center"/>
    </xf>
    <xf numFmtId="0" fontId="41" fillId="0" borderId="54" xfId="3" applyFont="1" applyBorder="1" applyAlignment="1">
      <alignment horizontal="left" vertical="center" indent="1"/>
    </xf>
    <xf numFmtId="41" fontId="41" fillId="0" borderId="54" xfId="3" applyNumberFormat="1" applyFont="1" applyBorder="1" applyAlignment="1">
      <alignment horizontal="right" vertical="center"/>
    </xf>
    <xf numFmtId="165" fontId="41" fillId="0" borderId="54" xfId="3" applyNumberFormat="1" applyFont="1" applyBorder="1" applyAlignment="1">
      <alignment horizontal="right" vertical="center"/>
    </xf>
    <xf numFmtId="165" fontId="50" fillId="0" borderId="54" xfId="3" applyNumberFormat="1" applyFont="1" applyBorder="1" applyAlignment="1">
      <alignment vertical="center"/>
    </xf>
    <xf numFmtId="41" fontId="50" fillId="0" borderId="54" xfId="3" applyNumberFormat="1" applyFont="1" applyBorder="1" applyAlignment="1">
      <alignment horizontal="right" vertical="center"/>
    </xf>
    <xf numFmtId="165" fontId="41" fillId="0" borderId="54" xfId="3" applyNumberFormat="1" applyFont="1" applyBorder="1" applyAlignment="1">
      <alignment vertical="center"/>
    </xf>
    <xf numFmtId="0" fontId="47" fillId="0" borderId="41" xfId="3" applyFont="1" applyBorder="1" applyAlignment="1">
      <alignment vertical="center" wrapText="1"/>
    </xf>
    <xf numFmtId="166" fontId="20" fillId="0" borderId="42" xfId="3" applyNumberFormat="1" applyFont="1" applyBorder="1" applyAlignment="1">
      <alignment horizontal="right" vertical="center"/>
    </xf>
    <xf numFmtId="166" fontId="7" fillId="0" borderId="44" xfId="3" applyNumberFormat="1" applyFont="1" applyBorder="1" applyAlignment="1">
      <alignment horizontal="right" vertical="center"/>
    </xf>
    <xf numFmtId="0" fontId="7" fillId="0" borderId="45" xfId="3" applyFont="1" applyBorder="1" applyAlignment="1">
      <alignment vertical="center"/>
    </xf>
    <xf numFmtId="165" fontId="20" fillId="0" borderId="46" xfId="3" applyNumberFormat="1" applyFont="1" applyBorder="1" applyAlignment="1">
      <alignment horizontal="right" vertical="center"/>
    </xf>
    <xf numFmtId="165" fontId="7" fillId="0" borderId="46" xfId="5" applyNumberFormat="1" applyFont="1" applyBorder="1" applyAlignment="1">
      <alignment vertical="center"/>
    </xf>
    <xf numFmtId="165" fontId="7" fillId="0" borderId="47" xfId="5" applyNumberFormat="1" applyFont="1" applyBorder="1" applyAlignment="1">
      <alignment vertical="center"/>
    </xf>
    <xf numFmtId="165" fontId="7" fillId="0" borderId="45" xfId="5" applyNumberFormat="1" applyFont="1" applyBorder="1" applyAlignment="1">
      <alignment vertical="center"/>
    </xf>
    <xf numFmtId="0" fontId="7" fillId="0" borderId="49" xfId="3" applyFont="1" applyBorder="1" applyAlignment="1">
      <alignment vertical="center"/>
    </xf>
    <xf numFmtId="165" fontId="20" fillId="0" borderId="50" xfId="3" applyNumberFormat="1" applyFont="1" applyBorder="1" applyAlignment="1">
      <alignment horizontal="right" vertical="center"/>
    </xf>
    <xf numFmtId="165" fontId="7" fillId="0" borderId="50" xfId="5" applyNumberFormat="1" applyFont="1" applyBorder="1" applyAlignment="1">
      <alignment vertical="center"/>
    </xf>
    <xf numFmtId="165" fontId="7" fillId="0" borderId="51" xfId="5" applyNumberFormat="1" applyFont="1" applyBorder="1" applyAlignment="1">
      <alignment vertical="center"/>
    </xf>
    <xf numFmtId="165" fontId="7" fillId="0" borderId="49" xfId="5" applyNumberFormat="1" applyFont="1" applyBorder="1" applyAlignment="1">
      <alignment vertical="center"/>
    </xf>
    <xf numFmtId="0" fontId="29" fillId="0" borderId="49" xfId="3" applyFont="1" applyBorder="1" applyAlignment="1">
      <alignment vertical="center"/>
    </xf>
    <xf numFmtId="41" fontId="20" fillId="0" borderId="50" xfId="3" applyNumberFormat="1" applyFont="1" applyBorder="1" applyAlignment="1">
      <alignment horizontal="right" vertical="center"/>
    </xf>
    <xf numFmtId="41" fontId="7" fillId="0" borderId="50" xfId="5" applyNumberFormat="1" applyFont="1" applyBorder="1" applyAlignment="1">
      <alignment vertical="center"/>
    </xf>
    <xf numFmtId="41" fontId="7" fillId="0" borderId="51" xfId="5" applyNumberFormat="1" applyFont="1" applyBorder="1" applyAlignment="1">
      <alignment vertical="center"/>
    </xf>
    <xf numFmtId="41" fontId="7" fillId="0" borderId="49" xfId="5" applyNumberFormat="1" applyFont="1" applyBorder="1" applyAlignment="1">
      <alignment vertical="center"/>
    </xf>
    <xf numFmtId="0" fontId="29" fillId="0" borderId="49" xfId="3" applyFont="1" applyBorder="1" applyAlignment="1">
      <alignment vertical="center" wrapText="1"/>
    </xf>
    <xf numFmtId="165" fontId="19" fillId="0" borderId="51" xfId="3" applyNumberFormat="1" applyFont="1" applyBorder="1" applyAlignment="1">
      <alignment horizontal="right" vertical="center"/>
    </xf>
    <xf numFmtId="165" fontId="19" fillId="0" borderId="49" xfId="3" applyNumberFormat="1" applyFont="1" applyBorder="1" applyAlignment="1">
      <alignment horizontal="right" vertical="center"/>
    </xf>
    <xf numFmtId="0" fontId="7" fillId="0" borderId="49" xfId="3" applyFont="1" applyBorder="1" applyAlignment="1">
      <alignment horizontal="left" vertical="center"/>
    </xf>
    <xf numFmtId="0" fontId="29" fillId="0" borderId="56" xfId="3" applyFont="1" applyBorder="1" applyAlignment="1">
      <alignment vertical="center"/>
    </xf>
    <xf numFmtId="165" fontId="20" fillId="0" borderId="57" xfId="3" applyNumberFormat="1" applyFont="1" applyBorder="1" applyAlignment="1">
      <alignment horizontal="right" vertical="center"/>
    </xf>
    <xf numFmtId="165" fontId="7" fillId="0" borderId="58" xfId="3" applyNumberFormat="1" applyFont="1" applyBorder="1" applyAlignment="1">
      <alignment horizontal="right" vertical="center"/>
    </xf>
    <xf numFmtId="165" fontId="7" fillId="0" borderId="56" xfId="3" applyNumberFormat="1" applyFont="1" applyBorder="1" applyAlignment="1">
      <alignment horizontal="right" vertical="center"/>
    </xf>
    <xf numFmtId="165" fontId="7" fillId="0" borderId="59" xfId="3" applyNumberFormat="1" applyFont="1" applyBorder="1" applyAlignment="1">
      <alignment vertical="center"/>
    </xf>
    <xf numFmtId="165" fontId="7" fillId="0" borderId="57" xfId="3" applyNumberFormat="1" applyFont="1" applyBorder="1" applyAlignment="1">
      <alignment horizontal="right" vertical="center"/>
    </xf>
    <xf numFmtId="0" fontId="40" fillId="0" borderId="54" xfId="3" applyFont="1" applyBorder="1"/>
    <xf numFmtId="0" fontId="17" fillId="0" borderId="84" xfId="3" applyFont="1" applyBorder="1" applyAlignment="1" applyProtection="1">
      <alignment vertical="center" wrapText="1"/>
      <protection locked="0"/>
    </xf>
    <xf numFmtId="0" fontId="29" fillId="0" borderId="85" xfId="3" applyFont="1" applyBorder="1" applyAlignment="1" applyProtection="1">
      <alignment vertical="center"/>
      <protection locked="0"/>
    </xf>
    <xf numFmtId="0" fontId="29" fillId="0" borderId="86" xfId="3" applyFont="1" applyBorder="1" applyAlignment="1" applyProtection="1">
      <alignment vertical="center"/>
      <protection locked="0"/>
    </xf>
    <xf numFmtId="0" fontId="29" fillId="0" borderId="84" xfId="3" applyFont="1" applyBorder="1" applyAlignment="1" applyProtection="1">
      <alignment vertical="center"/>
      <protection locked="0"/>
    </xf>
    <xf numFmtId="0" fontId="7" fillId="0" borderId="85" xfId="3" applyFont="1" applyBorder="1" applyAlignment="1" applyProtection="1">
      <alignment vertical="center"/>
      <protection locked="0"/>
    </xf>
    <xf numFmtId="0" fontId="7" fillId="0" borderId="86" xfId="3" applyFont="1" applyBorder="1" applyAlignment="1" applyProtection="1">
      <alignment vertical="center"/>
      <protection locked="0"/>
    </xf>
    <xf numFmtId="0" fontId="7" fillId="0" borderId="84" xfId="3" applyFont="1" applyBorder="1" applyAlignment="1" applyProtection="1">
      <alignment vertical="center"/>
      <protection locked="0"/>
    </xf>
    <xf numFmtId="0" fontId="7" fillId="0" borderId="85" xfId="3" applyFont="1" applyBorder="1" applyAlignment="1" applyProtection="1">
      <alignment horizontal="center" vertical="center"/>
      <protection locked="0"/>
    </xf>
    <xf numFmtId="0" fontId="29" fillId="0" borderId="85" xfId="3" applyFont="1" applyBorder="1" applyAlignment="1" applyProtection="1">
      <alignment horizontal="right" vertical="center"/>
      <protection locked="0"/>
    </xf>
    <xf numFmtId="0" fontId="7" fillId="0" borderId="86" xfId="3" applyFont="1" applyBorder="1" applyAlignment="1" applyProtection="1">
      <alignment horizontal="right" vertical="center"/>
      <protection locked="0"/>
    </xf>
    <xf numFmtId="0" fontId="7" fillId="0" borderId="84" xfId="3" applyFont="1" applyBorder="1" applyAlignment="1">
      <alignment horizontal="right" vertical="center"/>
    </xf>
    <xf numFmtId="0" fontId="7" fillId="0" borderId="85" xfId="3" applyFont="1" applyBorder="1" applyAlignment="1">
      <alignment horizontal="right" vertical="center"/>
    </xf>
    <xf numFmtId="0" fontId="7" fillId="0" borderId="86" xfId="3" applyFont="1" applyBorder="1" applyAlignment="1">
      <alignment horizontal="right" vertical="center"/>
    </xf>
    <xf numFmtId="0" fontId="7" fillId="0" borderId="87" xfId="3" applyFont="1" applyBorder="1" applyAlignment="1">
      <alignment horizontal="right" vertical="center"/>
    </xf>
    <xf numFmtId="166" fontId="7" fillId="0" borderId="85" xfId="3" applyNumberFormat="1" applyFont="1" applyBorder="1" applyAlignment="1" applyProtection="1">
      <alignment vertical="center"/>
      <protection locked="0"/>
    </xf>
    <xf numFmtId="166" fontId="7" fillId="0" borderId="86" xfId="3" applyNumberFormat="1" applyFont="1" applyBorder="1" applyAlignment="1" applyProtection="1">
      <alignment vertical="center"/>
      <protection locked="0"/>
    </xf>
    <xf numFmtId="0" fontId="17" fillId="0" borderId="88" xfId="3" applyFont="1" applyBorder="1" applyAlignment="1" applyProtection="1">
      <alignment vertical="center"/>
      <protection locked="0"/>
    </xf>
    <xf numFmtId="0" fontId="29" fillId="0" borderId="89" xfId="3" applyFont="1" applyBorder="1" applyAlignment="1" applyProtection="1">
      <alignment vertical="center"/>
      <protection locked="0"/>
    </xf>
    <xf numFmtId="0" fontId="7" fillId="0" borderId="90" xfId="3" applyFont="1" applyBorder="1" applyAlignment="1" applyProtection="1">
      <alignment vertical="center"/>
      <protection locked="0"/>
    </xf>
    <xf numFmtId="0" fontId="29" fillId="0" borderId="90" xfId="3" applyFont="1" applyBorder="1" applyAlignment="1" applyProtection="1">
      <alignment vertical="center"/>
      <protection locked="0"/>
    </xf>
    <xf numFmtId="0" fontId="7" fillId="0" borderId="88" xfId="3" applyFont="1" applyBorder="1" applyAlignment="1">
      <alignment vertical="center"/>
    </xf>
    <xf numFmtId="0" fontId="7" fillId="0" borderId="89" xfId="3" applyFont="1" applyBorder="1" applyAlignment="1">
      <alignment vertical="center"/>
    </xf>
    <xf numFmtId="0" fontId="7" fillId="0" borderId="90" xfId="3" applyFont="1" applyBorder="1" applyAlignment="1">
      <alignment vertical="center"/>
    </xf>
    <xf numFmtId="0" fontId="7" fillId="0" borderId="91" xfId="3" applyFont="1" applyBorder="1" applyAlignment="1">
      <alignment vertical="center"/>
    </xf>
    <xf numFmtId="0" fontId="7" fillId="0" borderId="89" xfId="3" applyFont="1" applyBorder="1" applyAlignment="1" applyProtection="1">
      <alignment vertical="center"/>
      <protection locked="0"/>
    </xf>
    <xf numFmtId="0" fontId="7" fillId="0" borderId="92" xfId="3" applyFont="1" applyBorder="1" applyAlignment="1" applyProtection="1">
      <alignment vertical="center"/>
      <protection locked="0"/>
    </xf>
    <xf numFmtId="165" fontId="29" fillId="0" borderId="93" xfId="3" applyNumberFormat="1" applyFont="1" applyBorder="1" applyAlignment="1" applyProtection="1">
      <alignment horizontal="right" vertical="center"/>
      <protection locked="0"/>
    </xf>
    <xf numFmtId="165" fontId="7" fillId="0" borderId="14" xfId="3" applyNumberFormat="1" applyFont="1" applyBorder="1" applyAlignment="1" applyProtection="1">
      <alignment horizontal="right" vertical="center"/>
      <protection locked="0"/>
    </xf>
    <xf numFmtId="165" fontId="7" fillId="0" borderId="14" xfId="3" applyNumberFormat="1" applyFont="1" applyBorder="1" applyAlignment="1">
      <alignment horizontal="right" vertical="center"/>
    </xf>
    <xf numFmtId="165" fontId="7" fillId="0" borderId="92" xfId="3" applyNumberFormat="1" applyFont="1" applyBorder="1" applyAlignment="1">
      <alignment horizontal="right" vertical="center"/>
    </xf>
    <xf numFmtId="165" fontId="7" fillId="0" borderId="93" xfId="6" applyNumberFormat="1" applyFont="1" applyBorder="1" applyAlignment="1" applyProtection="1">
      <alignment horizontal="right" vertical="center"/>
      <protection locked="0"/>
    </xf>
    <xf numFmtId="165" fontId="7" fillId="0" borderId="14" xfId="6" applyNumberFormat="1" applyFont="1" applyBorder="1" applyAlignment="1" applyProtection="1">
      <alignment horizontal="right" vertical="center"/>
      <protection locked="0"/>
    </xf>
    <xf numFmtId="165" fontId="7" fillId="0" borderId="14" xfId="6" applyNumberFormat="1" applyFont="1" applyBorder="1" applyAlignment="1">
      <alignment horizontal="right" vertical="center"/>
    </xf>
    <xf numFmtId="165" fontId="7" fillId="0" borderId="92" xfId="6" applyNumberFormat="1" applyFont="1" applyBorder="1" applyAlignment="1">
      <alignment horizontal="right" vertical="center"/>
    </xf>
    <xf numFmtId="165" fontId="7" fillId="0" borderId="94" xfId="3" applyNumberFormat="1" applyFont="1" applyBorder="1" applyAlignment="1">
      <alignment vertical="center"/>
    </xf>
    <xf numFmtId="165" fontId="7" fillId="0" borderId="93" xfId="3" applyNumberFormat="1" applyFont="1" applyBorder="1" applyAlignment="1" applyProtection="1">
      <alignment vertical="center"/>
      <protection locked="0"/>
    </xf>
    <xf numFmtId="165" fontId="7" fillId="0" borderId="14" xfId="3" applyNumberFormat="1" applyFont="1" applyBorder="1" applyAlignment="1">
      <alignment vertical="center"/>
    </xf>
    <xf numFmtId="0" fontId="7" fillId="0" borderId="92" xfId="3" applyFont="1" applyBorder="1" applyAlignment="1" applyProtection="1">
      <alignment horizontal="left" vertical="center" indent="1"/>
      <protection locked="0"/>
    </xf>
    <xf numFmtId="165" fontId="7" fillId="0" borderId="14" xfId="5" applyNumberFormat="1" applyFont="1" applyBorder="1" applyAlignment="1" applyProtection="1">
      <alignment horizontal="right" vertical="center"/>
      <protection locked="0"/>
    </xf>
    <xf numFmtId="165" fontId="7" fillId="0" borderId="14" xfId="5" applyNumberFormat="1" applyFont="1" applyBorder="1" applyAlignment="1">
      <alignment horizontal="right" vertical="center"/>
    </xf>
    <xf numFmtId="165" fontId="7" fillId="0" borderId="92" xfId="5" applyNumberFormat="1" applyFont="1" applyBorder="1" applyAlignment="1">
      <alignment horizontal="right" vertical="center"/>
    </xf>
    <xf numFmtId="165" fontId="7" fillId="0" borderId="94" xfId="5" applyNumberFormat="1" applyFont="1" applyBorder="1" applyAlignment="1">
      <alignment vertical="center"/>
    </xf>
    <xf numFmtId="165" fontId="7" fillId="0" borderId="93" xfId="5" applyNumberFormat="1" applyFont="1" applyBorder="1" applyAlignment="1" applyProtection="1">
      <alignment vertical="center"/>
      <protection locked="0"/>
    </xf>
    <xf numFmtId="0" fontId="29" fillId="0" borderId="92" xfId="3" applyFont="1" applyBorder="1" applyAlignment="1" applyProtection="1">
      <alignment vertical="center"/>
      <protection locked="0"/>
    </xf>
    <xf numFmtId="165" fontId="7" fillId="0" borderId="93" xfId="3" applyNumberFormat="1" applyFont="1" applyBorder="1" applyAlignment="1">
      <alignment horizontal="right" vertical="center"/>
    </xf>
    <xf numFmtId="165" fontId="7" fillId="0" borderId="93" xfId="7" applyNumberFormat="1" applyFont="1" applyBorder="1" applyAlignment="1" applyProtection="1">
      <alignment horizontal="right" vertical="center"/>
      <protection locked="0"/>
    </xf>
    <xf numFmtId="165" fontId="7" fillId="0" borderId="14" xfId="7" applyNumberFormat="1" applyFont="1" applyBorder="1" applyAlignment="1" applyProtection="1">
      <alignment horizontal="right" vertical="center"/>
      <protection locked="0"/>
    </xf>
    <xf numFmtId="165" fontId="7" fillId="0" borderId="14" xfId="7" applyNumberFormat="1" applyFont="1" applyBorder="1" applyAlignment="1">
      <alignment horizontal="right" vertical="center"/>
    </xf>
    <xf numFmtId="165" fontId="7" fillId="0" borderId="92" xfId="7" applyNumberFormat="1" applyFont="1" applyBorder="1" applyAlignment="1">
      <alignment horizontal="right" vertical="center"/>
    </xf>
    <xf numFmtId="41" fontId="29" fillId="0" borderId="93" xfId="3" applyNumberFormat="1" applyFont="1" applyBorder="1" applyAlignment="1" applyProtection="1">
      <alignment horizontal="right" vertical="center"/>
      <protection locked="0"/>
    </xf>
    <xf numFmtId="41" fontId="7" fillId="0" borderId="14" xfId="3" applyNumberFormat="1" applyFont="1" applyBorder="1" applyAlignment="1" applyProtection="1">
      <alignment horizontal="right" vertical="center"/>
      <protection locked="0"/>
    </xf>
    <xf numFmtId="41" fontId="7" fillId="0" borderId="14" xfId="3" applyNumberFormat="1" applyFont="1" applyBorder="1" applyAlignment="1">
      <alignment horizontal="right" vertical="center"/>
    </xf>
    <xf numFmtId="41" fontId="7" fillId="0" borderId="92" xfId="3" applyNumberFormat="1" applyFont="1" applyBorder="1" applyAlignment="1">
      <alignment horizontal="right" vertical="center"/>
    </xf>
    <xf numFmtId="41" fontId="7" fillId="0" borderId="93" xfId="3" applyNumberFormat="1" applyFont="1" applyBorder="1" applyAlignment="1">
      <alignment horizontal="right" vertical="center"/>
    </xf>
    <xf numFmtId="41" fontId="7" fillId="0" borderId="94" xfId="3" applyNumberFormat="1" applyFont="1" applyBorder="1" applyAlignment="1">
      <alignment vertical="center"/>
    </xf>
    <xf numFmtId="41" fontId="7" fillId="0" borderId="93" xfId="3" applyNumberFormat="1" applyFont="1" applyBorder="1" applyAlignment="1" applyProtection="1">
      <alignment vertical="center"/>
      <protection locked="0"/>
    </xf>
    <xf numFmtId="41" fontId="7" fillId="0" borderId="14" xfId="3" applyNumberFormat="1" applyFont="1" applyBorder="1" applyAlignment="1">
      <alignment vertical="center"/>
    </xf>
    <xf numFmtId="165" fontId="7" fillId="0" borderId="93" xfId="8" applyNumberFormat="1" applyFont="1" applyBorder="1" applyAlignment="1" applyProtection="1">
      <alignment horizontal="right" vertical="center"/>
      <protection locked="0"/>
    </xf>
    <xf numFmtId="165" fontId="7" fillId="0" borderId="14" xfId="8" applyNumberFormat="1" applyFont="1" applyBorder="1" applyAlignment="1" applyProtection="1">
      <alignment horizontal="right" vertical="center"/>
      <protection locked="0"/>
    </xf>
    <xf numFmtId="165" fontId="7" fillId="0" borderId="14" xfId="8" applyNumberFormat="1" applyFont="1" applyBorder="1" applyAlignment="1">
      <alignment horizontal="right" vertical="center"/>
    </xf>
    <xf numFmtId="165" fontId="7" fillId="0" borderId="92" xfId="8" applyNumberFormat="1" applyFont="1" applyBorder="1" applyAlignment="1">
      <alignment horizontal="right" vertical="center"/>
    </xf>
    <xf numFmtId="165" fontId="7" fillId="0" borderId="93" xfId="9" applyNumberFormat="1" applyFont="1" applyBorder="1" applyAlignment="1" applyProtection="1">
      <alignment horizontal="right" vertical="center"/>
      <protection locked="0"/>
    </xf>
    <xf numFmtId="165" fontId="7" fillId="0" borderId="14" xfId="9" applyNumberFormat="1" applyFont="1" applyBorder="1" applyAlignment="1" applyProtection="1">
      <alignment horizontal="right" vertical="center"/>
      <protection locked="0"/>
    </xf>
    <xf numFmtId="165" fontId="7" fillId="0" borderId="14" xfId="9" applyNumberFormat="1" applyFont="1" applyBorder="1" applyAlignment="1">
      <alignment horizontal="right" vertical="center"/>
    </xf>
    <xf numFmtId="165" fontId="7" fillId="0" borderId="92" xfId="9" applyNumberFormat="1" applyFont="1" applyBorder="1" applyAlignment="1">
      <alignment horizontal="right" vertical="center"/>
    </xf>
    <xf numFmtId="0" fontId="29" fillId="0" borderId="95" xfId="3" applyFont="1" applyBorder="1" applyAlignment="1" applyProtection="1">
      <alignment vertical="center"/>
      <protection locked="0"/>
    </xf>
    <xf numFmtId="41" fontId="29" fillId="0" borderId="96" xfId="3" applyNumberFormat="1" applyFont="1" applyBorder="1" applyAlignment="1" applyProtection="1">
      <alignment horizontal="right" vertical="center"/>
      <protection locked="0"/>
    </xf>
    <xf numFmtId="41" fontId="7" fillId="0" borderId="97" xfId="3" applyNumberFormat="1" applyFont="1" applyBorder="1" applyAlignment="1" applyProtection="1">
      <alignment horizontal="right" vertical="center"/>
      <protection locked="0"/>
    </xf>
    <xf numFmtId="41" fontId="29" fillId="0" borderId="97" xfId="3" applyNumberFormat="1" applyFont="1" applyBorder="1" applyAlignment="1">
      <alignment horizontal="right" vertical="center"/>
    </xf>
    <xf numFmtId="41" fontId="7" fillId="0" borderId="95" xfId="3" applyNumberFormat="1" applyFont="1" applyBorder="1" applyAlignment="1">
      <alignment horizontal="right" vertical="center"/>
    </xf>
    <xf numFmtId="41" fontId="7" fillId="0" borderId="96" xfId="3" applyNumberFormat="1" applyFont="1" applyBorder="1" applyAlignment="1">
      <alignment horizontal="right" vertical="center"/>
    </xf>
    <xf numFmtId="41" fontId="7" fillId="0" borderId="97" xfId="3" applyNumberFormat="1" applyFont="1" applyBorder="1" applyAlignment="1">
      <alignment horizontal="right" vertical="center"/>
    </xf>
    <xf numFmtId="41" fontId="7" fillId="0" borderId="98" xfId="3" applyNumberFormat="1" applyFont="1" applyBorder="1" applyAlignment="1">
      <alignment vertical="center"/>
    </xf>
    <xf numFmtId="41" fontId="7" fillId="0" borderId="96" xfId="3" applyNumberFormat="1" applyFont="1" applyBorder="1" applyAlignment="1" applyProtection="1">
      <alignment vertical="center"/>
      <protection locked="0"/>
    </xf>
    <xf numFmtId="41" fontId="7" fillId="0" borderId="97" xfId="3" applyNumberFormat="1" applyFont="1" applyBorder="1" applyAlignment="1">
      <alignment vertical="center"/>
    </xf>
    <xf numFmtId="0" fontId="17" fillId="0" borderId="84" xfId="3" applyFont="1" applyBorder="1" applyAlignment="1" applyProtection="1">
      <alignment vertical="center"/>
      <protection locked="0"/>
    </xf>
    <xf numFmtId="0" fontId="29" fillId="0" borderId="86" xfId="3" applyFont="1" applyBorder="1" applyAlignment="1">
      <alignment horizontal="right" vertical="center"/>
    </xf>
    <xf numFmtId="0" fontId="7" fillId="0" borderId="87" xfId="3" applyFont="1" applyBorder="1" applyAlignment="1">
      <alignment vertical="center"/>
    </xf>
    <xf numFmtId="41" fontId="7" fillId="0" borderId="85" xfId="3" applyNumberFormat="1" applyFont="1" applyBorder="1" applyAlignment="1" applyProtection="1">
      <alignment vertical="center"/>
      <protection locked="0"/>
    </xf>
    <xf numFmtId="0" fontId="7" fillId="0" borderId="86" xfId="3" applyFont="1" applyBorder="1" applyAlignment="1">
      <alignment vertical="center"/>
    </xf>
    <xf numFmtId="0" fontId="7" fillId="0" borderId="88" xfId="3" applyFont="1" applyBorder="1" applyAlignment="1" applyProtection="1">
      <alignment vertical="center"/>
      <protection locked="0"/>
    </xf>
    <xf numFmtId="167" fontId="29" fillId="0" borderId="89" xfId="3" applyNumberFormat="1" applyFont="1" applyBorder="1" applyAlignment="1" applyProtection="1">
      <alignment horizontal="right" vertical="center"/>
      <protection locked="0"/>
    </xf>
    <xf numFmtId="167" fontId="7" fillId="0" borderId="90" xfId="3" applyNumberFormat="1" applyFont="1" applyBorder="1" applyAlignment="1" applyProtection="1">
      <alignment horizontal="right" vertical="center"/>
      <protection locked="0"/>
    </xf>
    <xf numFmtId="167" fontId="7" fillId="0" borderId="90" xfId="3" applyNumberFormat="1" applyFont="1" applyBorder="1" applyAlignment="1">
      <alignment horizontal="right" vertical="center"/>
    </xf>
    <xf numFmtId="167" fontId="7" fillId="0" borderId="88" xfId="3" applyNumberFormat="1" applyFont="1" applyBorder="1" applyAlignment="1">
      <alignment horizontal="right" vertical="center"/>
    </xf>
    <xf numFmtId="167" fontId="7" fillId="0" borderId="89" xfId="3" applyNumberFormat="1" applyFont="1" applyBorder="1" applyAlignment="1">
      <alignment horizontal="right" vertical="center"/>
    </xf>
    <xf numFmtId="167" fontId="7" fillId="0" borderId="91" xfId="3" applyNumberFormat="1" applyFont="1" applyBorder="1" applyAlignment="1">
      <alignment vertical="center"/>
    </xf>
    <xf numFmtId="167" fontId="7" fillId="0" borderId="89" xfId="3" applyNumberFormat="1" applyFont="1" applyBorder="1" applyAlignment="1" applyProtection="1">
      <alignment horizontal="right" vertical="center"/>
      <protection locked="0"/>
    </xf>
    <xf numFmtId="167" fontId="7" fillId="0" borderId="90" xfId="3" applyNumberFormat="1" applyFont="1" applyBorder="1" applyAlignment="1">
      <alignment vertical="center"/>
    </xf>
    <xf numFmtId="167" fontId="29" fillId="0" borderId="93" xfId="3" applyNumberFormat="1" applyFont="1" applyBorder="1" applyAlignment="1" applyProtection="1">
      <alignment horizontal="right" vertical="center"/>
      <protection locked="0"/>
    </xf>
    <xf numFmtId="167" fontId="7" fillId="0" borderId="14" xfId="3" applyNumberFormat="1" applyFont="1" applyBorder="1" applyAlignment="1" applyProtection="1">
      <alignment horizontal="right" vertical="center"/>
      <protection locked="0"/>
    </xf>
    <xf numFmtId="167" fontId="7" fillId="0" borderId="14" xfId="3" applyNumberFormat="1" applyFont="1" applyBorder="1" applyAlignment="1">
      <alignment horizontal="right" vertical="center"/>
    </xf>
    <xf numFmtId="167" fontId="7" fillId="0" borderId="92" xfId="3" applyNumberFormat="1" applyFont="1" applyBorder="1" applyAlignment="1">
      <alignment horizontal="right" vertical="center"/>
    </xf>
    <xf numFmtId="167" fontId="7" fillId="0" borderId="93" xfId="3" applyNumberFormat="1" applyFont="1" applyBorder="1" applyAlignment="1">
      <alignment horizontal="right" vertical="center"/>
    </xf>
    <xf numFmtId="167" fontId="7" fillId="0" borderId="94" xfId="3" applyNumberFormat="1" applyFont="1" applyBorder="1" applyAlignment="1">
      <alignment vertical="center"/>
    </xf>
    <xf numFmtId="167" fontId="7" fillId="0" borderId="93" xfId="3" applyNumberFormat="1" applyFont="1" applyBorder="1" applyAlignment="1" applyProtection="1">
      <alignment horizontal="right" vertical="center"/>
      <protection locked="0"/>
    </xf>
    <xf numFmtId="167" fontId="7" fillId="0" borderId="14" xfId="3" applyNumberFormat="1" applyFont="1" applyBorder="1" applyAlignment="1">
      <alignment vertical="center"/>
    </xf>
    <xf numFmtId="170" fontId="29" fillId="0" borderId="93" xfId="3" applyNumberFormat="1" applyFont="1" applyBorder="1" applyAlignment="1" applyProtection="1">
      <alignment horizontal="right" vertical="center"/>
      <protection locked="0"/>
    </xf>
    <xf numFmtId="170" fontId="7" fillId="0" borderId="14" xfId="3" applyNumberFormat="1" applyFont="1" applyBorder="1" applyAlignment="1" applyProtection="1">
      <alignment horizontal="right" vertical="center"/>
      <protection locked="0"/>
    </xf>
    <xf numFmtId="170" fontId="7" fillId="0" borderId="14" xfId="3" applyNumberFormat="1" applyFont="1" applyBorder="1" applyAlignment="1">
      <alignment horizontal="right" vertical="center"/>
    </xf>
    <xf numFmtId="170" fontId="7" fillId="0" borderId="92" xfId="3" applyNumberFormat="1" applyFont="1" applyBorder="1" applyAlignment="1">
      <alignment horizontal="right" vertical="center"/>
    </xf>
    <xf numFmtId="170" fontId="7" fillId="0" borderId="93" xfId="3" applyNumberFormat="1" applyFont="1" applyBorder="1" applyAlignment="1">
      <alignment horizontal="right" vertical="center"/>
    </xf>
    <xf numFmtId="170" fontId="7" fillId="0" borderId="94" xfId="3" applyNumberFormat="1" applyFont="1" applyBorder="1" applyAlignment="1">
      <alignment vertical="center"/>
    </xf>
    <xf numFmtId="170" fontId="7" fillId="0" borderId="93" xfId="3" applyNumberFormat="1" applyFont="1" applyBorder="1" applyAlignment="1" applyProtection="1">
      <alignment horizontal="right" vertical="center"/>
      <protection locked="0"/>
    </xf>
    <xf numFmtId="170" fontId="7" fillId="0" borderId="14" xfId="3" applyNumberFormat="1" applyFont="1" applyBorder="1" applyAlignment="1">
      <alignment vertical="center"/>
    </xf>
    <xf numFmtId="168" fontId="29" fillId="0" borderId="93" xfId="3" applyNumberFormat="1" applyFont="1" applyBorder="1" applyAlignment="1" applyProtection="1">
      <alignment horizontal="right" vertical="center"/>
      <protection locked="0"/>
    </xf>
    <xf numFmtId="168" fontId="7" fillId="0" borderId="14" xfId="3" applyNumberFormat="1" applyFont="1" applyBorder="1" applyAlignment="1" applyProtection="1">
      <alignment horizontal="right" vertical="center"/>
      <protection locked="0"/>
    </xf>
    <xf numFmtId="168" fontId="7" fillId="0" borderId="14" xfId="3" applyNumberFormat="1" applyFont="1" applyBorder="1" applyAlignment="1">
      <alignment horizontal="right" vertical="center"/>
    </xf>
    <xf numFmtId="168" fontId="7" fillId="0" borderId="92" xfId="3" applyNumberFormat="1" applyFont="1" applyBorder="1" applyAlignment="1">
      <alignment horizontal="right" vertical="center"/>
    </xf>
    <xf numFmtId="168" fontId="7" fillId="0" borderId="93" xfId="10" applyNumberFormat="1" applyFont="1" applyBorder="1" applyAlignment="1" applyProtection="1">
      <alignment horizontal="right" vertical="center"/>
      <protection locked="0"/>
    </xf>
    <xf numFmtId="168" fontId="7" fillId="0" borderId="14" xfId="10" applyNumberFormat="1" applyFont="1" applyBorder="1" applyAlignment="1" applyProtection="1">
      <alignment horizontal="right" vertical="center"/>
      <protection locked="0"/>
    </xf>
    <xf numFmtId="168" fontId="7" fillId="0" borderId="14" xfId="10" applyNumberFormat="1" applyFont="1" applyBorder="1" applyAlignment="1">
      <alignment horizontal="right" vertical="center"/>
    </xf>
    <xf numFmtId="168" fontId="7" fillId="0" borderId="92" xfId="10" applyNumberFormat="1" applyFont="1" applyBorder="1" applyAlignment="1">
      <alignment horizontal="right" vertical="center"/>
    </xf>
    <xf numFmtId="168" fontId="7" fillId="0" borderId="94" xfId="3" applyNumberFormat="1" applyFont="1" applyBorder="1" applyAlignment="1">
      <alignment vertical="center"/>
    </xf>
    <xf numFmtId="168" fontId="7" fillId="0" borderId="93" xfId="3" applyNumberFormat="1" applyFont="1" applyBorder="1" applyAlignment="1" applyProtection="1">
      <alignment horizontal="right" vertical="center"/>
      <protection locked="0"/>
    </xf>
    <xf numFmtId="168" fontId="7" fillId="0" borderId="14" xfId="3" applyNumberFormat="1" applyFont="1" applyBorder="1" applyAlignment="1">
      <alignment vertical="center"/>
    </xf>
    <xf numFmtId="167" fontId="7" fillId="0" borderId="93" xfId="3" applyNumberFormat="1" applyFont="1" applyBorder="1" applyAlignment="1">
      <alignment vertical="center"/>
    </xf>
    <xf numFmtId="168" fontId="7" fillId="0" borderId="93" xfId="11" applyNumberFormat="1" applyFont="1" applyBorder="1" applyAlignment="1" applyProtection="1">
      <alignment horizontal="right" vertical="center"/>
      <protection locked="0"/>
    </xf>
    <xf numFmtId="168" fontId="7" fillId="0" borderId="14" xfId="11" applyNumberFormat="1" applyFont="1" applyBorder="1" applyAlignment="1" applyProtection="1">
      <alignment horizontal="right" vertical="center"/>
      <protection locked="0"/>
    </xf>
    <xf numFmtId="168" fontId="7" fillId="0" borderId="14" xfId="11" applyNumberFormat="1" applyFont="1" applyBorder="1" applyAlignment="1">
      <alignment horizontal="right" vertical="center"/>
    </xf>
    <xf numFmtId="168" fontId="7" fillId="0" borderId="92" xfId="11" applyNumberFormat="1" applyFont="1" applyBorder="1" applyAlignment="1">
      <alignment horizontal="right" vertical="center"/>
    </xf>
    <xf numFmtId="0" fontId="29" fillId="0" borderId="92" xfId="3" applyFont="1" applyBorder="1" applyAlignment="1" applyProtection="1">
      <alignment horizontal="left" vertical="center"/>
      <protection locked="0"/>
    </xf>
    <xf numFmtId="169" fontId="29" fillId="0" borderId="93" xfId="3" applyNumberFormat="1" applyFont="1" applyBorder="1" applyAlignment="1" applyProtection="1">
      <alignment horizontal="right" vertical="center"/>
      <protection locked="0"/>
    </xf>
    <xf numFmtId="169" fontId="7" fillId="0" borderId="14" xfId="3" applyNumberFormat="1" applyFont="1" applyBorder="1" applyAlignment="1" applyProtection="1">
      <alignment horizontal="right" vertical="center"/>
      <protection locked="0"/>
    </xf>
    <xf numFmtId="169" fontId="7" fillId="0" borderId="14" xfId="3" applyNumberFormat="1" applyFont="1" applyBorder="1" applyAlignment="1">
      <alignment horizontal="right" vertical="center"/>
    </xf>
    <xf numFmtId="169" fontId="7" fillId="0" borderId="92" xfId="3" applyNumberFormat="1" applyFont="1" applyBorder="1" applyAlignment="1">
      <alignment horizontal="right" vertical="center"/>
    </xf>
    <xf numFmtId="169" fontId="7" fillId="0" borderId="93" xfId="3" applyNumberFormat="1" applyFont="1" applyBorder="1" applyAlignment="1">
      <alignment horizontal="right" vertical="center"/>
    </xf>
    <xf numFmtId="169" fontId="7" fillId="0" borderId="94" xfId="3" applyNumberFormat="1" applyFont="1" applyBorder="1" applyAlignment="1">
      <alignment vertical="center"/>
    </xf>
    <xf numFmtId="169" fontId="7" fillId="0" borderId="93" xfId="3" applyNumberFormat="1" applyFont="1" applyBorder="1" applyAlignment="1" applyProtection="1">
      <alignment horizontal="right" vertical="center"/>
      <protection locked="0"/>
    </xf>
    <xf numFmtId="169" fontId="7" fillId="0" borderId="14" xfId="3" applyNumberFormat="1" applyFont="1" applyBorder="1" applyAlignment="1">
      <alignment vertical="center"/>
    </xf>
    <xf numFmtId="168" fontId="7" fillId="0" borderId="93" xfId="12" applyNumberFormat="1" applyFont="1" applyBorder="1" applyAlignment="1" applyProtection="1">
      <alignment horizontal="right" vertical="center"/>
      <protection locked="0"/>
    </xf>
    <xf numFmtId="168" fontId="7" fillId="0" borderId="14" xfId="12" applyNumberFormat="1" applyFont="1" applyBorder="1" applyAlignment="1" applyProtection="1">
      <alignment horizontal="right" vertical="center"/>
      <protection locked="0"/>
    </xf>
    <xf numFmtId="168" fontId="7" fillId="0" borderId="14" xfId="12" applyNumberFormat="1" applyFont="1" applyBorder="1" applyAlignment="1">
      <alignment horizontal="right" vertical="center"/>
    </xf>
    <xf numFmtId="168" fontId="7" fillId="0" borderId="92" xfId="12" applyNumberFormat="1" applyFont="1" applyBorder="1" applyAlignment="1">
      <alignment horizontal="right" vertical="center"/>
    </xf>
    <xf numFmtId="0" fontId="7" fillId="0" borderId="95" xfId="3" applyFont="1" applyBorder="1" applyAlignment="1" applyProtection="1">
      <alignment horizontal="left" vertical="center" indent="1"/>
      <protection locked="0"/>
    </xf>
    <xf numFmtId="168" fontId="29" fillId="0" borderId="96" xfId="3" applyNumberFormat="1" applyFont="1" applyBorder="1" applyAlignment="1" applyProtection="1">
      <alignment horizontal="right" vertical="center"/>
      <protection locked="0"/>
    </xf>
    <xf numFmtId="168" fontId="7" fillId="0" borderId="97" xfId="3" applyNumberFormat="1" applyFont="1" applyBorder="1" applyAlignment="1" applyProtection="1">
      <alignment horizontal="right" vertical="center"/>
      <protection locked="0"/>
    </xf>
    <xf numFmtId="168" fontId="7" fillId="0" borderId="97" xfId="3" applyNumberFormat="1" applyFont="1" applyBorder="1" applyAlignment="1">
      <alignment horizontal="right" vertical="center"/>
    </xf>
    <xf numFmtId="168" fontId="7" fillId="0" borderId="95" xfId="3" applyNumberFormat="1" applyFont="1" applyBorder="1" applyAlignment="1">
      <alignment horizontal="right" vertical="center"/>
    </xf>
    <xf numFmtId="168" fontId="7" fillId="0" borderId="96" xfId="13" applyNumberFormat="1" applyFont="1" applyBorder="1" applyAlignment="1" applyProtection="1">
      <alignment horizontal="right" vertical="center"/>
      <protection locked="0"/>
    </xf>
    <xf numFmtId="168" fontId="7" fillId="0" borderId="97" xfId="13" applyNumberFormat="1" applyFont="1" applyBorder="1" applyAlignment="1" applyProtection="1">
      <alignment horizontal="right" vertical="center"/>
      <protection locked="0"/>
    </xf>
    <xf numFmtId="168" fontId="7" fillId="0" borderId="97" xfId="13" applyNumberFormat="1" applyFont="1" applyBorder="1" applyAlignment="1">
      <alignment horizontal="right" vertical="center"/>
    </xf>
    <xf numFmtId="168" fontId="7" fillId="0" borderId="95" xfId="13" applyNumberFormat="1" applyFont="1" applyBorder="1" applyAlignment="1">
      <alignment horizontal="right" vertical="center"/>
    </xf>
    <xf numFmtId="168" fontId="7" fillId="0" borderId="98" xfId="3" applyNumberFormat="1" applyFont="1" applyBorder="1" applyAlignment="1">
      <alignment vertical="center"/>
    </xf>
    <xf numFmtId="168" fontId="7" fillId="0" borderId="96" xfId="3" applyNumberFormat="1" applyFont="1" applyBorder="1" applyAlignment="1" applyProtection="1">
      <alignment horizontal="right" vertical="center"/>
      <protection locked="0"/>
    </xf>
    <xf numFmtId="168" fontId="7" fillId="0" borderId="97" xfId="3" applyNumberFormat="1" applyFont="1" applyBorder="1" applyAlignment="1">
      <alignment vertical="center"/>
    </xf>
    <xf numFmtId="0" fontId="19" fillId="0" borderId="88" xfId="3" applyFont="1" applyBorder="1" applyAlignment="1" applyProtection="1">
      <alignment horizontal="left" vertical="center"/>
      <protection locked="0"/>
    </xf>
    <xf numFmtId="168" fontId="20" fillId="0" borderId="89" xfId="3" applyNumberFormat="1" applyFont="1" applyBorder="1" applyAlignment="1" applyProtection="1">
      <alignment horizontal="right" vertical="center"/>
      <protection locked="0"/>
    </xf>
    <xf numFmtId="168" fontId="19" fillId="0" borderId="90" xfId="3" applyNumberFormat="1" applyFont="1" applyBorder="1" applyAlignment="1" applyProtection="1">
      <alignment horizontal="right" vertical="center"/>
      <protection locked="0"/>
    </xf>
    <xf numFmtId="168" fontId="19" fillId="0" borderId="90" xfId="3" applyNumberFormat="1" applyFont="1" applyBorder="1" applyAlignment="1">
      <alignment horizontal="right" vertical="center"/>
    </xf>
    <xf numFmtId="168" fontId="19" fillId="0" borderId="88" xfId="3" applyNumberFormat="1" applyFont="1" applyBorder="1" applyAlignment="1">
      <alignment horizontal="right" vertical="center"/>
    </xf>
    <xf numFmtId="168" fontId="19" fillId="0" borderId="89" xfId="14" applyNumberFormat="1" applyFont="1" applyBorder="1" applyAlignment="1" applyProtection="1">
      <alignment horizontal="right" vertical="center"/>
      <protection locked="0"/>
    </xf>
    <xf numFmtId="168" fontId="19" fillId="0" borderId="90" xfId="14" applyNumberFormat="1" applyFont="1" applyBorder="1" applyAlignment="1" applyProtection="1">
      <alignment horizontal="right" vertical="center"/>
      <protection locked="0"/>
    </xf>
    <xf numFmtId="168" fontId="19" fillId="0" borderId="90" xfId="14" applyNumberFormat="1" applyFont="1" applyBorder="1" applyAlignment="1">
      <alignment horizontal="right" vertical="center"/>
    </xf>
    <xf numFmtId="168" fontId="19" fillId="0" borderId="88" xfId="14" applyNumberFormat="1" applyFont="1" applyBorder="1" applyAlignment="1">
      <alignment horizontal="right" vertical="center"/>
    </xf>
    <xf numFmtId="168" fontId="7" fillId="0" borderId="91" xfId="3" applyNumberFormat="1" applyFont="1" applyBorder="1" applyAlignment="1">
      <alignment horizontal="right" vertical="center"/>
    </xf>
    <xf numFmtId="168" fontId="19" fillId="0" borderId="89" xfId="3" applyNumberFormat="1" applyFont="1" applyBorder="1" applyAlignment="1" applyProtection="1">
      <alignment horizontal="right" vertical="center"/>
      <protection locked="0"/>
    </xf>
    <xf numFmtId="0" fontId="19" fillId="0" borderId="92" xfId="3" applyFont="1" applyBorder="1" applyAlignment="1" applyProtection="1">
      <alignment horizontal="left" vertical="center"/>
      <protection locked="0"/>
    </xf>
    <xf numFmtId="168" fontId="20" fillId="0" borderId="93" xfId="3" applyNumberFormat="1" applyFont="1" applyBorder="1" applyAlignment="1" applyProtection="1">
      <alignment horizontal="right" vertical="center"/>
      <protection locked="0"/>
    </xf>
    <xf numFmtId="168" fontId="19" fillId="0" borderId="14" xfId="3" applyNumberFormat="1" applyFont="1" applyBorder="1" applyAlignment="1" applyProtection="1">
      <alignment horizontal="right" vertical="center"/>
      <protection locked="0"/>
    </xf>
    <xf numFmtId="168" fontId="19" fillId="0" borderId="14" xfId="3" applyNumberFormat="1" applyFont="1" applyBorder="1" applyAlignment="1">
      <alignment horizontal="right" vertical="center"/>
    </xf>
    <xf numFmtId="168" fontId="19" fillId="0" borderId="92" xfId="3" applyNumberFormat="1" applyFont="1" applyBorder="1" applyAlignment="1">
      <alignment horizontal="right" vertical="center"/>
    </xf>
    <xf numFmtId="168" fontId="19" fillId="0" borderId="93" xfId="14" applyNumberFormat="1" applyFont="1" applyBorder="1" applyAlignment="1" applyProtection="1">
      <alignment horizontal="right" vertical="center"/>
      <protection locked="0"/>
    </xf>
    <xf numFmtId="168" fontId="19" fillId="0" borderId="14" xfId="14" applyNumberFormat="1" applyFont="1" applyBorder="1" applyAlignment="1" applyProtection="1">
      <alignment horizontal="right" vertical="center"/>
      <protection locked="0"/>
    </xf>
    <xf numFmtId="168" fontId="19" fillId="0" borderId="14" xfId="14" applyNumberFormat="1" applyFont="1" applyBorder="1" applyAlignment="1">
      <alignment horizontal="right" vertical="center"/>
    </xf>
    <xf numFmtId="168" fontId="19" fillId="0" borderId="92" xfId="14" applyNumberFormat="1" applyFont="1" applyBorder="1" applyAlignment="1">
      <alignment horizontal="right" vertical="center"/>
    </xf>
    <xf numFmtId="168" fontId="19" fillId="0" borderId="94" xfId="3" applyNumberFormat="1" applyFont="1" applyBorder="1" applyAlignment="1">
      <alignment horizontal="right" vertical="center"/>
    </xf>
    <xf numFmtId="168" fontId="19" fillId="0" borderId="93" xfId="3" applyNumberFormat="1" applyFont="1" applyBorder="1" applyAlignment="1" applyProtection="1">
      <alignment horizontal="right" vertical="center"/>
      <protection locked="0"/>
    </xf>
    <xf numFmtId="0" fontId="19" fillId="0" borderId="92" xfId="3" applyFont="1" applyBorder="1" applyAlignment="1" applyProtection="1">
      <alignment vertical="center"/>
      <protection locked="0"/>
    </xf>
    <xf numFmtId="168" fontId="7" fillId="0" borderId="94" xfId="3" applyNumberFormat="1" applyFont="1" applyBorder="1" applyAlignment="1">
      <alignment horizontal="right" vertical="center"/>
    </xf>
    <xf numFmtId="168" fontId="19" fillId="0" borderId="14" xfId="3" applyNumberFormat="1" applyFont="1" applyBorder="1" applyAlignment="1">
      <alignment vertical="center"/>
    </xf>
    <xf numFmtId="0" fontId="20" fillId="0" borderId="92" xfId="3" applyFont="1" applyBorder="1" applyAlignment="1" applyProtection="1">
      <alignment vertical="center"/>
      <protection locked="0"/>
    </xf>
    <xf numFmtId="0" fontId="20" fillId="0" borderId="95" xfId="3" applyFont="1" applyBorder="1" applyAlignment="1" applyProtection="1">
      <alignment vertical="center"/>
      <protection locked="0"/>
    </xf>
    <xf numFmtId="168" fontId="20" fillId="0" borderId="96" xfId="3" applyNumberFormat="1" applyFont="1" applyBorder="1" applyAlignment="1" applyProtection="1">
      <alignment horizontal="right" vertical="center"/>
      <protection locked="0"/>
    </xf>
    <xf numFmtId="168" fontId="19" fillId="0" borderId="97" xfId="3" applyNumberFormat="1" applyFont="1" applyBorder="1" applyAlignment="1" applyProtection="1">
      <alignment horizontal="right" vertical="center"/>
      <protection locked="0"/>
    </xf>
    <xf numFmtId="168" fontId="19" fillId="0" borderId="97" xfId="3" applyNumberFormat="1" applyFont="1" applyBorder="1" applyAlignment="1">
      <alignment horizontal="right" vertical="center"/>
    </xf>
    <xf numFmtId="168" fontId="19" fillId="0" borderId="95" xfId="3" applyNumberFormat="1" applyFont="1" applyBorder="1" applyAlignment="1">
      <alignment horizontal="right" vertical="center"/>
    </xf>
    <xf numFmtId="168" fontId="19" fillId="0" borderId="99" xfId="14" applyNumberFormat="1" applyFont="1" applyBorder="1" applyAlignment="1" applyProtection="1">
      <alignment horizontal="right" vertical="center"/>
      <protection locked="0"/>
    </xf>
    <xf numFmtId="168" fontId="19" fillId="0" borderId="100" xfId="14" applyNumberFormat="1" applyFont="1" applyBorder="1" applyAlignment="1" applyProtection="1">
      <alignment horizontal="right" vertical="center"/>
      <protection locked="0"/>
    </xf>
    <xf numFmtId="168" fontId="19" fillId="0" borderId="100" xfId="14" applyNumberFormat="1" applyFont="1" applyBorder="1" applyAlignment="1">
      <alignment horizontal="right" vertical="center"/>
    </xf>
    <xf numFmtId="168" fontId="19" fillId="0" borderId="101" xfId="14" applyNumberFormat="1" applyFont="1" applyBorder="1" applyAlignment="1">
      <alignment horizontal="right" vertical="center"/>
    </xf>
    <xf numFmtId="168" fontId="7" fillId="0" borderId="98" xfId="3" applyNumberFormat="1" applyFont="1" applyBorder="1" applyAlignment="1">
      <alignment horizontal="right" vertical="center"/>
    </xf>
    <xf numFmtId="168" fontId="19" fillId="0" borderId="96" xfId="3" applyNumberFormat="1" applyFont="1" applyBorder="1" applyAlignment="1" applyProtection="1">
      <alignment horizontal="right" vertical="center"/>
      <protection locked="0"/>
    </xf>
    <xf numFmtId="168" fontId="19" fillId="0" borderId="97" xfId="3" applyNumberFormat="1" applyFont="1" applyBorder="1" applyAlignment="1">
      <alignment vertical="center"/>
    </xf>
    <xf numFmtId="0" fontId="7" fillId="0" borderId="84" xfId="3" applyFont="1" applyBorder="1" applyAlignment="1">
      <alignment vertical="center"/>
    </xf>
    <xf numFmtId="165" fontId="20" fillId="0" borderId="93" xfId="3" applyNumberFormat="1" applyFont="1" applyBorder="1" applyAlignment="1" applyProtection="1">
      <alignment horizontal="right" vertical="center"/>
      <protection locked="0"/>
    </xf>
    <xf numFmtId="165" fontId="19" fillId="0" borderId="14" xfId="3" applyNumberFormat="1" applyFont="1" applyBorder="1" applyAlignment="1" applyProtection="1">
      <alignment horizontal="right" vertical="center"/>
      <protection locked="0"/>
    </xf>
    <xf numFmtId="165" fontId="19" fillId="0" borderId="14" xfId="3" applyNumberFormat="1" applyFont="1" applyBorder="1" applyAlignment="1">
      <alignment horizontal="right" vertical="center"/>
    </xf>
    <xf numFmtId="165" fontId="19" fillId="0" borderId="92" xfId="3" applyNumberFormat="1" applyFont="1" applyBorder="1" applyAlignment="1">
      <alignment vertical="center"/>
    </xf>
    <xf numFmtId="165" fontId="19" fillId="0" borderId="93" xfId="3" applyNumberFormat="1" applyFont="1" applyBorder="1" applyAlignment="1">
      <alignment vertical="center"/>
    </xf>
    <xf numFmtId="165" fontId="19" fillId="0" borderId="14" xfId="3" applyNumberFormat="1" applyFont="1" applyBorder="1" applyAlignment="1">
      <alignment vertical="center"/>
    </xf>
    <xf numFmtId="165" fontId="19" fillId="0" borderId="94" xfId="3" applyNumberFormat="1" applyFont="1" applyBorder="1" applyAlignment="1">
      <alignment vertical="center"/>
    </xf>
    <xf numFmtId="41" fontId="7" fillId="7" borderId="102" xfId="3" applyNumberFormat="1" applyFont="1" applyFill="1" applyBorder="1" applyProtection="1">
      <protection locked="0"/>
    </xf>
    <xf numFmtId="41" fontId="7" fillId="8" borderId="103" xfId="3" applyNumberFormat="1" applyFont="1" applyFill="1" applyBorder="1"/>
    <xf numFmtId="41" fontId="7" fillId="7" borderId="104" xfId="3" applyNumberFormat="1" applyFont="1" applyFill="1" applyBorder="1" applyProtection="1">
      <protection locked="0"/>
    </xf>
    <xf numFmtId="41" fontId="7" fillId="8" borderId="0" xfId="3" applyNumberFormat="1" applyFont="1" applyFill="1"/>
    <xf numFmtId="0" fontId="19" fillId="0" borderId="95" xfId="3" applyFont="1" applyBorder="1" applyAlignment="1" applyProtection="1">
      <alignment vertical="center"/>
      <protection locked="0"/>
    </xf>
    <xf numFmtId="165" fontId="20" fillId="0" borderId="96" xfId="3" applyNumberFormat="1" applyFont="1" applyBorder="1" applyAlignment="1" applyProtection="1">
      <alignment horizontal="right" vertical="center"/>
      <protection locked="0"/>
    </xf>
    <xf numFmtId="165" fontId="19" fillId="0" borderId="97" xfId="3" applyNumberFormat="1" applyFont="1" applyBorder="1" applyAlignment="1" applyProtection="1">
      <alignment horizontal="right" vertical="center"/>
      <protection locked="0"/>
    </xf>
    <xf numFmtId="165" fontId="19" fillId="0" borderId="97" xfId="3" applyNumberFormat="1" applyFont="1" applyBorder="1" applyAlignment="1">
      <alignment horizontal="right" vertical="center"/>
    </xf>
    <xf numFmtId="165" fontId="19" fillId="0" borderId="95" xfId="3" applyNumberFormat="1" applyFont="1" applyBorder="1" applyAlignment="1">
      <alignment vertical="center"/>
    </xf>
    <xf numFmtId="165" fontId="19" fillId="0" borderId="96" xfId="3" applyNumberFormat="1" applyFont="1" applyBorder="1" applyAlignment="1">
      <alignment vertical="center"/>
    </xf>
    <xf numFmtId="165" fontId="19" fillId="0" borderId="97" xfId="3" applyNumberFormat="1" applyFont="1" applyBorder="1" applyAlignment="1">
      <alignment vertical="center"/>
    </xf>
    <xf numFmtId="165" fontId="19" fillId="0" borderId="98" xfId="3" applyNumberFormat="1" applyFont="1" applyBorder="1" applyAlignment="1">
      <alignment vertical="center"/>
    </xf>
    <xf numFmtId="41" fontId="7" fillId="7" borderId="96" xfId="3" applyNumberFormat="1" applyFont="1" applyFill="1" applyBorder="1" applyProtection="1">
      <protection locked="0"/>
    </xf>
    <xf numFmtId="41" fontId="7" fillId="8" borderId="83" xfId="3" applyNumberFormat="1" applyFont="1" applyFill="1" applyBorder="1"/>
    <xf numFmtId="0" fontId="40" fillId="0" borderId="103" xfId="3" applyFont="1" applyBorder="1" applyAlignment="1" applyProtection="1">
      <alignment horizontal="left" vertical="center" indent="1"/>
      <protection locked="0"/>
    </xf>
    <xf numFmtId="169" fontId="39" fillId="0" borderId="103" xfId="3" applyNumberFormat="1" applyFont="1" applyBorder="1" applyAlignment="1" applyProtection="1">
      <alignment vertical="center"/>
      <protection locked="0"/>
    </xf>
    <xf numFmtId="169" fontId="40" fillId="0" borderId="103" xfId="3" applyNumberFormat="1" applyFont="1" applyBorder="1" applyAlignment="1" applyProtection="1">
      <alignment vertical="center"/>
      <protection locked="0"/>
    </xf>
    <xf numFmtId="0" fontId="41" fillId="0" borderId="0" xfId="3" quotePrefix="1" applyFont="1" applyAlignment="1" applyProtection="1">
      <alignment horizontal="left" vertical="center"/>
      <protection locked="0"/>
    </xf>
    <xf numFmtId="0" fontId="53" fillId="0" borderId="106" xfId="3" applyFont="1" applyBorder="1" applyAlignment="1" applyProtection="1">
      <alignment horizontal="left" vertical="center"/>
      <protection locked="0"/>
    </xf>
    <xf numFmtId="0" fontId="54" fillId="0" borderId="107" xfId="3" applyFont="1" applyBorder="1" applyAlignment="1" applyProtection="1">
      <alignment horizontal="center" vertical="center"/>
      <protection locked="0"/>
    </xf>
    <xf numFmtId="0" fontId="47" fillId="0" borderId="106" xfId="3" applyFont="1" applyBorder="1" applyAlignment="1" applyProtection="1">
      <alignment horizontal="left" vertical="center"/>
      <protection locked="0"/>
    </xf>
    <xf numFmtId="166" fontId="29" fillId="0" borderId="107" xfId="3" applyNumberFormat="1" applyFont="1" applyBorder="1" applyAlignment="1" applyProtection="1">
      <alignment horizontal="right" vertical="center"/>
      <protection locked="0"/>
    </xf>
    <xf numFmtId="166" fontId="7" fillId="0" borderId="108" xfId="3" applyNumberFormat="1" applyFont="1" applyBorder="1" applyAlignment="1">
      <alignment horizontal="right" vertical="center"/>
    </xf>
    <xf numFmtId="166" fontId="7" fillId="0" borderId="106" xfId="3" applyNumberFormat="1" applyFont="1" applyBorder="1" applyAlignment="1">
      <alignment horizontal="right" vertical="center"/>
    </xf>
    <xf numFmtId="166" fontId="7" fillId="0" borderId="107" xfId="4" applyNumberFormat="1" applyFont="1" applyBorder="1" applyAlignment="1" applyProtection="1">
      <alignment horizontal="right" vertical="center"/>
    </xf>
    <xf numFmtId="166" fontId="7" fillId="0" borderId="108" xfId="4" applyNumberFormat="1" applyFont="1" applyBorder="1" applyAlignment="1" applyProtection="1">
      <alignment horizontal="right" vertical="center"/>
    </xf>
    <xf numFmtId="166" fontId="7" fillId="0" borderId="106" xfId="4" applyNumberFormat="1" applyFont="1" applyBorder="1" applyAlignment="1" applyProtection="1">
      <alignment horizontal="right" vertical="center"/>
    </xf>
    <xf numFmtId="166" fontId="7" fillId="0" borderId="109" xfId="4" applyNumberFormat="1" applyFont="1" applyBorder="1" applyAlignment="1" applyProtection="1">
      <alignment horizontal="right" vertical="center"/>
    </xf>
    <xf numFmtId="166" fontId="7" fillId="0" borderId="107" xfId="4" applyNumberFormat="1" applyFont="1" applyBorder="1" applyAlignment="1" applyProtection="1">
      <alignment vertical="center"/>
      <protection locked="0"/>
    </xf>
    <xf numFmtId="166" fontId="7" fillId="0" borderId="108" xfId="4" applyNumberFormat="1" applyFont="1" applyBorder="1" applyAlignment="1" applyProtection="1">
      <alignment vertical="center"/>
    </xf>
    <xf numFmtId="0" fontId="17" fillId="0" borderId="110" xfId="3" applyFont="1" applyBorder="1" applyAlignment="1" applyProtection="1">
      <alignment horizontal="left" vertical="center"/>
      <protection locked="0"/>
    </xf>
    <xf numFmtId="41" fontId="29" fillId="0" borderId="111" xfId="3" applyNumberFormat="1" applyFont="1" applyBorder="1" applyAlignment="1" applyProtection="1">
      <alignment vertical="center"/>
      <protection locked="0"/>
    </xf>
    <xf numFmtId="41" fontId="7" fillId="0" borderId="112" xfId="3" applyNumberFormat="1" applyFont="1" applyBorder="1" applyAlignment="1">
      <alignment vertical="center"/>
    </xf>
    <xf numFmtId="41" fontId="7" fillId="0" borderId="110" xfId="3" applyNumberFormat="1" applyFont="1" applyBorder="1" applyAlignment="1">
      <alignment horizontal="right" vertical="center"/>
    </xf>
    <xf numFmtId="171" fontId="7" fillId="0" borderId="111" xfId="4" applyNumberFormat="1" applyFont="1" applyFill="1" applyBorder="1" applyAlignment="1" applyProtection="1">
      <alignment horizontal="left" vertical="center"/>
    </xf>
    <xf numFmtId="171" fontId="7" fillId="0" borderId="112" xfId="4" applyNumberFormat="1" applyFont="1" applyFill="1" applyBorder="1" applyAlignment="1" applyProtection="1">
      <alignment horizontal="left" vertical="center"/>
    </xf>
    <xf numFmtId="171" fontId="7" fillId="0" borderId="110" xfId="4" applyNumberFormat="1" applyFont="1" applyFill="1" applyBorder="1" applyAlignment="1" applyProtection="1">
      <alignment horizontal="left" vertical="center"/>
    </xf>
    <xf numFmtId="0" fontId="7" fillId="0" borderId="113" xfId="4" applyNumberFormat="1" applyFont="1" applyFill="1" applyBorder="1" applyAlignment="1" applyProtection="1">
      <alignment horizontal="left" vertical="center"/>
    </xf>
    <xf numFmtId="171" fontId="7" fillId="0" borderId="111" xfId="4" applyNumberFormat="1" applyFont="1" applyFill="1" applyBorder="1" applyAlignment="1" applyProtection="1">
      <alignment vertical="center"/>
      <protection locked="0"/>
    </xf>
    <xf numFmtId="171" fontId="7" fillId="0" borderId="112" xfId="4" applyNumberFormat="1" applyFont="1" applyFill="1" applyBorder="1" applyAlignment="1" applyProtection="1">
      <alignment vertical="center"/>
    </xf>
    <xf numFmtId="0" fontId="7" fillId="0" borderId="114" xfId="3" applyFont="1" applyBorder="1" applyAlignment="1" applyProtection="1">
      <alignment horizontal="left" vertical="center"/>
      <protection locked="0"/>
    </xf>
    <xf numFmtId="165" fontId="29" fillId="0" borderId="115" xfId="3" applyNumberFormat="1" applyFont="1" applyBorder="1" applyAlignment="1" applyProtection="1">
      <alignment horizontal="right" vertical="center"/>
      <protection locked="0"/>
    </xf>
    <xf numFmtId="165" fontId="7" fillId="0" borderId="116" xfId="3" applyNumberFormat="1" applyFont="1" applyBorder="1" applyAlignment="1">
      <alignment horizontal="right" vertical="center"/>
    </xf>
    <xf numFmtId="165" fontId="7" fillId="0" borderId="114" xfId="3" quotePrefix="1" applyNumberFormat="1" applyFont="1" applyBorder="1" applyAlignment="1">
      <alignment horizontal="right" vertical="center"/>
    </xf>
    <xf numFmtId="165" fontId="28" fillId="0" borderId="115" xfId="3" applyNumberFormat="1" applyFont="1" applyBorder="1" applyAlignment="1" applyProtection="1">
      <alignment horizontal="right" vertical="center"/>
      <protection locked="0"/>
    </xf>
    <xf numFmtId="165" fontId="28" fillId="0" borderId="116" xfId="3" applyNumberFormat="1" applyFont="1" applyBorder="1" applyAlignment="1">
      <alignment horizontal="right" vertical="center"/>
    </xf>
    <xf numFmtId="165" fontId="28" fillId="0" borderId="114" xfId="3" quotePrefix="1" applyNumberFormat="1" applyFont="1" applyBorder="1" applyAlignment="1">
      <alignment horizontal="right" vertical="center"/>
    </xf>
    <xf numFmtId="165" fontId="7" fillId="0" borderId="117" xfId="3" applyNumberFormat="1" applyFont="1" applyBorder="1" applyAlignment="1">
      <alignment vertical="center"/>
    </xf>
    <xf numFmtId="165" fontId="7" fillId="0" borderId="115" xfId="4" applyNumberFormat="1" applyFont="1" applyFill="1" applyBorder="1" applyAlignment="1" applyProtection="1">
      <alignment vertical="center"/>
      <protection locked="0"/>
    </xf>
    <xf numFmtId="165" fontId="7" fillId="0" borderId="116" xfId="4" applyNumberFormat="1" applyFont="1" applyFill="1" applyBorder="1" applyAlignment="1" applyProtection="1">
      <alignment vertical="center"/>
    </xf>
    <xf numFmtId="0" fontId="7" fillId="0" borderId="49" xfId="15" applyFont="1" applyBorder="1" applyAlignment="1" applyProtection="1">
      <alignment horizontal="left" vertical="center" indent="1"/>
      <protection locked="0"/>
    </xf>
    <xf numFmtId="165" fontId="28" fillId="0" borderId="116" xfId="16" applyNumberFormat="1" applyFont="1" applyBorder="1" applyAlignment="1">
      <alignment horizontal="right" vertical="center"/>
    </xf>
    <xf numFmtId="165" fontId="28" fillId="0" borderId="114" xfId="16" quotePrefix="1" applyNumberFormat="1" applyFont="1" applyBorder="1" applyAlignment="1">
      <alignment horizontal="right" vertical="center"/>
    </xf>
    <xf numFmtId="165" fontId="28" fillId="0" borderId="117" xfId="16" applyNumberFormat="1" applyFont="1" applyBorder="1" applyAlignment="1">
      <alignment vertical="center"/>
    </xf>
    <xf numFmtId="165" fontId="28" fillId="0" borderId="116" xfId="17" applyNumberFormat="1" applyFont="1" applyFill="1" applyBorder="1" applyAlignment="1" applyProtection="1">
      <alignment vertical="center"/>
    </xf>
    <xf numFmtId="0" fontId="29" fillId="0" borderId="114" xfId="3" applyFont="1" applyBorder="1" applyAlignment="1" applyProtection="1">
      <alignment horizontal="left" vertical="center"/>
      <protection locked="0"/>
    </xf>
    <xf numFmtId="165" fontId="7" fillId="0" borderId="114" xfId="3" applyNumberFormat="1" applyFont="1" applyBorder="1" applyAlignment="1">
      <alignment horizontal="right" vertical="center"/>
    </xf>
    <xf numFmtId="165" fontId="28" fillId="0" borderId="114" xfId="3" applyNumberFormat="1" applyFont="1" applyBorder="1" applyAlignment="1">
      <alignment horizontal="right" vertical="center"/>
    </xf>
    <xf numFmtId="165" fontId="7" fillId="0" borderId="115" xfId="3" applyNumberFormat="1" applyFont="1" applyBorder="1" applyAlignment="1" applyProtection="1">
      <alignment vertical="center"/>
      <protection locked="0"/>
    </xf>
    <xf numFmtId="165" fontId="7" fillId="0" borderId="116" xfId="3" applyNumberFormat="1" applyFont="1" applyBorder="1" applyAlignment="1">
      <alignment vertical="center"/>
    </xf>
    <xf numFmtId="0" fontId="17" fillId="0" borderId="106" xfId="3" applyFont="1" applyBorder="1" applyAlignment="1" applyProtection="1">
      <alignment horizontal="left" vertical="center"/>
      <protection locked="0"/>
    </xf>
    <xf numFmtId="41" fontId="29" fillId="0" borderId="107" xfId="3" applyNumberFormat="1" applyFont="1" applyBorder="1" applyAlignment="1" applyProtection="1">
      <alignment vertical="center"/>
      <protection locked="0"/>
    </xf>
    <xf numFmtId="41" fontId="7" fillId="0" borderId="108" xfId="3" applyNumberFormat="1" applyFont="1" applyBorder="1" applyAlignment="1">
      <alignment vertical="center"/>
    </xf>
    <xf numFmtId="41" fontId="7" fillId="0" borderId="106" xfId="3" applyNumberFormat="1" applyFont="1" applyBorder="1" applyAlignment="1">
      <alignment horizontal="right" vertical="center"/>
    </xf>
    <xf numFmtId="41" fontId="7" fillId="0" borderId="107" xfId="3" applyNumberFormat="1" applyFont="1" applyBorder="1" applyAlignment="1">
      <alignment vertical="center"/>
    </xf>
    <xf numFmtId="41" fontId="7" fillId="0" borderId="106" xfId="3" applyNumberFormat="1" applyFont="1" applyBorder="1" applyAlignment="1">
      <alignment vertical="center"/>
    </xf>
    <xf numFmtId="0" fontId="7" fillId="0" borderId="109" xfId="3" applyFont="1" applyBorder="1" applyAlignment="1">
      <alignment vertical="center"/>
    </xf>
    <xf numFmtId="41" fontId="7" fillId="0" borderId="107" xfId="4" applyNumberFormat="1" applyFont="1" applyFill="1" applyBorder="1" applyAlignment="1" applyProtection="1">
      <alignment vertical="center"/>
      <protection locked="0"/>
    </xf>
    <xf numFmtId="41" fontId="7" fillId="0" borderId="108" xfId="4" applyNumberFormat="1" applyFont="1" applyFill="1" applyBorder="1" applyAlignment="1" applyProtection="1">
      <alignment vertical="center"/>
    </xf>
    <xf numFmtId="0" fontId="7" fillId="0" borderId="118" xfId="3" applyFont="1" applyBorder="1" applyAlignment="1" applyProtection="1">
      <alignment horizontal="left" vertical="center"/>
      <protection locked="0"/>
    </xf>
    <xf numFmtId="167" fontId="29" fillId="0" borderId="119" xfId="3" applyNumberFormat="1" applyFont="1" applyBorder="1" applyAlignment="1" applyProtection="1">
      <alignment horizontal="right" vertical="center"/>
      <protection locked="0"/>
    </xf>
    <xf numFmtId="167" fontId="7" fillId="0" borderId="120" xfId="3" applyNumberFormat="1" applyFont="1" applyBorder="1" applyAlignment="1">
      <alignment horizontal="right" vertical="center"/>
    </xf>
    <xf numFmtId="167" fontId="7" fillId="0" borderId="118" xfId="3" applyNumberFormat="1" applyFont="1" applyBorder="1" applyAlignment="1">
      <alignment horizontal="right" vertical="center"/>
    </xf>
    <xf numFmtId="167" fontId="7" fillId="0" borderId="119" xfId="3" applyNumberFormat="1" applyFont="1" applyBorder="1" applyAlignment="1">
      <alignment vertical="center"/>
    </xf>
    <xf numFmtId="167" fontId="7" fillId="0" borderId="121" xfId="3" applyNumberFormat="1" applyFont="1" applyBorder="1" applyAlignment="1">
      <alignment vertical="center"/>
    </xf>
    <xf numFmtId="43" fontId="7" fillId="0" borderId="119" xfId="4" applyFont="1" applyFill="1" applyBorder="1" applyAlignment="1" applyProtection="1">
      <alignment horizontal="right" vertical="center"/>
      <protection locked="0"/>
    </xf>
    <xf numFmtId="167" fontId="7" fillId="0" borderId="120" xfId="4" applyNumberFormat="1" applyFont="1" applyFill="1" applyBorder="1" applyAlignment="1" applyProtection="1">
      <alignment vertical="center"/>
    </xf>
    <xf numFmtId="167" fontId="29" fillId="0" borderId="115" xfId="3" applyNumberFormat="1" applyFont="1" applyBorder="1" applyAlignment="1" applyProtection="1">
      <alignment horizontal="right" vertical="center"/>
      <protection locked="0"/>
    </xf>
    <xf numFmtId="167" fontId="7" fillId="0" borderId="116" xfId="3" applyNumberFormat="1" applyFont="1" applyBorder="1" applyAlignment="1">
      <alignment horizontal="right" vertical="center"/>
    </xf>
    <xf numFmtId="167" fontId="7" fillId="0" borderId="114" xfId="3" applyNumberFormat="1" applyFont="1" applyBorder="1" applyAlignment="1">
      <alignment horizontal="right" vertical="center"/>
    </xf>
    <xf numFmtId="167" fontId="7" fillId="0" borderId="115" xfId="3" applyNumberFormat="1" applyFont="1" applyBorder="1" applyAlignment="1">
      <alignment vertical="center"/>
    </xf>
    <xf numFmtId="167" fontId="7" fillId="0" borderId="117" xfId="3" applyNumberFormat="1" applyFont="1" applyBorder="1" applyAlignment="1">
      <alignment vertical="center"/>
    </xf>
    <xf numFmtId="167" fontId="7" fillId="0" borderId="115" xfId="4" applyNumberFormat="1" applyFont="1" applyFill="1" applyBorder="1" applyAlignment="1" applyProtection="1">
      <alignment horizontal="right" vertical="center"/>
      <protection locked="0"/>
    </xf>
    <xf numFmtId="167" fontId="7" fillId="0" borderId="116" xfId="4" applyNumberFormat="1" applyFont="1" applyFill="1" applyBorder="1" applyAlignment="1" applyProtection="1">
      <alignment vertical="center"/>
    </xf>
    <xf numFmtId="170" fontId="29" fillId="0" borderId="115" xfId="3" applyNumberFormat="1" applyFont="1" applyBorder="1" applyAlignment="1" applyProtection="1">
      <alignment vertical="center"/>
      <protection locked="0"/>
    </xf>
    <xf numFmtId="170" fontId="7" fillId="0" borderId="116" xfId="3" applyNumberFormat="1" applyFont="1" applyBorder="1" applyAlignment="1">
      <alignment vertical="center"/>
    </xf>
    <xf numFmtId="170" fontId="7" fillId="0" borderId="114" xfId="3" applyNumberFormat="1" applyFont="1" applyBorder="1" applyAlignment="1">
      <alignment horizontal="right" vertical="center"/>
    </xf>
    <xf numFmtId="170" fontId="7" fillId="0" borderId="115" xfId="3" applyNumberFormat="1" applyFont="1" applyBorder="1" applyAlignment="1">
      <alignment vertical="center"/>
    </xf>
    <xf numFmtId="170" fontId="7" fillId="0" borderId="116" xfId="3" applyNumberFormat="1" applyFont="1" applyBorder="1" applyAlignment="1">
      <alignment horizontal="right" vertical="center"/>
    </xf>
    <xf numFmtId="0" fontId="7" fillId="0" borderId="117" xfId="3" applyFont="1" applyBorder="1" applyAlignment="1">
      <alignment vertical="center"/>
    </xf>
    <xf numFmtId="0" fontId="7" fillId="0" borderId="114" xfId="3" applyFont="1" applyBorder="1" applyAlignment="1" applyProtection="1">
      <alignment horizontal="left" vertical="center" indent="1"/>
      <protection locked="0"/>
    </xf>
    <xf numFmtId="168" fontId="29" fillId="0" borderId="115" xfId="3" applyNumberFormat="1" applyFont="1" applyBorder="1" applyAlignment="1" applyProtection="1">
      <alignment horizontal="right" vertical="center"/>
      <protection locked="0"/>
    </xf>
    <xf numFmtId="168" fontId="7" fillId="0" borderId="116" xfId="3" applyNumberFormat="1" applyFont="1" applyBorder="1" applyAlignment="1">
      <alignment horizontal="right" vertical="center"/>
    </xf>
    <xf numFmtId="168" fontId="7" fillId="0" borderId="114" xfId="3" applyNumberFormat="1" applyFont="1" applyBorder="1" applyAlignment="1">
      <alignment horizontal="right" vertical="center"/>
    </xf>
    <xf numFmtId="168" fontId="28" fillId="0" borderId="115" xfId="3" applyNumberFormat="1" applyFont="1" applyBorder="1" applyAlignment="1" applyProtection="1">
      <alignment horizontal="right" vertical="center"/>
      <protection locked="0"/>
    </xf>
    <xf numFmtId="168" fontId="28" fillId="0" borderId="116" xfId="3" applyNumberFormat="1" applyFont="1" applyBorder="1" applyAlignment="1">
      <alignment horizontal="right" vertical="center"/>
    </xf>
    <xf numFmtId="168" fontId="28" fillId="0" borderId="114" xfId="3" applyNumberFormat="1" applyFont="1" applyBorder="1" applyAlignment="1">
      <alignment horizontal="right" vertical="center"/>
    </xf>
    <xf numFmtId="168" fontId="7" fillId="0" borderId="117" xfId="3" applyNumberFormat="1" applyFont="1" applyBorder="1" applyAlignment="1">
      <alignment vertical="center"/>
    </xf>
    <xf numFmtId="168" fontId="7" fillId="0" borderId="115" xfId="4" applyNumberFormat="1" applyFont="1" applyFill="1" applyBorder="1" applyAlignment="1" applyProtection="1">
      <alignment horizontal="right" vertical="center"/>
      <protection locked="0"/>
    </xf>
    <xf numFmtId="168" fontId="7" fillId="0" borderId="116" xfId="4" applyNumberFormat="1" applyFont="1" applyFill="1" applyBorder="1" applyAlignment="1" applyProtection="1">
      <alignment vertical="center"/>
    </xf>
    <xf numFmtId="0" fontId="20" fillId="0" borderId="114" xfId="3" applyFont="1" applyBorder="1" applyAlignment="1" applyProtection="1">
      <alignment horizontal="left" vertical="center"/>
      <protection locked="0"/>
    </xf>
    <xf numFmtId="169" fontId="20" fillId="0" borderId="115" xfId="3" applyNumberFormat="1" applyFont="1" applyBorder="1" applyAlignment="1" applyProtection="1">
      <alignment vertical="center"/>
      <protection locked="0"/>
    </xf>
    <xf numFmtId="169" fontId="19" fillId="0" borderId="116" xfId="3" applyNumberFormat="1" applyFont="1" applyBorder="1" applyAlignment="1">
      <alignment vertical="center"/>
    </xf>
    <xf numFmtId="169" fontId="19" fillId="0" borderId="114" xfId="3" applyNumberFormat="1" applyFont="1" applyBorder="1" applyAlignment="1">
      <alignment horizontal="right" vertical="center"/>
    </xf>
    <xf numFmtId="169" fontId="19" fillId="0" borderId="115" xfId="3" applyNumberFormat="1" applyFont="1" applyBorder="1" applyAlignment="1">
      <alignment vertical="center"/>
    </xf>
    <xf numFmtId="169" fontId="19" fillId="0" borderId="116" xfId="3" applyNumberFormat="1" applyFont="1" applyBorder="1" applyAlignment="1">
      <alignment horizontal="right" vertical="center"/>
    </xf>
    <xf numFmtId="0" fontId="19" fillId="0" borderId="117" xfId="3" applyFont="1" applyBorder="1" applyAlignment="1">
      <alignment vertical="center"/>
    </xf>
    <xf numFmtId="168" fontId="19" fillId="0" borderId="115" xfId="4" applyNumberFormat="1" applyFont="1" applyFill="1" applyBorder="1" applyAlignment="1" applyProtection="1">
      <alignment horizontal="right" vertical="center"/>
      <protection locked="0"/>
    </xf>
    <xf numFmtId="168" fontId="19" fillId="0" borderId="116" xfId="4" applyNumberFormat="1" applyFont="1" applyFill="1" applyBorder="1" applyAlignment="1" applyProtection="1">
      <alignment vertical="center"/>
    </xf>
    <xf numFmtId="0" fontId="19" fillId="0" borderId="114" xfId="3" applyFont="1" applyBorder="1" applyAlignment="1" applyProtection="1">
      <alignment horizontal="left" vertical="center" indent="1"/>
      <protection locked="0"/>
    </xf>
    <xf numFmtId="168" fontId="20" fillId="0" borderId="115" xfId="3" applyNumberFormat="1" applyFont="1" applyBorder="1" applyAlignment="1" applyProtection="1">
      <alignment horizontal="right" vertical="center"/>
      <protection locked="0"/>
    </xf>
    <xf numFmtId="168" fontId="19" fillId="0" borderId="116" xfId="3" applyNumberFormat="1" applyFont="1" applyBorder="1" applyAlignment="1">
      <alignment horizontal="right" vertical="center"/>
    </xf>
    <xf numFmtId="168" fontId="19" fillId="0" borderId="114" xfId="3" applyNumberFormat="1" applyFont="1" applyBorder="1" applyAlignment="1">
      <alignment horizontal="right" vertical="center"/>
    </xf>
    <xf numFmtId="168" fontId="19" fillId="0" borderId="115" xfId="3" applyNumberFormat="1" applyFont="1" applyBorder="1" applyAlignment="1">
      <alignment vertical="center"/>
    </xf>
    <xf numFmtId="168" fontId="19" fillId="0" borderId="117" xfId="3" applyNumberFormat="1" applyFont="1" applyBorder="1" applyAlignment="1">
      <alignment vertical="center"/>
    </xf>
    <xf numFmtId="0" fontId="19" fillId="0" borderId="122" xfId="3" applyFont="1" applyBorder="1" applyAlignment="1" applyProtection="1">
      <alignment horizontal="left" vertical="center" indent="1"/>
      <protection locked="0"/>
    </xf>
    <xf numFmtId="168" fontId="20" fillId="0" borderId="123" xfId="3" applyNumberFormat="1" applyFont="1" applyBorder="1" applyAlignment="1" applyProtection="1">
      <alignment horizontal="right" vertical="center"/>
      <protection locked="0"/>
    </xf>
    <xf numFmtId="168" fontId="19" fillId="0" borderId="124" xfId="3" applyNumberFormat="1" applyFont="1" applyBorder="1" applyAlignment="1">
      <alignment horizontal="right" vertical="center"/>
    </xf>
    <xf numFmtId="168" fontId="19" fillId="0" borderId="122" xfId="3" applyNumberFormat="1" applyFont="1" applyBorder="1" applyAlignment="1">
      <alignment horizontal="right" vertical="center"/>
    </xf>
    <xf numFmtId="168" fontId="19" fillId="0" borderId="123" xfId="4" applyNumberFormat="1" applyFont="1" applyFill="1" applyBorder="1" applyAlignment="1" applyProtection="1">
      <alignment horizontal="right" vertical="center"/>
      <protection locked="0"/>
    </xf>
    <xf numFmtId="168" fontId="19" fillId="0" borderId="124" xfId="4" applyNumberFormat="1" applyFont="1" applyFill="1" applyBorder="1" applyAlignment="1" applyProtection="1">
      <alignment vertical="center"/>
    </xf>
    <xf numFmtId="41" fontId="20" fillId="0" borderId="107" xfId="3" applyNumberFormat="1" applyFont="1" applyBorder="1" applyAlignment="1" applyProtection="1">
      <alignment vertical="center"/>
      <protection locked="0"/>
    </xf>
    <xf numFmtId="168" fontId="19" fillId="0" borderId="108" xfId="3" applyNumberFormat="1" applyFont="1" applyBorder="1" applyAlignment="1">
      <alignment vertical="center"/>
    </xf>
    <xf numFmtId="168" fontId="19" fillId="0" borderId="106" xfId="3" applyNumberFormat="1" applyFont="1" applyBorder="1" applyAlignment="1">
      <alignment horizontal="right" vertical="center"/>
    </xf>
    <xf numFmtId="168" fontId="19" fillId="0" borderId="107" xfId="3" applyNumberFormat="1" applyFont="1" applyBorder="1" applyAlignment="1">
      <alignment vertical="center"/>
    </xf>
    <xf numFmtId="168" fontId="19" fillId="0" borderId="108" xfId="3" applyNumberFormat="1" applyFont="1" applyBorder="1" applyAlignment="1">
      <alignment horizontal="right" vertical="center"/>
    </xf>
    <xf numFmtId="0" fontId="19" fillId="0" borderId="109" xfId="3" applyFont="1" applyBorder="1" applyAlignment="1">
      <alignment vertical="center"/>
    </xf>
    <xf numFmtId="168" fontId="19" fillId="0" borderId="107" xfId="4" applyNumberFormat="1" applyFont="1" applyFill="1" applyBorder="1" applyAlignment="1" applyProtection="1">
      <alignment horizontal="right" vertical="center"/>
      <protection locked="0"/>
    </xf>
    <xf numFmtId="168" fontId="19" fillId="0" borderId="108" xfId="4" applyNumberFormat="1" applyFont="1" applyFill="1" applyBorder="1" applyAlignment="1" applyProtection="1">
      <alignment vertical="center"/>
    </xf>
    <xf numFmtId="0" fontId="19" fillId="0" borderId="118" xfId="3" applyFont="1" applyBorder="1" applyAlignment="1" applyProtection="1">
      <alignment horizontal="left" vertical="center"/>
      <protection locked="0"/>
    </xf>
    <xf numFmtId="168" fontId="20" fillId="0" borderId="119" xfId="3" applyNumberFormat="1" applyFont="1" applyBorder="1" applyAlignment="1" applyProtection="1">
      <alignment horizontal="right" vertical="center"/>
      <protection locked="0"/>
    </xf>
    <xf numFmtId="168" fontId="19" fillId="0" borderId="120" xfId="3" applyNumberFormat="1" applyFont="1" applyBorder="1" applyAlignment="1">
      <alignment horizontal="right" vertical="center"/>
    </xf>
    <xf numFmtId="168" fontId="19" fillId="0" borderId="118" xfId="3" applyNumberFormat="1" applyFont="1" applyBorder="1" applyAlignment="1">
      <alignment horizontal="right" vertical="center"/>
    </xf>
    <xf numFmtId="168" fontId="19" fillId="0" borderId="119" xfId="3" applyNumberFormat="1" applyFont="1" applyBorder="1" applyAlignment="1">
      <alignment vertical="center"/>
    </xf>
    <xf numFmtId="168" fontId="19" fillId="0" borderId="121" xfId="3" applyNumberFormat="1" applyFont="1" applyBorder="1" applyAlignment="1">
      <alignment vertical="center"/>
    </xf>
    <xf numFmtId="168" fontId="19" fillId="0" borderId="119" xfId="4" applyNumberFormat="1" applyFont="1" applyFill="1" applyBorder="1" applyAlignment="1" applyProtection="1">
      <alignment horizontal="right" vertical="center"/>
      <protection locked="0"/>
    </xf>
    <xf numFmtId="168" fontId="19" fillId="0" borderId="120" xfId="4" applyNumberFormat="1" applyFont="1" applyFill="1" applyBorder="1" applyAlignment="1" applyProtection="1">
      <alignment vertical="center"/>
    </xf>
    <xf numFmtId="0" fontId="19" fillId="0" borderId="114" xfId="3" applyFont="1" applyBorder="1" applyAlignment="1" applyProtection="1">
      <alignment horizontal="left" vertical="center"/>
      <protection locked="0"/>
    </xf>
    <xf numFmtId="168" fontId="19" fillId="0" borderId="115" xfId="3" applyNumberFormat="1" applyFont="1" applyBorder="1" applyAlignment="1" applyProtection="1">
      <alignment horizontal="right" vertical="center"/>
      <protection locked="0"/>
    </xf>
    <xf numFmtId="168" fontId="19" fillId="0" borderId="116" xfId="3" applyNumberFormat="1" applyFont="1" applyBorder="1" applyAlignment="1">
      <alignment vertical="center"/>
    </xf>
    <xf numFmtId="168" fontId="19" fillId="0" borderId="115" xfId="3" applyNumberFormat="1" applyFont="1" applyBorder="1" applyAlignment="1">
      <alignment horizontal="right" vertical="center"/>
    </xf>
    <xf numFmtId="168" fontId="19" fillId="0" borderId="117" xfId="4" applyNumberFormat="1" applyFont="1" applyFill="1" applyBorder="1" applyAlignment="1" applyProtection="1">
      <alignment vertical="center"/>
    </xf>
    <xf numFmtId="0" fontId="20" fillId="0" borderId="125" xfId="3" applyFont="1" applyBorder="1" applyAlignment="1" applyProtection="1">
      <alignment horizontal="left" vertical="center"/>
      <protection locked="0"/>
    </xf>
    <xf numFmtId="168" fontId="20" fillId="0" borderId="126" xfId="3" applyNumberFormat="1" applyFont="1" applyBorder="1" applyAlignment="1" applyProtection="1">
      <alignment horizontal="right" vertical="center"/>
      <protection locked="0"/>
    </xf>
    <xf numFmtId="168" fontId="19" fillId="0" borderId="127" xfId="3" applyNumberFormat="1" applyFont="1" applyBorder="1" applyAlignment="1">
      <alignment horizontal="right" vertical="center"/>
    </xf>
    <xf numFmtId="168" fontId="19" fillId="0" borderId="125" xfId="3" applyNumberFormat="1" applyFont="1" applyBorder="1" applyAlignment="1">
      <alignment horizontal="right" vertical="center"/>
    </xf>
    <xf numFmtId="168" fontId="19" fillId="0" borderId="126" xfId="3" applyNumberFormat="1" applyFont="1" applyBorder="1" applyAlignment="1">
      <alignment vertical="center"/>
    </xf>
    <xf numFmtId="168" fontId="19" fillId="0" borderId="128" xfId="3" applyNumberFormat="1" applyFont="1" applyBorder="1" applyAlignment="1">
      <alignment vertical="center"/>
    </xf>
    <xf numFmtId="168" fontId="19" fillId="0" borderId="126" xfId="4" applyNumberFormat="1" applyFont="1" applyFill="1" applyBorder="1" applyAlignment="1" applyProtection="1">
      <alignment horizontal="right" vertical="center"/>
      <protection locked="0"/>
    </xf>
    <xf numFmtId="168" fontId="19" fillId="0" borderId="127" xfId="4" applyNumberFormat="1" applyFont="1" applyFill="1" applyBorder="1" applyAlignment="1" applyProtection="1">
      <alignment vertical="center"/>
    </xf>
    <xf numFmtId="0" fontId="19" fillId="0" borderId="129" xfId="3" applyFont="1" applyBorder="1" applyAlignment="1" applyProtection="1">
      <alignment horizontal="left" vertical="center"/>
      <protection locked="0"/>
    </xf>
    <xf numFmtId="168" fontId="20" fillId="0" borderId="130" xfId="3" applyNumberFormat="1" applyFont="1" applyBorder="1" applyAlignment="1" applyProtection="1">
      <alignment horizontal="right" vertical="center"/>
      <protection locked="0"/>
    </xf>
    <xf numFmtId="168" fontId="19" fillId="0" borderId="131" xfId="3" applyNumberFormat="1" applyFont="1" applyBorder="1" applyAlignment="1">
      <alignment horizontal="right" vertical="center"/>
    </xf>
    <xf numFmtId="168" fontId="19" fillId="0" borderId="129" xfId="3" applyNumberFormat="1" applyFont="1" applyBorder="1" applyAlignment="1">
      <alignment horizontal="right" vertical="center"/>
    </xf>
    <xf numFmtId="168" fontId="19" fillId="0" borderId="130" xfId="3" applyNumberFormat="1" applyFont="1" applyBorder="1" applyAlignment="1">
      <alignment horizontal="right" vertical="center"/>
    </xf>
    <xf numFmtId="168" fontId="19" fillId="0" borderId="132" xfId="3" applyNumberFormat="1" applyFont="1" applyBorder="1" applyAlignment="1">
      <alignment vertical="center"/>
    </xf>
    <xf numFmtId="168" fontId="19" fillId="0" borderId="130" xfId="4" applyNumberFormat="1" applyFont="1" applyFill="1" applyBorder="1" applyAlignment="1" applyProtection="1">
      <alignment horizontal="right" vertical="center"/>
      <protection locked="0"/>
    </xf>
    <xf numFmtId="168" fontId="19" fillId="0" borderId="131" xfId="4" applyNumberFormat="1" applyFont="1" applyFill="1" applyBorder="1" applyAlignment="1" applyProtection="1">
      <alignment vertical="center"/>
    </xf>
    <xf numFmtId="168" fontId="7" fillId="0" borderId="115" xfId="3" applyNumberFormat="1" applyFont="1" applyBorder="1" applyAlignment="1">
      <alignment horizontal="right" vertical="center"/>
    </xf>
    <xf numFmtId="0" fontId="17" fillId="0" borderId="133" xfId="3" applyFont="1" applyBorder="1" applyAlignment="1" applyProtection="1">
      <alignment horizontal="left" vertical="center"/>
      <protection locked="0"/>
    </xf>
    <xf numFmtId="41" fontId="29" fillId="0" borderId="134" xfId="3" applyNumberFormat="1" applyFont="1" applyBorder="1" applyAlignment="1" applyProtection="1">
      <alignment vertical="center"/>
      <protection locked="0"/>
    </xf>
    <xf numFmtId="168" fontId="7" fillId="0" borderId="43" xfId="3" applyNumberFormat="1" applyFont="1" applyBorder="1" applyAlignment="1">
      <alignment vertical="center"/>
    </xf>
    <xf numFmtId="168" fontId="7" fillId="0" borderId="133" xfId="3" applyNumberFormat="1" applyFont="1" applyBorder="1" applyAlignment="1">
      <alignment horizontal="right" vertical="center"/>
    </xf>
    <xf numFmtId="168" fontId="7" fillId="0" borderId="134" xfId="3" applyNumberFormat="1" applyFont="1" applyBorder="1" applyAlignment="1">
      <alignment vertical="center"/>
    </xf>
    <xf numFmtId="168" fontId="7" fillId="0" borderId="133" xfId="3" applyNumberFormat="1" applyFont="1" applyBorder="1" applyAlignment="1">
      <alignment vertical="center"/>
    </xf>
    <xf numFmtId="0" fontId="7" fillId="0" borderId="135" xfId="3" applyFont="1" applyBorder="1" applyAlignment="1">
      <alignment vertical="center"/>
    </xf>
    <xf numFmtId="168" fontId="7" fillId="0" borderId="134" xfId="4" applyNumberFormat="1" applyFont="1" applyFill="1" applyBorder="1" applyAlignment="1" applyProtection="1">
      <alignment horizontal="right" vertical="center"/>
      <protection locked="0"/>
    </xf>
    <xf numFmtId="168" fontId="7" fillId="0" borderId="43" xfId="4" applyNumberFormat="1" applyFont="1" applyFill="1" applyBorder="1" applyAlignment="1" applyProtection="1">
      <alignment vertical="center"/>
    </xf>
    <xf numFmtId="165" fontId="7" fillId="0" borderId="136" xfId="3" applyNumberFormat="1" applyFont="1" applyBorder="1" applyAlignment="1">
      <alignment horizontal="right" vertical="center"/>
    </xf>
    <xf numFmtId="165" fontId="7" fillId="0" borderId="115" xfId="3" applyNumberFormat="1" applyFont="1" applyBorder="1" applyAlignment="1">
      <alignment vertical="center"/>
    </xf>
    <xf numFmtId="165" fontId="7" fillId="0" borderId="114" xfId="3" applyNumberFormat="1" applyFont="1" applyBorder="1" applyAlignment="1">
      <alignment vertical="center"/>
    </xf>
    <xf numFmtId="165" fontId="7" fillId="0" borderId="137" xfId="4" applyNumberFormat="1" applyFont="1" applyFill="1" applyBorder="1" applyAlignment="1" applyProtection="1">
      <alignment horizontal="right" vertical="center"/>
      <protection locked="0"/>
    </xf>
    <xf numFmtId="165" fontId="7" fillId="0" borderId="54" xfId="4" applyNumberFormat="1" applyFont="1" applyFill="1" applyBorder="1" applyAlignment="1" applyProtection="1">
      <alignment vertical="center"/>
    </xf>
    <xf numFmtId="165" fontId="7" fillId="0" borderId="138" xfId="4" applyNumberFormat="1" applyFont="1" applyFill="1" applyBorder="1" applyAlignment="1" applyProtection="1">
      <alignment horizontal="right" vertical="center"/>
      <protection locked="0"/>
    </xf>
    <xf numFmtId="165" fontId="7" fillId="0" borderId="0" xfId="4" applyNumberFormat="1" applyFont="1" applyFill="1" applyBorder="1" applyAlignment="1" applyProtection="1">
      <alignment vertical="center"/>
    </xf>
    <xf numFmtId="165" fontId="29" fillId="0" borderId="115" xfId="3" applyNumberFormat="1" applyFont="1" applyBorder="1" applyAlignment="1">
      <alignment horizontal="right" vertical="center"/>
    </xf>
    <xf numFmtId="165" fontId="7" fillId="0" borderId="111" xfId="4" applyNumberFormat="1" applyFont="1" applyFill="1" applyBorder="1" applyAlignment="1" applyProtection="1">
      <alignment horizontal="right" vertical="center"/>
      <protection locked="0"/>
    </xf>
    <xf numFmtId="0" fontId="7" fillId="0" borderId="139" xfId="3" applyFont="1" applyBorder="1" applyAlignment="1" applyProtection="1">
      <alignment horizontal="left" vertical="center"/>
      <protection locked="0"/>
    </xf>
    <xf numFmtId="165" fontId="29" fillId="0" borderId="140" xfId="3" applyNumberFormat="1" applyFont="1" applyBorder="1" applyAlignment="1" applyProtection="1">
      <alignment horizontal="right" vertical="center"/>
      <protection locked="0"/>
    </xf>
    <xf numFmtId="165" fontId="7" fillId="0" borderId="141" xfId="3" applyNumberFormat="1" applyFont="1" applyBorder="1" applyAlignment="1">
      <alignment horizontal="right" vertical="center"/>
    </xf>
    <xf numFmtId="165" fontId="7" fillId="0" borderId="139" xfId="3" applyNumberFormat="1" applyFont="1" applyBorder="1" applyAlignment="1">
      <alignment horizontal="right" vertical="center"/>
    </xf>
    <xf numFmtId="165" fontId="7" fillId="0" borderId="140" xfId="3" applyNumberFormat="1" applyFont="1" applyBorder="1" applyAlignment="1">
      <alignment vertical="center"/>
    </xf>
    <xf numFmtId="165" fontId="7" fillId="0" borderId="141" xfId="3" applyNumberFormat="1" applyFont="1" applyBorder="1" applyAlignment="1">
      <alignment vertical="center"/>
    </xf>
    <xf numFmtId="165" fontId="7" fillId="0" borderId="139" xfId="3" applyNumberFormat="1" applyFont="1" applyBorder="1" applyAlignment="1">
      <alignment vertical="center"/>
    </xf>
    <xf numFmtId="165" fontId="7" fillId="0" borderId="142" xfId="3" applyNumberFormat="1" applyFont="1" applyBorder="1" applyAlignment="1">
      <alignment vertical="center"/>
    </xf>
    <xf numFmtId="165" fontId="7" fillId="0" borderId="140" xfId="4" applyNumberFormat="1" applyFont="1" applyFill="1" applyBorder="1" applyAlignment="1" applyProtection="1">
      <alignment horizontal="right" vertical="center"/>
      <protection locked="0"/>
    </xf>
    <xf numFmtId="165" fontId="7" fillId="0" borderId="40" xfId="4" applyNumberFormat="1" applyFont="1" applyFill="1" applyBorder="1" applyAlignment="1" applyProtection="1">
      <alignment vertical="center"/>
    </xf>
    <xf numFmtId="0" fontId="39" fillId="0" borderId="54" xfId="3" applyFont="1" applyBorder="1" applyAlignment="1" applyProtection="1">
      <alignment horizontal="left" vertical="center"/>
      <protection locked="0"/>
    </xf>
    <xf numFmtId="169" fontId="39" fillId="0" borderId="54" xfId="3" applyNumberFormat="1" applyFont="1" applyBorder="1" applyAlignment="1" applyProtection="1">
      <alignment vertical="center"/>
      <protection locked="0"/>
    </xf>
    <xf numFmtId="169" fontId="40" fillId="0" borderId="54" xfId="3" applyNumberFormat="1" applyFont="1" applyBorder="1" applyAlignment="1" applyProtection="1">
      <alignment vertical="center"/>
      <protection locked="0"/>
    </xf>
    <xf numFmtId="169" fontId="40" fillId="0" borderId="54" xfId="4" applyNumberFormat="1" applyFont="1" applyBorder="1" applyAlignment="1" applyProtection="1">
      <alignment vertical="center"/>
      <protection locked="0"/>
    </xf>
    <xf numFmtId="0" fontId="23" fillId="0" borderId="0" xfId="3" quotePrefix="1" applyFont="1" applyAlignment="1" applyProtection="1">
      <alignment horizontal="left" vertical="center"/>
      <protection locked="0"/>
    </xf>
    <xf numFmtId="0" fontId="22" fillId="0" borderId="0" xfId="3" quotePrefix="1" applyFont="1" applyAlignment="1" applyProtection="1">
      <alignment horizontal="left" vertical="center"/>
      <protection locked="0"/>
    </xf>
    <xf numFmtId="0" fontId="53" fillId="0" borderId="106" xfId="3" applyFont="1" applyBorder="1" applyAlignment="1">
      <alignment horizontal="left" vertical="center"/>
    </xf>
    <xf numFmtId="0" fontId="54" fillId="0" borderId="107" xfId="3" applyFont="1" applyBorder="1" applyAlignment="1">
      <alignment horizontal="center" vertical="center"/>
    </xf>
    <xf numFmtId="0" fontId="29" fillId="0" borderId="106" xfId="3" applyFont="1" applyBorder="1" applyAlignment="1">
      <alignment horizontal="left" vertical="center"/>
    </xf>
    <xf numFmtId="0" fontId="29" fillId="0" borderId="107" xfId="3" applyFont="1" applyBorder="1" applyAlignment="1">
      <alignment horizontal="right" vertical="center"/>
    </xf>
    <xf numFmtId="0" fontId="7" fillId="0" borderId="108" xfId="3" applyFont="1" applyBorder="1" applyAlignment="1">
      <alignment horizontal="right" vertical="center"/>
    </xf>
    <xf numFmtId="0" fontId="7" fillId="0" borderId="106" xfId="3" applyFont="1" applyBorder="1" applyAlignment="1">
      <alignment horizontal="right" vertical="center"/>
    </xf>
    <xf numFmtId="0" fontId="7" fillId="0" borderId="107" xfId="4" applyNumberFormat="1" applyFont="1" applyFill="1" applyBorder="1" applyAlignment="1">
      <alignment horizontal="right" vertical="center"/>
    </xf>
    <xf numFmtId="0" fontId="7" fillId="0" borderId="108" xfId="4" applyNumberFormat="1" applyFont="1" applyFill="1" applyBorder="1" applyAlignment="1">
      <alignment horizontal="right" vertical="center"/>
    </xf>
    <xf numFmtId="0" fontId="7" fillId="0" borderId="106" xfId="4" applyNumberFormat="1" applyFont="1" applyFill="1" applyBorder="1" applyAlignment="1">
      <alignment horizontal="right" vertical="center"/>
    </xf>
    <xf numFmtId="0" fontId="7" fillId="0" borderId="109" xfId="4" applyNumberFormat="1" applyFont="1" applyFill="1" applyBorder="1" applyAlignment="1">
      <alignment horizontal="right" vertical="center"/>
    </xf>
    <xf numFmtId="0" fontId="7" fillId="0" borderId="108" xfId="4" applyNumberFormat="1" applyFont="1" applyFill="1" applyBorder="1" applyAlignment="1">
      <alignment horizontal="center" vertical="center"/>
    </xf>
    <xf numFmtId="0" fontId="17" fillId="0" borderId="110" xfId="3" applyFont="1" applyBorder="1" applyAlignment="1">
      <alignment horizontal="left" vertical="center"/>
    </xf>
    <xf numFmtId="0" fontId="29" fillId="0" borderId="111" xfId="3" applyFont="1" applyBorder="1" applyAlignment="1">
      <alignment vertical="center"/>
    </xf>
    <xf numFmtId="0" fontId="7" fillId="0" borderId="112" xfId="3" applyFont="1" applyBorder="1" applyAlignment="1">
      <alignment vertical="center"/>
    </xf>
    <xf numFmtId="0" fontId="7" fillId="0" borderId="112" xfId="3" applyFont="1" applyBorder="1" applyAlignment="1">
      <alignment horizontal="right" vertical="center"/>
    </xf>
    <xf numFmtId="0" fontId="7" fillId="0" borderId="110" xfId="3" applyFont="1" applyBorder="1" applyAlignment="1">
      <alignment horizontal="right" vertical="center"/>
    </xf>
    <xf numFmtId="0" fontId="7" fillId="0" borderId="111" xfId="4" applyNumberFormat="1" applyFont="1" applyFill="1" applyBorder="1" applyAlignment="1">
      <alignment horizontal="left" vertical="center"/>
    </xf>
    <xf numFmtId="0" fontId="7" fillId="0" borderId="112" xfId="4" applyNumberFormat="1" applyFont="1" applyFill="1" applyBorder="1" applyAlignment="1">
      <alignment horizontal="left" vertical="center"/>
    </xf>
    <xf numFmtId="0" fontId="7" fillId="0" borderId="110" xfId="4" applyNumberFormat="1" applyFont="1" applyFill="1" applyBorder="1" applyAlignment="1">
      <alignment horizontal="left" vertical="center"/>
    </xf>
    <xf numFmtId="0" fontId="7" fillId="0" borderId="113" xfId="4" applyNumberFormat="1" applyFont="1" applyFill="1" applyBorder="1" applyAlignment="1">
      <alignment horizontal="left" vertical="center"/>
    </xf>
    <xf numFmtId="0" fontId="7" fillId="0" borderId="111" xfId="4" applyNumberFormat="1" applyFont="1" applyFill="1" applyBorder="1" applyAlignment="1">
      <alignment vertical="center"/>
    </xf>
    <xf numFmtId="0" fontId="7" fillId="0" borderId="112" xfId="4" applyNumberFormat="1" applyFont="1" applyFill="1" applyBorder="1" applyAlignment="1">
      <alignment vertical="center"/>
    </xf>
    <xf numFmtId="0" fontId="7" fillId="0" borderId="114" xfId="3" applyFont="1" applyBorder="1" applyAlignment="1">
      <alignment horizontal="left" vertical="center"/>
    </xf>
    <xf numFmtId="165" fontId="7" fillId="0" borderId="116" xfId="3" quotePrefix="1" applyNumberFormat="1" applyFont="1" applyBorder="1" applyAlignment="1">
      <alignment horizontal="right" vertical="center"/>
    </xf>
    <xf numFmtId="173" fontId="7" fillId="0" borderId="115" xfId="3" applyNumberFormat="1" applyFont="1" applyBorder="1" applyAlignment="1">
      <alignment vertical="center"/>
    </xf>
    <xf numFmtId="165" fontId="7" fillId="0" borderId="115" xfId="4" applyNumberFormat="1" applyFont="1" applyFill="1" applyBorder="1" applyAlignment="1">
      <alignment vertical="center"/>
    </xf>
    <xf numFmtId="165" fontId="7" fillId="0" borderId="116" xfId="4" applyNumberFormat="1" applyFont="1" applyFill="1" applyBorder="1" applyAlignment="1">
      <alignment vertical="center"/>
    </xf>
    <xf numFmtId="0" fontId="7" fillId="0" borderId="49" xfId="16" applyFont="1" applyBorder="1" applyAlignment="1">
      <alignment horizontal="left" vertical="center" indent="1"/>
    </xf>
    <xf numFmtId="165" fontId="28" fillId="0" borderId="116" xfId="16" quotePrefix="1" applyNumberFormat="1" applyFont="1" applyBorder="1" applyAlignment="1">
      <alignment horizontal="right" vertical="center"/>
    </xf>
    <xf numFmtId="165" fontId="28" fillId="0" borderId="115" xfId="16" applyNumberFormat="1" applyFont="1" applyBorder="1" applyAlignment="1">
      <alignment vertical="center"/>
    </xf>
    <xf numFmtId="165" fontId="28" fillId="0" borderId="116" xfId="16" applyNumberFormat="1" applyFont="1" applyBorder="1" applyAlignment="1">
      <alignment vertical="center"/>
    </xf>
    <xf numFmtId="165" fontId="28" fillId="0" borderId="114" xfId="16" applyNumberFormat="1" applyFont="1" applyBorder="1" applyAlignment="1">
      <alignment vertical="center"/>
    </xf>
    <xf numFmtId="165" fontId="28" fillId="0" borderId="116" xfId="17" applyNumberFormat="1" applyFont="1" applyFill="1" applyBorder="1" applyAlignment="1">
      <alignment vertical="center"/>
    </xf>
    <xf numFmtId="0" fontId="29" fillId="0" borderId="114" xfId="3" applyFont="1" applyBorder="1" applyAlignment="1">
      <alignment horizontal="left" vertical="center"/>
    </xf>
    <xf numFmtId="165" fontId="20" fillId="0" borderId="115" xfId="3" applyNumberFormat="1" applyFont="1" applyBorder="1" applyAlignment="1">
      <alignment horizontal="right" vertical="center"/>
    </xf>
    <xf numFmtId="165" fontId="19" fillId="0" borderId="116" xfId="3" applyNumberFormat="1" applyFont="1" applyBorder="1" applyAlignment="1">
      <alignment horizontal="right" vertical="center"/>
    </xf>
    <xf numFmtId="165" fontId="19" fillId="0" borderId="114" xfId="3" applyNumberFormat="1" applyFont="1" applyBorder="1" applyAlignment="1">
      <alignment horizontal="right" vertical="center"/>
    </xf>
    <xf numFmtId="0" fontId="17" fillId="0" borderId="106" xfId="3" applyFont="1" applyBorder="1" applyAlignment="1">
      <alignment horizontal="left" vertical="center"/>
    </xf>
    <xf numFmtId="0" fontId="20" fillId="0" borderId="107" xfId="3" applyFont="1" applyBorder="1" applyAlignment="1">
      <alignment horizontal="right" vertical="center"/>
    </xf>
    <xf numFmtId="0" fontId="19" fillId="0" borderId="108" xfId="3" applyFont="1" applyBorder="1" applyAlignment="1">
      <alignment horizontal="right" vertical="center"/>
    </xf>
    <xf numFmtId="0" fontId="19" fillId="0" borderId="106" xfId="3" applyFont="1" applyBorder="1" applyAlignment="1">
      <alignment horizontal="right" vertical="center"/>
    </xf>
    <xf numFmtId="0" fontId="7" fillId="0" borderId="107" xfId="3" applyFont="1" applyBorder="1" applyAlignment="1">
      <alignment vertical="center"/>
    </xf>
    <xf numFmtId="0" fontId="7" fillId="0" borderId="108" xfId="3" applyFont="1" applyBorder="1" applyAlignment="1">
      <alignment vertical="center"/>
    </xf>
    <xf numFmtId="0" fontId="7" fillId="0" borderId="106" xfId="3" applyFont="1" applyBorder="1" applyAlignment="1">
      <alignment vertical="center"/>
    </xf>
    <xf numFmtId="0" fontId="7" fillId="0" borderId="107" xfId="4" applyNumberFormat="1" applyFont="1" applyFill="1" applyBorder="1" applyAlignment="1">
      <alignment vertical="center"/>
    </xf>
    <xf numFmtId="0" fontId="7" fillId="0" borderId="108" xfId="4" applyNumberFormat="1" applyFont="1" applyFill="1" applyBorder="1" applyAlignment="1">
      <alignment vertical="center"/>
    </xf>
    <xf numFmtId="0" fontId="7" fillId="0" borderId="118" xfId="3" applyFont="1" applyBorder="1" applyAlignment="1">
      <alignment horizontal="left" vertical="center"/>
    </xf>
    <xf numFmtId="167" fontId="20" fillId="0" borderId="119" xfId="3" applyNumberFormat="1" applyFont="1" applyBorder="1" applyAlignment="1">
      <alignment horizontal="right" vertical="center"/>
    </xf>
    <xf numFmtId="167" fontId="19" fillId="0" borderId="120" xfId="3" applyNumberFormat="1" applyFont="1" applyBorder="1" applyAlignment="1">
      <alignment horizontal="right" vertical="center"/>
    </xf>
    <xf numFmtId="167" fontId="19" fillId="0" borderId="118" xfId="3" applyNumberFormat="1" applyFont="1" applyBorder="1" applyAlignment="1">
      <alignment horizontal="right" vertical="center"/>
    </xf>
    <xf numFmtId="167" fontId="7" fillId="0" borderId="119" xfId="4" applyNumberFormat="1" applyFont="1" applyFill="1" applyBorder="1" applyAlignment="1">
      <alignment horizontal="right" vertical="center"/>
    </xf>
    <xf numFmtId="167" fontId="7" fillId="0" borderId="120" xfId="4" applyNumberFormat="1" applyFont="1" applyFill="1" applyBorder="1" applyAlignment="1">
      <alignment vertical="center"/>
    </xf>
    <xf numFmtId="167" fontId="20" fillId="0" borderId="115" xfId="3" applyNumberFormat="1" applyFont="1" applyBorder="1" applyAlignment="1">
      <alignment horizontal="right" vertical="center"/>
    </xf>
    <xf numFmtId="167" fontId="19" fillId="0" borderId="116" xfId="3" applyNumberFormat="1" applyFont="1" applyBorder="1" applyAlignment="1">
      <alignment horizontal="right" vertical="center"/>
    </xf>
    <xf numFmtId="167" fontId="19" fillId="0" borderId="114" xfId="3" applyNumberFormat="1" applyFont="1" applyBorder="1" applyAlignment="1">
      <alignment horizontal="right" vertical="center"/>
    </xf>
    <xf numFmtId="167" fontId="7" fillId="0" borderId="115" xfId="4" applyNumberFormat="1" applyFont="1" applyFill="1" applyBorder="1" applyAlignment="1">
      <alignment horizontal="right" vertical="center"/>
    </xf>
    <xf numFmtId="167" fontId="7" fillId="0" borderId="116" xfId="4" applyNumberFormat="1" applyFont="1" applyFill="1" applyBorder="1" applyAlignment="1">
      <alignment vertical="center"/>
    </xf>
    <xf numFmtId="0" fontId="29" fillId="0" borderId="115" xfId="3" applyFont="1" applyBorder="1" applyAlignment="1">
      <alignment horizontal="right" vertical="center"/>
    </xf>
    <xf numFmtId="0" fontId="7" fillId="0" borderId="116" xfId="3" applyFont="1" applyBorder="1" applyAlignment="1">
      <alignment horizontal="right" vertical="center"/>
    </xf>
    <xf numFmtId="0" fontId="7" fillId="0" borderId="114" xfId="3" applyFont="1" applyBorder="1" applyAlignment="1">
      <alignment horizontal="right" vertical="center"/>
    </xf>
    <xf numFmtId="0" fontId="7" fillId="0" borderId="115" xfId="3" applyFont="1" applyBorder="1" applyAlignment="1">
      <alignment vertical="center"/>
    </xf>
    <xf numFmtId="0" fontId="7" fillId="0" borderId="115" xfId="4" applyNumberFormat="1" applyFont="1" applyFill="1" applyBorder="1" applyAlignment="1">
      <alignment horizontal="right" vertical="center"/>
    </xf>
    <xf numFmtId="0" fontId="7" fillId="0" borderId="116" xfId="4" applyNumberFormat="1" applyFont="1" applyFill="1" applyBorder="1" applyAlignment="1">
      <alignment vertical="center"/>
    </xf>
    <xf numFmtId="0" fontId="7" fillId="0" borderId="114" xfId="3" applyFont="1" applyBorder="1" applyAlignment="1">
      <alignment horizontal="left" vertical="center" indent="1"/>
    </xf>
    <xf numFmtId="168" fontId="29" fillId="0" borderId="115" xfId="3" applyNumberFormat="1" applyFont="1" applyBorder="1" applyAlignment="1">
      <alignment horizontal="right" vertical="center"/>
    </xf>
    <xf numFmtId="168" fontId="7" fillId="0" borderId="115" xfId="3" applyNumberFormat="1" applyFont="1" applyBorder="1" applyAlignment="1">
      <alignment vertical="center"/>
    </xf>
    <xf numFmtId="168" fontId="7" fillId="0" borderId="115" xfId="4" applyNumberFormat="1" applyFont="1" applyFill="1" applyBorder="1" applyAlignment="1">
      <alignment horizontal="right" vertical="center"/>
    </xf>
    <xf numFmtId="168" fontId="7" fillId="0" borderId="116" xfId="4" applyNumberFormat="1" applyFont="1" applyFill="1" applyBorder="1" applyAlignment="1">
      <alignment vertical="center"/>
    </xf>
    <xf numFmtId="167" fontId="29" fillId="0" borderId="115" xfId="3" applyNumberFormat="1" applyFont="1" applyBorder="1" applyAlignment="1">
      <alignment horizontal="right" vertical="center"/>
    </xf>
    <xf numFmtId="0" fontId="7" fillId="0" borderId="122" xfId="3" applyFont="1" applyBorder="1" applyAlignment="1">
      <alignment horizontal="left" vertical="center" indent="1"/>
    </xf>
    <xf numFmtId="168" fontId="7" fillId="0" borderId="124" xfId="3" applyNumberFormat="1" applyFont="1" applyBorder="1" applyAlignment="1">
      <alignment horizontal="right" vertical="center"/>
    </xf>
    <xf numFmtId="168" fontId="7" fillId="0" borderId="122" xfId="3" applyNumberFormat="1" applyFont="1" applyBorder="1" applyAlignment="1">
      <alignment horizontal="right" vertical="center"/>
    </xf>
    <xf numFmtId="168" fontId="7" fillId="0" borderId="123" xfId="4" applyNumberFormat="1" applyFont="1" applyFill="1" applyBorder="1" applyAlignment="1">
      <alignment horizontal="right" vertical="center"/>
    </xf>
    <xf numFmtId="168" fontId="7" fillId="0" borderId="124" xfId="4" applyNumberFormat="1" applyFont="1" applyFill="1" applyBorder="1" applyAlignment="1">
      <alignment vertical="center"/>
    </xf>
    <xf numFmtId="168" fontId="20" fillId="0" borderId="119" xfId="3" applyNumberFormat="1" applyFont="1" applyBorder="1" applyAlignment="1">
      <alignment horizontal="right" vertical="center"/>
    </xf>
    <xf numFmtId="168" fontId="7" fillId="0" borderId="119" xfId="3" applyNumberFormat="1" applyFont="1" applyBorder="1" applyAlignment="1">
      <alignment vertical="center"/>
    </xf>
    <xf numFmtId="168" fontId="7" fillId="0" borderId="120" xfId="3" applyNumberFormat="1" applyFont="1" applyBorder="1" applyAlignment="1">
      <alignment vertical="center"/>
    </xf>
    <xf numFmtId="168" fontId="7" fillId="0" borderId="118" xfId="3" applyNumberFormat="1" applyFont="1" applyBorder="1" applyAlignment="1">
      <alignment vertical="center"/>
    </xf>
    <xf numFmtId="168" fontId="7" fillId="0" borderId="121" xfId="3" applyNumberFormat="1" applyFont="1" applyBorder="1" applyAlignment="1">
      <alignment vertical="center"/>
    </xf>
    <xf numFmtId="168" fontId="7" fillId="0" borderId="119" xfId="4" applyNumberFormat="1" applyFont="1" applyFill="1" applyBorder="1" applyAlignment="1">
      <alignment horizontal="right" vertical="center"/>
    </xf>
    <xf numFmtId="168" fontId="7" fillId="0" borderId="120" xfId="4" applyNumberFormat="1" applyFont="1" applyFill="1" applyBorder="1" applyAlignment="1">
      <alignment vertical="center"/>
    </xf>
    <xf numFmtId="168" fontId="20" fillId="0" borderId="115" xfId="3" applyNumberFormat="1" applyFont="1" applyBorder="1" applyAlignment="1">
      <alignment horizontal="right" vertical="center"/>
    </xf>
    <xf numFmtId="168" fontId="19" fillId="0" borderId="112" xfId="3" applyNumberFormat="1" applyFont="1" applyBorder="1" applyAlignment="1">
      <alignment horizontal="right" vertical="center"/>
    </xf>
    <xf numFmtId="168" fontId="19" fillId="0" borderId="110" xfId="3" applyNumberFormat="1" applyFont="1" applyBorder="1" applyAlignment="1">
      <alignment horizontal="right" vertical="center"/>
    </xf>
    <xf numFmtId="168" fontId="7" fillId="0" borderId="116" xfId="3" applyNumberFormat="1" applyFont="1" applyBorder="1" applyAlignment="1">
      <alignment vertical="center"/>
    </xf>
    <xf numFmtId="168" fontId="7" fillId="0" borderId="114" xfId="3" applyNumberFormat="1" applyFont="1" applyBorder="1" applyAlignment="1">
      <alignment vertical="center"/>
    </xf>
    <xf numFmtId="0" fontId="29" fillId="0" borderId="125" xfId="3" applyFont="1" applyBorder="1" applyAlignment="1">
      <alignment horizontal="left" vertical="center"/>
    </xf>
    <xf numFmtId="168" fontId="20" fillId="0" borderId="126" xfId="3" applyNumberFormat="1" applyFont="1" applyBorder="1" applyAlignment="1">
      <alignment horizontal="right" vertical="center"/>
    </xf>
    <xf numFmtId="168" fontId="7" fillId="0" borderId="126" xfId="3" applyNumberFormat="1" applyFont="1" applyBorder="1" applyAlignment="1">
      <alignment vertical="center"/>
    </xf>
    <xf numFmtId="168" fontId="7" fillId="0" borderId="127" xfId="3" applyNumberFormat="1" applyFont="1" applyBorder="1" applyAlignment="1">
      <alignment vertical="center"/>
    </xf>
    <xf numFmtId="168" fontId="7" fillId="0" borderId="125" xfId="3" applyNumberFormat="1" applyFont="1" applyBorder="1" applyAlignment="1">
      <alignment vertical="center"/>
    </xf>
    <xf numFmtId="168" fontId="7" fillId="0" borderId="128" xfId="3" applyNumberFormat="1" applyFont="1" applyBorder="1" applyAlignment="1">
      <alignment vertical="center"/>
    </xf>
    <xf numFmtId="168" fontId="7" fillId="0" borderId="126" xfId="4" applyNumberFormat="1" applyFont="1" applyFill="1" applyBorder="1" applyAlignment="1">
      <alignment horizontal="right" vertical="center"/>
    </xf>
    <xf numFmtId="168" fontId="7" fillId="0" borderId="127" xfId="4" applyNumberFormat="1" applyFont="1" applyFill="1" applyBorder="1" applyAlignment="1">
      <alignment vertical="center"/>
    </xf>
    <xf numFmtId="0" fontId="7" fillId="0" borderId="129" xfId="3" applyFont="1" applyBorder="1" applyAlignment="1">
      <alignment horizontal="left" vertical="center"/>
    </xf>
    <xf numFmtId="168" fontId="20" fillId="0" borderId="130" xfId="3" applyNumberFormat="1" applyFont="1" applyBorder="1" applyAlignment="1">
      <alignment horizontal="right" vertical="center"/>
    </xf>
    <xf numFmtId="168" fontId="7" fillId="0" borderId="130" xfId="3" applyNumberFormat="1" applyFont="1" applyBorder="1" applyAlignment="1">
      <alignment vertical="center"/>
    </xf>
    <xf numFmtId="168" fontId="7" fillId="0" borderId="131" xfId="3" applyNumberFormat="1" applyFont="1" applyBorder="1" applyAlignment="1">
      <alignment vertical="center"/>
    </xf>
    <xf numFmtId="168" fontId="7" fillId="0" borderId="129" xfId="3" applyNumberFormat="1" applyFont="1" applyBorder="1" applyAlignment="1">
      <alignment vertical="center"/>
    </xf>
    <xf numFmtId="168" fontId="7" fillId="0" borderId="132" xfId="3" applyNumberFormat="1" applyFont="1" applyBorder="1" applyAlignment="1">
      <alignment vertical="center"/>
    </xf>
    <xf numFmtId="168" fontId="7" fillId="0" borderId="130" xfId="4" applyNumberFormat="1" applyFont="1" applyFill="1" applyBorder="1" applyAlignment="1">
      <alignment horizontal="right" vertical="center"/>
    </xf>
    <xf numFmtId="168" fontId="7" fillId="0" borderId="131" xfId="4" applyNumberFormat="1" applyFont="1" applyFill="1" applyBorder="1" applyAlignment="1">
      <alignment vertical="center"/>
    </xf>
    <xf numFmtId="0" fontId="17" fillId="0" borderId="133" xfId="3" applyFont="1" applyBorder="1" applyAlignment="1">
      <alignment horizontal="left" vertical="center"/>
    </xf>
    <xf numFmtId="0" fontId="20" fillId="0" borderId="134" xfId="3" applyFont="1" applyBorder="1" applyAlignment="1">
      <alignment horizontal="right" vertical="center"/>
    </xf>
    <xf numFmtId="0" fontId="19" fillId="0" borderId="43" xfId="3" applyFont="1" applyBorder="1" applyAlignment="1">
      <alignment horizontal="right" vertical="center"/>
    </xf>
    <xf numFmtId="0" fontId="19" fillId="0" borderId="133" xfId="3" applyFont="1" applyBorder="1" applyAlignment="1">
      <alignment horizontal="right" vertical="center"/>
    </xf>
    <xf numFmtId="0" fontId="7" fillId="0" borderId="134" xfId="3" applyFont="1" applyBorder="1" applyAlignment="1">
      <alignment vertical="center"/>
    </xf>
    <xf numFmtId="0" fontId="7" fillId="0" borderId="133" xfId="3" applyFont="1" applyBorder="1" applyAlignment="1">
      <alignment vertical="center"/>
    </xf>
    <xf numFmtId="0" fontId="7" fillId="0" borderId="134" xfId="4" applyNumberFormat="1" applyFont="1" applyFill="1" applyBorder="1" applyAlignment="1">
      <alignment horizontal="right" vertical="center"/>
    </xf>
    <xf numFmtId="0" fontId="7" fillId="0" borderId="43" xfId="4" applyNumberFormat="1" applyFont="1" applyFill="1" applyBorder="1" applyAlignment="1">
      <alignment vertical="center"/>
    </xf>
    <xf numFmtId="165" fontId="7" fillId="0" borderId="143" xfId="3" applyNumberFormat="1" applyFont="1" applyBorder="1" applyAlignment="1">
      <alignment horizontal="right" vertical="center"/>
    </xf>
    <xf numFmtId="165" fontId="7" fillId="8" borderId="137" xfId="4" applyNumberFormat="1" applyFont="1" applyFill="1" applyBorder="1" applyAlignment="1">
      <alignment horizontal="right" vertical="center"/>
    </xf>
    <xf numFmtId="165" fontId="7" fillId="8" borderId="54" xfId="4" applyNumberFormat="1" applyFont="1" applyFill="1" applyBorder="1" applyAlignment="1">
      <alignment vertical="center"/>
    </xf>
    <xf numFmtId="165" fontId="7" fillId="8" borderId="138" xfId="4" applyNumberFormat="1" applyFont="1" applyFill="1" applyBorder="1" applyAlignment="1">
      <alignment horizontal="right" vertical="center"/>
    </xf>
    <xf numFmtId="165" fontId="7" fillId="8" borderId="0" xfId="4" applyNumberFormat="1" applyFont="1" applyFill="1" applyBorder="1" applyAlignment="1">
      <alignment vertical="center"/>
    </xf>
    <xf numFmtId="165" fontId="7" fillId="8" borderId="111" xfId="4" applyNumberFormat="1" applyFont="1" applyFill="1" applyBorder="1" applyAlignment="1">
      <alignment horizontal="right" vertical="center"/>
    </xf>
    <xf numFmtId="0" fontId="7" fillId="0" borderId="139" xfId="3" applyFont="1" applyBorder="1" applyAlignment="1">
      <alignment horizontal="left" vertical="center"/>
    </xf>
    <xf numFmtId="165" fontId="29" fillId="0" borderId="140" xfId="3" applyNumberFormat="1" applyFont="1" applyBorder="1" applyAlignment="1">
      <alignment horizontal="right" vertical="center"/>
    </xf>
    <xf numFmtId="165" fontId="7" fillId="0" borderId="140" xfId="4" applyNumberFormat="1" applyFont="1" applyFill="1" applyBorder="1" applyAlignment="1">
      <alignment horizontal="right" vertical="center"/>
    </xf>
    <xf numFmtId="165" fontId="7" fillId="0" borderId="40" xfId="4" applyNumberFormat="1" applyFont="1" applyFill="1" applyBorder="1" applyAlignment="1">
      <alignment vertical="center"/>
    </xf>
    <xf numFmtId="0" fontId="39" fillId="0" borderId="54" xfId="3" applyFont="1" applyBorder="1" applyAlignment="1">
      <alignment horizontal="left" vertical="center"/>
    </xf>
    <xf numFmtId="0" fontId="39" fillId="0" borderId="54" xfId="3" applyFont="1" applyBorder="1" applyAlignment="1">
      <alignment vertical="center"/>
    </xf>
    <xf numFmtId="0" fontId="40" fillId="0" borderId="54" xfId="3" applyFont="1" applyBorder="1" applyAlignment="1">
      <alignment vertical="center"/>
    </xf>
    <xf numFmtId="0" fontId="40" fillId="0" borderId="54" xfId="4" applyNumberFormat="1" applyFont="1" applyFill="1" applyBorder="1" applyAlignment="1">
      <alignment vertical="center"/>
    </xf>
    <xf numFmtId="0" fontId="23" fillId="0" borderId="0" xfId="3" quotePrefix="1" applyFont="1" applyAlignment="1">
      <alignment horizontal="left" vertical="center" wrapText="1"/>
    </xf>
    <xf numFmtId="0" fontId="23" fillId="0" borderId="0" xfId="3" quotePrefix="1" applyFont="1" applyAlignment="1">
      <alignment horizontal="left" vertical="center"/>
    </xf>
    <xf numFmtId="0" fontId="22" fillId="0" borderId="0" xfId="3" quotePrefix="1" applyFont="1" applyAlignment="1">
      <alignment horizontal="left" vertical="center"/>
    </xf>
    <xf numFmtId="0" fontId="7" fillId="0" borderId="85" xfId="3" applyFont="1" applyBorder="1" applyAlignment="1">
      <alignment vertical="center"/>
    </xf>
    <xf numFmtId="0" fontId="7" fillId="0" borderId="85" xfId="3" applyFont="1" applyBorder="1" applyAlignment="1">
      <alignment horizontal="center" vertical="center"/>
    </xf>
    <xf numFmtId="166" fontId="7" fillId="0" borderId="85" xfId="3" applyNumberFormat="1" applyFont="1" applyBorder="1" applyAlignment="1">
      <alignment vertical="center"/>
    </xf>
    <xf numFmtId="166" fontId="7" fillId="0" borderId="86" xfId="3" applyNumberFormat="1" applyFont="1" applyBorder="1" applyAlignment="1">
      <alignment vertical="center"/>
    </xf>
    <xf numFmtId="0" fontId="17" fillId="0" borderId="88" xfId="3" applyFont="1" applyBorder="1" applyAlignment="1" applyProtection="1">
      <alignment vertical="center" wrapText="1"/>
      <protection locked="0"/>
    </xf>
    <xf numFmtId="0" fontId="29" fillId="0" borderId="89" xfId="3" applyFont="1" applyBorder="1" applyAlignment="1" applyProtection="1">
      <alignment horizontal="right" vertical="center"/>
      <protection locked="0"/>
    </xf>
    <xf numFmtId="0" fontId="7" fillId="0" borderId="90" xfId="3" applyFont="1" applyBorder="1" applyAlignment="1" applyProtection="1">
      <alignment horizontal="right" vertical="center"/>
      <protection locked="0"/>
    </xf>
    <xf numFmtId="0" fontId="7" fillId="0" borderId="88" xfId="3" applyFont="1" applyBorder="1" applyAlignment="1">
      <alignment horizontal="right" vertical="center"/>
    </xf>
    <xf numFmtId="0" fontId="29" fillId="0" borderId="89" xfId="3" applyFont="1" applyBorder="1" applyAlignment="1">
      <alignment horizontal="right" vertical="center"/>
    </xf>
    <xf numFmtId="0" fontId="29" fillId="0" borderId="90" xfId="3" applyFont="1" applyBorder="1" applyAlignment="1">
      <alignment horizontal="right" vertical="center"/>
    </xf>
    <xf numFmtId="0" fontId="29" fillId="0" borderId="88" xfId="3" applyFont="1" applyBorder="1" applyAlignment="1">
      <alignment horizontal="right" vertical="center"/>
    </xf>
    <xf numFmtId="0" fontId="29" fillId="0" borderId="91" xfId="3" applyFont="1" applyBorder="1" applyAlignment="1">
      <alignment horizontal="right" vertical="center"/>
    </xf>
    <xf numFmtId="166" fontId="29" fillId="0" borderId="89" xfId="3" applyNumberFormat="1" applyFont="1" applyBorder="1" applyAlignment="1">
      <alignment vertical="center"/>
    </xf>
    <xf numFmtId="166" fontId="29" fillId="0" borderId="90" xfId="3" applyNumberFormat="1" applyFont="1" applyBorder="1" applyAlignment="1">
      <alignment vertical="center"/>
    </xf>
    <xf numFmtId="165" fontId="7" fillId="0" borderId="93" xfId="3" applyNumberFormat="1" applyFont="1" applyBorder="1" applyAlignment="1">
      <alignment vertical="center"/>
    </xf>
    <xf numFmtId="165" fontId="7" fillId="0" borderId="92" xfId="3" applyNumberFormat="1" applyFont="1" applyBorder="1" applyAlignment="1">
      <alignment vertical="center"/>
    </xf>
    <xf numFmtId="0" fontId="7" fillId="0" borderId="92" xfId="5" applyFont="1" applyBorder="1" applyAlignment="1" applyProtection="1">
      <alignment horizontal="left" vertical="center" indent="1"/>
      <protection locked="0"/>
    </xf>
    <xf numFmtId="165" fontId="29" fillId="0" borderId="93" xfId="5" applyNumberFormat="1" applyFont="1" applyBorder="1" applyAlignment="1" applyProtection="1">
      <alignment horizontal="right" vertical="center"/>
      <protection locked="0"/>
    </xf>
    <xf numFmtId="165" fontId="7" fillId="0" borderId="144" xfId="5" applyNumberFormat="1" applyFont="1" applyBorder="1" applyAlignment="1">
      <alignment horizontal="right" vertical="center"/>
    </xf>
    <xf numFmtId="165" fontId="7" fillId="0" borderId="93" xfId="5" applyNumberFormat="1" applyFont="1" applyBorder="1" applyAlignment="1">
      <alignment vertical="center"/>
    </xf>
    <xf numFmtId="165" fontId="7" fillId="0" borderId="14" xfId="5" applyNumberFormat="1" applyFont="1" applyBorder="1" applyAlignment="1">
      <alignment vertical="center"/>
    </xf>
    <xf numFmtId="165" fontId="7" fillId="0" borderId="144" xfId="5" applyNumberFormat="1" applyFont="1" applyBorder="1" applyAlignment="1">
      <alignment vertical="center"/>
    </xf>
    <xf numFmtId="41" fontId="29" fillId="0" borderId="93" xfId="3" applyNumberFormat="1" applyFont="1" applyBorder="1" applyAlignment="1" applyProtection="1">
      <alignment vertical="center"/>
      <protection locked="0"/>
    </xf>
    <xf numFmtId="41" fontId="7" fillId="0" borderId="93" xfId="3" applyNumberFormat="1" applyFont="1" applyBorder="1" applyAlignment="1">
      <alignment vertical="center"/>
    </xf>
    <xf numFmtId="41" fontId="7" fillId="0" borderId="92" xfId="3" applyNumberFormat="1" applyFont="1" applyBorder="1" applyAlignment="1">
      <alignment vertical="center"/>
    </xf>
    <xf numFmtId="165" fontId="7" fillId="0" borderId="94" xfId="3" applyNumberFormat="1" applyFont="1" applyBorder="1" applyAlignment="1">
      <alignment horizontal="right" vertical="center"/>
    </xf>
    <xf numFmtId="0" fontId="27" fillId="0" borderId="92" xfId="5" applyFont="1" applyBorder="1" applyAlignment="1" applyProtection="1">
      <alignment vertical="center"/>
      <protection locked="0"/>
    </xf>
    <xf numFmtId="0" fontId="28" fillId="0" borderId="92" xfId="5" applyFont="1" applyBorder="1" applyAlignment="1" applyProtection="1">
      <alignment vertical="center"/>
      <protection locked="0"/>
    </xf>
    <xf numFmtId="165" fontId="28" fillId="0" borderId="92" xfId="5" applyNumberFormat="1" applyFont="1" applyBorder="1" applyAlignment="1">
      <alignment horizontal="right" vertical="center"/>
    </xf>
    <xf numFmtId="0" fontId="28" fillId="0" borderId="92" xfId="5" applyFont="1" applyBorder="1" applyAlignment="1" applyProtection="1">
      <alignment horizontal="left" vertical="center" indent="1"/>
      <protection locked="0"/>
    </xf>
    <xf numFmtId="0" fontId="29" fillId="0" borderId="92" xfId="3" applyFont="1" applyBorder="1" applyAlignment="1" applyProtection="1">
      <alignment horizontal="left" vertical="center" indent="1"/>
      <protection locked="0"/>
    </xf>
    <xf numFmtId="165" fontId="29" fillId="0" borderId="96" xfId="3" applyNumberFormat="1" applyFont="1" applyBorder="1" applyAlignment="1" applyProtection="1">
      <alignment horizontal="right" vertical="center"/>
      <protection locked="0"/>
    </xf>
    <xf numFmtId="165" fontId="7" fillId="0" borderId="97" xfId="3" applyNumberFormat="1" applyFont="1" applyBorder="1" applyAlignment="1" applyProtection="1">
      <alignment horizontal="right" vertical="center"/>
      <protection locked="0"/>
    </xf>
    <xf numFmtId="165" fontId="7" fillId="0" borderId="97" xfId="3" applyNumberFormat="1" applyFont="1" applyBorder="1" applyAlignment="1">
      <alignment horizontal="right" vertical="center"/>
    </xf>
    <xf numFmtId="165" fontId="7" fillId="0" borderId="95" xfId="3" applyNumberFormat="1" applyFont="1" applyBorder="1" applyAlignment="1">
      <alignment horizontal="right" vertical="center"/>
    </xf>
    <xf numFmtId="165" fontId="7" fillId="0" borderId="96" xfId="3" applyNumberFormat="1" applyFont="1" applyBorder="1" applyAlignment="1">
      <alignment vertical="center"/>
    </xf>
    <xf numFmtId="165" fontId="7" fillId="0" borderId="97" xfId="3" applyNumberFormat="1" applyFont="1" applyBorder="1" applyAlignment="1">
      <alignment vertical="center"/>
    </xf>
    <xf numFmtId="165" fontId="7" fillId="0" borderId="95" xfId="3" applyNumberFormat="1" applyFont="1" applyBorder="1" applyAlignment="1">
      <alignment vertical="center"/>
    </xf>
    <xf numFmtId="165" fontId="7" fillId="0" borderId="98" xfId="3" applyNumberFormat="1" applyFont="1" applyBorder="1" applyAlignment="1">
      <alignment vertical="center"/>
    </xf>
    <xf numFmtId="165" fontId="7" fillId="0" borderId="96" xfId="3" applyNumberFormat="1" applyFont="1" applyBorder="1" applyAlignment="1">
      <alignment horizontal="right" vertical="center"/>
    </xf>
    <xf numFmtId="0" fontId="20" fillId="0" borderId="85" xfId="3" applyFont="1" applyBorder="1" applyAlignment="1" applyProtection="1">
      <alignment horizontal="right" vertical="center"/>
      <protection locked="0"/>
    </xf>
    <xf numFmtId="0" fontId="19" fillId="0" borderId="86" xfId="3" applyFont="1" applyBorder="1" applyAlignment="1" applyProtection="1">
      <alignment horizontal="right" vertical="center"/>
      <protection locked="0"/>
    </xf>
    <xf numFmtId="0" fontId="19" fillId="0" borderId="86" xfId="3" applyFont="1" applyBorder="1" applyAlignment="1">
      <alignment horizontal="right" vertical="center"/>
    </xf>
    <xf numFmtId="0" fontId="19" fillId="0" borderId="84" xfId="3" applyFont="1" applyBorder="1" applyAlignment="1">
      <alignment horizontal="right" vertical="center"/>
    </xf>
    <xf numFmtId="0" fontId="19" fillId="0" borderId="85" xfId="3" applyFont="1" applyBorder="1" applyAlignment="1">
      <alignment horizontal="right" vertical="center"/>
    </xf>
    <xf numFmtId="0" fontId="19" fillId="0" borderId="87" xfId="3" quotePrefix="1" applyFont="1" applyBorder="1" applyAlignment="1">
      <alignment horizontal="right" vertical="center"/>
    </xf>
    <xf numFmtId="0" fontId="29" fillId="0" borderId="88" xfId="3" applyFont="1" applyBorder="1" applyAlignment="1" applyProtection="1">
      <alignment vertical="center"/>
      <protection locked="0"/>
    </xf>
    <xf numFmtId="169" fontId="20" fillId="0" borderId="89" xfId="3" applyNumberFormat="1" applyFont="1" applyBorder="1" applyAlignment="1" applyProtection="1">
      <alignment horizontal="right" vertical="center"/>
      <protection locked="0"/>
    </xf>
    <xf numFmtId="169" fontId="19" fillId="0" borderId="90" xfId="3" applyNumberFormat="1" applyFont="1" applyBorder="1" applyAlignment="1" applyProtection="1">
      <alignment horizontal="right" vertical="center"/>
      <protection locked="0"/>
    </xf>
    <xf numFmtId="169" fontId="19" fillId="0" borderId="90" xfId="3" applyNumberFormat="1" applyFont="1" applyBorder="1" applyAlignment="1">
      <alignment horizontal="right" vertical="center"/>
    </xf>
    <xf numFmtId="169" fontId="19" fillId="0" borderId="88" xfId="3" applyNumberFormat="1" applyFont="1" applyBorder="1" applyAlignment="1">
      <alignment horizontal="right" vertical="center"/>
    </xf>
    <xf numFmtId="169" fontId="19" fillId="0" borderId="89" xfId="3" applyNumberFormat="1" applyFont="1" applyBorder="1" applyAlignment="1">
      <alignment horizontal="right" vertical="center"/>
    </xf>
    <xf numFmtId="169" fontId="19" fillId="0" borderId="91" xfId="3" applyNumberFormat="1" applyFont="1" applyBorder="1" applyAlignment="1">
      <alignment horizontal="right" vertical="center"/>
    </xf>
    <xf numFmtId="168" fontId="19" fillId="0" borderId="89" xfId="3" applyNumberFormat="1" applyFont="1" applyBorder="1" applyAlignment="1">
      <alignment vertical="center"/>
    </xf>
    <xf numFmtId="168" fontId="19" fillId="0" borderId="90" xfId="3" applyNumberFormat="1" applyFont="1" applyBorder="1" applyAlignment="1">
      <alignment vertical="center"/>
    </xf>
    <xf numFmtId="168" fontId="7" fillId="0" borderId="93" xfId="3" applyNumberFormat="1" applyFont="1" applyBorder="1" applyAlignment="1">
      <alignment vertical="center"/>
    </xf>
    <xf numFmtId="168" fontId="7" fillId="0" borderId="93" xfId="3" applyNumberFormat="1" applyFont="1" applyBorder="1" applyAlignment="1">
      <alignment horizontal="right" vertical="center"/>
    </xf>
    <xf numFmtId="169" fontId="29" fillId="0" borderId="93" xfId="3" applyNumberFormat="1" applyFont="1" applyBorder="1" applyAlignment="1" applyProtection="1">
      <alignment vertical="center"/>
      <protection locked="0"/>
    </xf>
    <xf numFmtId="169" fontId="7" fillId="0" borderId="93" xfId="3" applyNumberFormat="1" applyFont="1" applyBorder="1" applyAlignment="1">
      <alignment vertical="center"/>
    </xf>
    <xf numFmtId="168" fontId="7" fillId="0" borderId="96" xfId="3" applyNumberFormat="1" applyFont="1" applyBorder="1" applyAlignment="1">
      <alignment vertical="center"/>
    </xf>
    <xf numFmtId="168" fontId="7" fillId="0" borderId="96" xfId="3" applyNumberFormat="1" applyFont="1" applyBorder="1" applyAlignment="1">
      <alignment horizontal="right" vertical="center"/>
    </xf>
    <xf numFmtId="168" fontId="19" fillId="0" borderId="85" xfId="3" applyNumberFormat="1" applyFont="1" applyBorder="1" applyAlignment="1">
      <alignment horizontal="right" vertical="center"/>
    </xf>
    <xf numFmtId="168" fontId="19" fillId="0" borderId="86" xfId="3" applyNumberFormat="1" applyFont="1" applyBorder="1" applyAlignment="1">
      <alignment horizontal="right" vertical="center"/>
    </xf>
    <xf numFmtId="168" fontId="19" fillId="0" borderId="89" xfId="3" applyNumberFormat="1" applyFont="1" applyBorder="1" applyAlignment="1">
      <alignment horizontal="right" vertical="center"/>
    </xf>
    <xf numFmtId="168" fontId="19" fillId="0" borderId="91" xfId="3" applyNumberFormat="1" applyFont="1" applyBorder="1" applyAlignment="1">
      <alignment horizontal="right" vertical="center"/>
    </xf>
    <xf numFmtId="168" fontId="19" fillId="0" borderId="93" xfId="3" applyNumberFormat="1" applyFont="1" applyBorder="1" applyAlignment="1">
      <alignment horizontal="right" vertical="center"/>
    </xf>
    <xf numFmtId="168" fontId="19" fillId="0" borderId="96" xfId="3" applyNumberFormat="1" applyFont="1" applyBorder="1" applyAlignment="1">
      <alignment horizontal="right" vertical="center"/>
    </xf>
    <xf numFmtId="168" fontId="19" fillId="0" borderId="98" xfId="3" applyNumberFormat="1" applyFont="1" applyBorder="1" applyAlignment="1">
      <alignment horizontal="right" vertical="center"/>
    </xf>
    <xf numFmtId="0" fontId="27" fillId="0" borderId="88" xfId="3" applyFont="1" applyBorder="1" applyAlignment="1" applyProtection="1">
      <alignment vertical="center"/>
      <protection locked="0"/>
    </xf>
    <xf numFmtId="41" fontId="20" fillId="0" borderId="89" xfId="3" applyNumberFormat="1" applyFont="1" applyBorder="1" applyAlignment="1" applyProtection="1">
      <alignment horizontal="right" vertical="center"/>
      <protection locked="0"/>
    </xf>
    <xf numFmtId="41" fontId="19" fillId="0" borderId="90" xfId="3" applyNumberFormat="1" applyFont="1" applyBorder="1" applyAlignment="1" applyProtection="1">
      <alignment horizontal="right" vertical="center"/>
      <protection locked="0"/>
    </xf>
    <xf numFmtId="41" fontId="19" fillId="0" borderId="90" xfId="3" applyNumberFormat="1" applyFont="1" applyBorder="1" applyAlignment="1">
      <alignment horizontal="right" vertical="center"/>
    </xf>
    <xf numFmtId="41" fontId="19" fillId="0" borderId="88" xfId="3" applyNumberFormat="1" applyFont="1" applyBorder="1" applyAlignment="1">
      <alignment horizontal="right" vertical="center"/>
    </xf>
    <xf numFmtId="41" fontId="19" fillId="0" borderId="89" xfId="3" applyNumberFormat="1" applyFont="1" applyBorder="1" applyAlignment="1">
      <alignment horizontal="right" vertical="center"/>
    </xf>
    <xf numFmtId="41" fontId="19" fillId="0" borderId="91" xfId="3" applyNumberFormat="1" applyFont="1" applyBorder="1" applyAlignment="1">
      <alignment horizontal="right" vertical="center"/>
    </xf>
    <xf numFmtId="0" fontId="19" fillId="0" borderId="92" xfId="3" applyFont="1" applyBorder="1" applyAlignment="1" applyProtection="1">
      <alignment horizontal="left" vertical="center" indent="1"/>
      <protection locked="0"/>
    </xf>
    <xf numFmtId="165" fontId="19" fillId="0" borderId="92" xfId="3" applyNumberFormat="1" applyFont="1" applyBorder="1" applyAlignment="1">
      <alignment horizontal="right" vertical="center"/>
    </xf>
    <xf numFmtId="165" fontId="19" fillId="0" borderId="93" xfId="3" applyNumberFormat="1" applyFont="1" applyBorder="1" applyAlignment="1">
      <alignment horizontal="right" vertical="center"/>
    </xf>
    <xf numFmtId="165" fontId="19" fillId="0" borderId="94" xfId="3" applyNumberFormat="1" applyFont="1" applyBorder="1" applyAlignment="1">
      <alignment horizontal="right" vertical="center"/>
    </xf>
    <xf numFmtId="0" fontId="7" fillId="0" borderId="92" xfId="3" applyFont="1" applyBorder="1" applyAlignment="1" applyProtection="1">
      <alignment horizontal="left" vertical="center" indent="2"/>
      <protection locked="0"/>
    </xf>
    <xf numFmtId="0" fontId="20" fillId="0" borderId="92" xfId="3" applyFont="1" applyBorder="1" applyAlignment="1" applyProtection="1">
      <alignment horizontal="left" vertical="center"/>
      <protection locked="0"/>
    </xf>
    <xf numFmtId="0" fontId="27" fillId="0" borderId="92" xfId="3" applyFont="1" applyBorder="1" applyAlignment="1" applyProtection="1">
      <alignment vertical="center"/>
      <protection locked="0"/>
    </xf>
    <xf numFmtId="41" fontId="20" fillId="0" borderId="93" xfId="3" applyNumberFormat="1" applyFont="1" applyBorder="1" applyAlignment="1" applyProtection="1">
      <alignment horizontal="right" vertical="center"/>
      <protection locked="0"/>
    </xf>
    <xf numFmtId="41" fontId="19" fillId="0" borderId="14" xfId="3" applyNumberFormat="1" applyFont="1" applyBorder="1" applyAlignment="1" applyProtection="1">
      <alignment horizontal="right" vertical="center"/>
      <protection locked="0"/>
    </xf>
    <xf numFmtId="41" fontId="19" fillId="0" borderId="14" xfId="3" applyNumberFormat="1" applyFont="1" applyBorder="1" applyAlignment="1">
      <alignment horizontal="right" vertical="center"/>
    </xf>
    <xf numFmtId="41" fontId="19" fillId="0" borderId="92" xfId="3" applyNumberFormat="1" applyFont="1" applyBorder="1" applyAlignment="1">
      <alignment horizontal="right" vertical="center"/>
    </xf>
    <xf numFmtId="41" fontId="19" fillId="0" borderId="93" xfId="3" applyNumberFormat="1" applyFont="1" applyBorder="1" applyAlignment="1">
      <alignment horizontal="right" vertical="center"/>
    </xf>
    <xf numFmtId="41" fontId="19" fillId="0" borderId="94" xfId="3" applyNumberFormat="1" applyFont="1" applyBorder="1" applyAlignment="1">
      <alignment horizontal="right" vertical="center"/>
    </xf>
    <xf numFmtId="165" fontId="19" fillId="0" borderId="92" xfId="3" quotePrefix="1" applyNumberFormat="1" applyFont="1" applyBorder="1" applyAlignment="1">
      <alignment horizontal="right" vertical="center"/>
    </xf>
    <xf numFmtId="165" fontId="19" fillId="0" borderId="92" xfId="3" quotePrefix="1" applyNumberFormat="1" applyFont="1" applyBorder="1" applyAlignment="1">
      <alignment vertical="center"/>
    </xf>
    <xf numFmtId="173" fontId="20" fillId="0" borderId="93" xfId="3" applyNumberFormat="1" applyFont="1" applyBorder="1" applyAlignment="1" applyProtection="1">
      <alignment vertical="center"/>
      <protection locked="0"/>
    </xf>
    <xf numFmtId="173" fontId="19" fillId="0" borderId="14" xfId="3" applyNumberFormat="1" applyFont="1" applyBorder="1" applyAlignment="1" applyProtection="1">
      <alignment horizontal="right" vertical="center"/>
      <protection locked="0"/>
    </xf>
    <xf numFmtId="173" fontId="19" fillId="0" borderId="14" xfId="3" applyNumberFormat="1" applyFont="1" applyBorder="1" applyAlignment="1">
      <alignment horizontal="right" vertical="center"/>
    </xf>
    <xf numFmtId="173" fontId="19" fillId="0" borderId="92" xfId="3" applyNumberFormat="1" applyFont="1" applyBorder="1" applyAlignment="1">
      <alignment horizontal="right" vertical="center"/>
    </xf>
    <xf numFmtId="173" fontId="19" fillId="0" borderId="93" xfId="3" applyNumberFormat="1" applyFont="1" applyBorder="1" applyAlignment="1">
      <alignment vertical="center"/>
    </xf>
    <xf numFmtId="173" fontId="19" fillId="0" borderId="14" xfId="3" applyNumberFormat="1" applyFont="1" applyBorder="1" applyAlignment="1">
      <alignment vertical="center"/>
    </xf>
    <xf numFmtId="173" fontId="19" fillId="0" borderId="92" xfId="3" applyNumberFormat="1" applyFont="1" applyBorder="1" applyAlignment="1">
      <alignment vertical="center"/>
    </xf>
    <xf numFmtId="173" fontId="19" fillId="0" borderId="94" xfId="3" applyNumberFormat="1" applyFont="1" applyBorder="1" applyAlignment="1">
      <alignment vertical="center"/>
    </xf>
    <xf numFmtId="41" fontId="7" fillId="0" borderId="14" xfId="3" applyNumberFormat="1" applyFont="1" applyBorder="1"/>
    <xf numFmtId="165" fontId="20" fillId="0" borderId="93" xfId="3" applyNumberFormat="1" applyFont="1" applyBorder="1" applyAlignment="1" applyProtection="1">
      <alignment vertical="center"/>
      <protection locked="0"/>
    </xf>
    <xf numFmtId="165" fontId="7" fillId="7" borderId="93" xfId="3" applyNumberFormat="1" applyFont="1" applyFill="1" applyBorder="1"/>
    <xf numFmtId="41" fontId="7" fillId="7" borderId="14" xfId="3" applyNumberFormat="1" applyFont="1" applyFill="1" applyBorder="1"/>
    <xf numFmtId="0" fontId="19" fillId="0" borderId="95" xfId="3" applyFont="1" applyBorder="1" applyAlignment="1" applyProtection="1">
      <alignment horizontal="left" vertical="center" indent="1"/>
      <protection locked="0"/>
    </xf>
    <xf numFmtId="165" fontId="20" fillId="0" borderId="96" xfId="3" applyNumberFormat="1" applyFont="1" applyBorder="1" applyAlignment="1" applyProtection="1">
      <alignment vertical="center"/>
      <protection locked="0"/>
    </xf>
    <xf numFmtId="165" fontId="19" fillId="0" borderId="95" xfId="3" applyNumberFormat="1" applyFont="1" applyBorder="1" applyAlignment="1">
      <alignment horizontal="right" vertical="center"/>
    </xf>
    <xf numFmtId="165" fontId="7" fillId="7" borderId="96" xfId="3" applyNumberFormat="1" applyFont="1" applyFill="1" applyBorder="1"/>
    <xf numFmtId="41" fontId="7" fillId="7" borderId="97" xfId="3" applyNumberFormat="1" applyFont="1" applyFill="1" applyBorder="1"/>
    <xf numFmtId="0" fontId="1" fillId="0" borderId="103" xfId="3" applyFont="1" applyBorder="1" applyProtection="1">
      <protection locked="0"/>
    </xf>
    <xf numFmtId="173" fontId="57" fillId="0" borderId="103" xfId="3" applyNumberFormat="1" applyFont="1" applyBorder="1" applyAlignment="1" applyProtection="1">
      <alignment vertical="center"/>
      <protection locked="0"/>
    </xf>
    <xf numFmtId="173" fontId="40" fillId="0" borderId="103" xfId="3" applyNumberFormat="1" applyFont="1" applyBorder="1" applyProtection="1">
      <protection locked="0"/>
    </xf>
    <xf numFmtId="0" fontId="41" fillId="0" borderId="0" xfId="3" applyFont="1" applyAlignment="1" applyProtection="1">
      <alignment horizontal="left" vertical="center"/>
      <protection locked="0"/>
    </xf>
    <xf numFmtId="0" fontId="40" fillId="0" borderId="0" xfId="3" applyFont="1" applyAlignment="1" applyProtection="1">
      <alignment horizontal="left" vertical="center"/>
      <protection locked="0"/>
    </xf>
    <xf numFmtId="0" fontId="7" fillId="0" borderId="42" xfId="3" applyFont="1" applyBorder="1" applyAlignment="1">
      <alignment horizontal="right" vertical="center"/>
    </xf>
    <xf numFmtId="0" fontId="7" fillId="0" borderId="44" xfId="3" applyFont="1" applyBorder="1" applyAlignment="1">
      <alignment horizontal="right" vertical="center"/>
    </xf>
    <xf numFmtId="0" fontId="17" fillId="0" borderId="145" xfId="3" applyFont="1" applyBorder="1" applyAlignment="1">
      <alignment horizontal="left" vertical="center" wrapText="1"/>
    </xf>
    <xf numFmtId="0" fontId="29" fillId="0" borderId="55" xfId="3" applyFont="1" applyBorder="1" applyAlignment="1">
      <alignment horizontal="right" vertical="center"/>
    </xf>
    <xf numFmtId="0" fontId="7" fillId="0" borderId="0" xfId="3" applyFont="1" applyAlignment="1">
      <alignment horizontal="right" vertical="center"/>
    </xf>
    <xf numFmtId="0" fontId="7" fillId="0" borderId="146" xfId="3" applyFont="1" applyBorder="1" applyAlignment="1">
      <alignment horizontal="right" vertical="center"/>
    </xf>
    <xf numFmtId="0" fontId="7" fillId="0" borderId="55" xfId="3" applyFont="1" applyBorder="1" applyAlignment="1">
      <alignment horizontal="right" vertical="center"/>
    </xf>
    <xf numFmtId="0" fontId="7" fillId="0" borderId="147" xfId="3" applyFont="1" applyBorder="1" applyAlignment="1">
      <alignment horizontal="right" vertical="center"/>
    </xf>
    <xf numFmtId="166" fontId="7" fillId="0" borderId="55" xfId="3" applyNumberFormat="1" applyFont="1" applyBorder="1" applyAlignment="1">
      <alignment vertical="center"/>
    </xf>
    <xf numFmtId="166" fontId="7" fillId="0" borderId="0" xfId="3" applyNumberFormat="1" applyFont="1" applyAlignment="1">
      <alignment vertical="center"/>
    </xf>
    <xf numFmtId="165" fontId="29" fillId="0" borderId="148" xfId="3" applyNumberFormat="1" applyFont="1" applyBorder="1" applyAlignment="1" applyProtection="1">
      <alignment horizontal="right" vertical="center"/>
      <protection locked="0"/>
    </xf>
    <xf numFmtId="165" fontId="7" fillId="0" borderId="62" xfId="3" applyNumberFormat="1" applyFont="1" applyBorder="1" applyAlignment="1" applyProtection="1">
      <alignment horizontal="right" vertical="center"/>
      <protection locked="0"/>
    </xf>
    <xf numFmtId="165" fontId="7" fillId="0" borderId="62" xfId="3" applyNumberFormat="1" applyFont="1" applyBorder="1" applyAlignment="1">
      <alignment horizontal="right" vertical="center"/>
    </xf>
    <xf numFmtId="165" fontId="7" fillId="0" borderId="149" xfId="3" applyNumberFormat="1" applyFont="1" applyBorder="1" applyAlignment="1">
      <alignment horizontal="right" vertical="center"/>
    </xf>
    <xf numFmtId="165" fontId="7" fillId="0" borderId="148" xfId="3" applyNumberFormat="1" applyFont="1" applyBorder="1" applyAlignment="1">
      <alignment vertical="center"/>
    </xf>
    <xf numFmtId="165" fontId="7" fillId="0" borderId="62" xfId="3" applyNumberFormat="1" applyFont="1" applyBorder="1" applyAlignment="1">
      <alignment vertical="center"/>
    </xf>
    <xf numFmtId="165" fontId="7" fillId="0" borderId="149" xfId="3" applyNumberFormat="1" applyFont="1" applyBorder="1" applyAlignment="1">
      <alignment vertical="center"/>
    </xf>
    <xf numFmtId="165" fontId="7" fillId="0" borderId="150" xfId="3" applyNumberFormat="1" applyFont="1" applyBorder="1" applyAlignment="1">
      <alignment vertical="center"/>
    </xf>
    <xf numFmtId="165" fontId="29" fillId="0" borderId="151" xfId="3" applyNumberFormat="1" applyFont="1" applyBorder="1" applyAlignment="1" applyProtection="1">
      <alignment horizontal="right" vertical="center"/>
      <protection locked="0"/>
    </xf>
    <xf numFmtId="165" fontId="7" fillId="0" borderId="152" xfId="3" applyNumberFormat="1" applyFont="1" applyBorder="1" applyAlignment="1" applyProtection="1">
      <alignment horizontal="right" vertical="center"/>
      <protection locked="0"/>
    </xf>
    <xf numFmtId="165" fontId="7" fillId="0" borderId="152" xfId="3" applyNumberFormat="1" applyFont="1" applyBorder="1" applyAlignment="1">
      <alignment horizontal="right" vertical="center"/>
    </xf>
    <xf numFmtId="165" fontId="7" fillId="0" borderId="153" xfId="3" applyNumberFormat="1" applyFont="1" applyBorder="1" applyAlignment="1">
      <alignment horizontal="right" vertical="center"/>
    </xf>
    <xf numFmtId="165" fontId="7" fillId="0" borderId="151" xfId="3" applyNumberFormat="1" applyFont="1" applyBorder="1" applyAlignment="1">
      <alignment vertical="center"/>
    </xf>
    <xf numFmtId="165" fontId="7" fillId="0" borderId="152" xfId="3" applyNumberFormat="1" applyFont="1" applyBorder="1" applyAlignment="1">
      <alignment vertical="center"/>
    </xf>
    <xf numFmtId="165" fontId="7" fillId="0" borderId="153" xfId="3" applyNumberFormat="1" applyFont="1" applyBorder="1" applyAlignment="1">
      <alignment vertical="center"/>
    </xf>
    <xf numFmtId="165" fontId="7" fillId="0" borderId="154" xfId="3" applyNumberFormat="1" applyFont="1" applyBorder="1" applyAlignment="1">
      <alignment vertical="center"/>
    </xf>
    <xf numFmtId="165" fontId="29" fillId="0" borderId="155" xfId="3" applyNumberFormat="1" applyFont="1" applyBorder="1" applyAlignment="1" applyProtection="1">
      <alignment horizontal="right" vertical="center"/>
      <protection locked="0"/>
    </xf>
    <xf numFmtId="165" fontId="7" fillId="0" borderId="156" xfId="3" applyNumberFormat="1" applyFont="1" applyBorder="1" applyAlignment="1" applyProtection="1">
      <alignment horizontal="right" vertical="center"/>
      <protection locked="0"/>
    </xf>
    <xf numFmtId="165" fontId="7" fillId="0" borderId="156" xfId="3" applyNumberFormat="1" applyFont="1" applyBorder="1" applyAlignment="1">
      <alignment horizontal="right" vertical="center"/>
    </xf>
    <xf numFmtId="165" fontId="7" fillId="0" borderId="157" xfId="3" applyNumberFormat="1" applyFont="1" applyBorder="1" applyAlignment="1">
      <alignment horizontal="right" vertical="center"/>
    </xf>
    <xf numFmtId="165" fontId="7" fillId="0" borderId="155" xfId="3" applyNumberFormat="1" applyFont="1" applyBorder="1" applyAlignment="1">
      <alignment vertical="center"/>
    </xf>
    <xf numFmtId="165" fontId="7" fillId="0" borderId="156" xfId="3" applyNumberFormat="1" applyFont="1" applyBorder="1" applyAlignment="1">
      <alignment vertical="center"/>
    </xf>
    <xf numFmtId="165" fontId="7" fillId="0" borderId="158" xfId="3" applyNumberFormat="1" applyFont="1" applyBorder="1" applyAlignment="1">
      <alignment vertical="center"/>
    </xf>
    <xf numFmtId="165" fontId="7" fillId="0" borderId="159" xfId="3" applyNumberFormat="1" applyFont="1" applyBorder="1" applyAlignment="1">
      <alignment vertical="center"/>
    </xf>
    <xf numFmtId="165" fontId="29" fillId="0" borderId="160" xfId="3" applyNumberFormat="1" applyFont="1" applyBorder="1" applyAlignment="1" applyProtection="1">
      <alignment horizontal="right" vertical="center"/>
      <protection locked="0"/>
    </xf>
    <xf numFmtId="165" fontId="7" fillId="0" borderId="51" xfId="3" applyNumberFormat="1" applyFont="1" applyBorder="1" applyAlignment="1" applyProtection="1">
      <alignment horizontal="right" vertical="center"/>
      <protection locked="0"/>
    </xf>
    <xf numFmtId="165" fontId="7" fillId="0" borderId="161" xfId="3" applyNumberFormat="1" applyFont="1" applyBorder="1" applyAlignment="1">
      <alignment horizontal="right" vertical="center"/>
    </xf>
    <xf numFmtId="165" fontId="7" fillId="0" borderId="160" xfId="3" applyNumberFormat="1" applyFont="1" applyBorder="1" applyAlignment="1">
      <alignment vertical="center"/>
    </xf>
    <xf numFmtId="165" fontId="7" fillId="0" borderId="161" xfId="3" applyNumberFormat="1" applyFont="1" applyBorder="1" applyAlignment="1">
      <alignment vertical="center"/>
    </xf>
    <xf numFmtId="165" fontId="7" fillId="0" borderId="162" xfId="3" applyNumberFormat="1" applyFont="1" applyBorder="1" applyAlignment="1">
      <alignment vertical="center"/>
    </xf>
    <xf numFmtId="165" fontId="29" fillId="0" borderId="163" xfId="3" applyNumberFormat="1" applyFont="1" applyBorder="1" applyAlignment="1" applyProtection="1">
      <alignment horizontal="right" vertical="center"/>
      <protection locked="0"/>
    </xf>
    <xf numFmtId="165" fontId="7" fillId="0" borderId="164" xfId="3" applyNumberFormat="1" applyFont="1" applyBorder="1" applyAlignment="1" applyProtection="1">
      <alignment horizontal="right" vertical="center"/>
      <protection locked="0"/>
    </xf>
    <xf numFmtId="165" fontId="7" fillId="0" borderId="164" xfId="3" applyNumberFormat="1" applyFont="1" applyBorder="1" applyAlignment="1">
      <alignment horizontal="right" vertical="center"/>
    </xf>
    <xf numFmtId="165" fontId="7" fillId="0" borderId="165" xfId="3" applyNumberFormat="1" applyFont="1" applyBorder="1" applyAlignment="1">
      <alignment horizontal="right" vertical="center"/>
    </xf>
    <xf numFmtId="165" fontId="7" fillId="0" borderId="163" xfId="3" applyNumberFormat="1" applyFont="1" applyBorder="1" applyAlignment="1">
      <alignment vertical="center"/>
    </xf>
    <xf numFmtId="165" fontId="7" fillId="0" borderId="164" xfId="3" applyNumberFormat="1" applyFont="1" applyBorder="1" applyAlignment="1">
      <alignment vertical="center"/>
    </xf>
    <xf numFmtId="165" fontId="7" fillId="0" borderId="165" xfId="3" applyNumberFormat="1" applyFont="1" applyBorder="1" applyAlignment="1">
      <alignment vertical="center"/>
    </xf>
    <xf numFmtId="165" fontId="7" fillId="0" borderId="166" xfId="3" applyNumberFormat="1" applyFont="1" applyBorder="1" applyAlignment="1">
      <alignment vertical="center"/>
    </xf>
    <xf numFmtId="0" fontId="29" fillId="0" borderId="49" xfId="3" applyFont="1" applyBorder="1" applyAlignment="1">
      <alignment horizontal="left" vertical="center"/>
    </xf>
    <xf numFmtId="168" fontId="29" fillId="0" borderId="51" xfId="3" applyNumberFormat="1" applyFont="1" applyBorder="1" applyAlignment="1">
      <alignment horizontal="right" vertical="center"/>
    </xf>
    <xf numFmtId="0" fontId="7" fillId="0" borderId="167" xfId="3" applyFont="1" applyBorder="1" applyAlignment="1">
      <alignment horizontal="left" vertical="center"/>
    </xf>
    <xf numFmtId="167" fontId="29" fillId="0" borderId="168" xfId="3" applyNumberFormat="1" applyFont="1" applyBorder="1" applyAlignment="1">
      <alignment horizontal="right" vertical="center"/>
    </xf>
    <xf numFmtId="167" fontId="7" fillId="0" borderId="169" xfId="3" applyNumberFormat="1" applyFont="1" applyBorder="1" applyAlignment="1">
      <alignment horizontal="right" vertical="center"/>
    </xf>
    <xf numFmtId="167" fontId="7" fillId="0" borderId="167" xfId="3" applyNumberFormat="1" applyFont="1" applyBorder="1" applyAlignment="1">
      <alignment horizontal="right" vertical="center"/>
    </xf>
    <xf numFmtId="167" fontId="7" fillId="0" borderId="168" xfId="3" applyNumberFormat="1" applyFont="1" applyBorder="1" applyAlignment="1">
      <alignment vertical="center"/>
    </xf>
    <xf numFmtId="167" fontId="7" fillId="0" borderId="169" xfId="3" applyNumberFormat="1" applyFont="1" applyBorder="1" applyAlignment="1">
      <alignment vertical="center"/>
    </xf>
    <xf numFmtId="167" fontId="7" fillId="0" borderId="167" xfId="3" applyNumberFormat="1" applyFont="1" applyBorder="1" applyAlignment="1">
      <alignment vertical="center"/>
    </xf>
    <xf numFmtId="167" fontId="7" fillId="0" borderId="170" xfId="3" applyNumberFormat="1" applyFont="1" applyBorder="1" applyAlignment="1">
      <alignment vertical="center"/>
    </xf>
    <xf numFmtId="167" fontId="7" fillId="0" borderId="53" xfId="3" applyNumberFormat="1" applyFont="1" applyBorder="1" applyAlignment="1">
      <alignment vertical="center"/>
    </xf>
    <xf numFmtId="167" fontId="7" fillId="0" borderId="54" xfId="3" applyNumberFormat="1" applyFont="1" applyBorder="1" applyAlignment="1">
      <alignment vertical="center"/>
    </xf>
    <xf numFmtId="0" fontId="7" fillId="0" borderId="145" xfId="3" applyFont="1" applyBorder="1" applyAlignment="1">
      <alignment horizontal="left" vertical="center"/>
    </xf>
    <xf numFmtId="167" fontId="29" fillId="0" borderId="171" xfId="3" applyNumberFormat="1" applyFont="1" applyBorder="1" applyAlignment="1">
      <alignment horizontal="right" vertical="center"/>
    </xf>
    <xf numFmtId="167" fontId="7" fillId="0" borderId="172" xfId="3" applyNumberFormat="1" applyFont="1" applyBorder="1" applyAlignment="1">
      <alignment horizontal="right" vertical="center"/>
    </xf>
    <xf numFmtId="167" fontId="7" fillId="0" borderId="145" xfId="3" applyNumberFormat="1" applyFont="1" applyBorder="1" applyAlignment="1">
      <alignment horizontal="right" vertical="center"/>
    </xf>
    <xf numFmtId="167" fontId="7" fillId="0" borderId="171" xfId="3" applyNumberFormat="1" applyFont="1" applyBorder="1" applyAlignment="1">
      <alignment vertical="center"/>
    </xf>
    <xf numFmtId="167" fontId="7" fillId="0" borderId="172" xfId="3" applyNumberFormat="1" applyFont="1" applyBorder="1" applyAlignment="1">
      <alignment vertical="center"/>
    </xf>
    <xf numFmtId="167" fontId="7" fillId="0" borderId="145" xfId="3" applyNumberFormat="1" applyFont="1" applyBorder="1" applyAlignment="1">
      <alignment vertical="center"/>
    </xf>
    <xf numFmtId="167" fontId="7" fillId="0" borderId="173" xfId="3" applyNumberFormat="1" applyFont="1" applyBorder="1" applyAlignment="1">
      <alignment vertical="center"/>
    </xf>
    <xf numFmtId="167" fontId="7" fillId="0" borderId="174" xfId="3" applyNumberFormat="1" applyFont="1" applyBorder="1" applyAlignment="1">
      <alignment vertical="center"/>
    </xf>
    <xf numFmtId="167" fontId="7" fillId="0" borderId="175" xfId="3" applyNumberFormat="1" applyFont="1" applyBorder="1" applyAlignment="1">
      <alignment vertical="center"/>
    </xf>
    <xf numFmtId="169" fontId="7" fillId="0" borderId="176" xfId="3" applyNumberFormat="1" applyFont="1" applyBorder="1" applyAlignment="1">
      <alignment vertical="center"/>
    </xf>
    <xf numFmtId="169" fontId="7" fillId="0" borderId="177" xfId="3" applyNumberFormat="1" applyFont="1" applyBorder="1" applyAlignment="1">
      <alignment vertical="center"/>
    </xf>
    <xf numFmtId="167" fontId="7" fillId="0" borderId="55" xfId="3" applyNumberFormat="1" applyFont="1" applyBorder="1" applyAlignment="1">
      <alignment vertical="center"/>
    </xf>
    <xf numFmtId="167" fontId="7" fillId="0" borderId="0" xfId="3" applyNumberFormat="1" applyFont="1" applyAlignment="1">
      <alignment vertical="center"/>
    </xf>
    <xf numFmtId="169" fontId="7" fillId="0" borderId="174" xfId="3" applyNumberFormat="1" applyFont="1" applyBorder="1" applyAlignment="1">
      <alignment vertical="center"/>
    </xf>
    <xf numFmtId="169" fontId="7" fillId="0" borderId="175" xfId="3" applyNumberFormat="1" applyFont="1" applyBorder="1" applyAlignment="1">
      <alignment vertical="center"/>
    </xf>
    <xf numFmtId="0" fontId="7" fillId="0" borderId="45" xfId="3" applyFont="1" applyBorder="1" applyAlignment="1">
      <alignment horizontal="left" vertical="center"/>
    </xf>
    <xf numFmtId="168" fontId="29" fillId="0" borderId="46" xfId="3" quotePrefix="1" applyNumberFormat="1" applyFont="1" applyBorder="1" applyAlignment="1">
      <alignment horizontal="right" vertical="center"/>
    </xf>
    <xf numFmtId="168" fontId="7" fillId="0" borderId="53" xfId="3" applyNumberFormat="1" applyFont="1" applyBorder="1" applyAlignment="1">
      <alignment vertical="center"/>
    </xf>
    <xf numFmtId="168" fontId="7" fillId="0" borderId="54" xfId="3" applyNumberFormat="1" applyFont="1" applyBorder="1" applyAlignment="1">
      <alignment vertical="center"/>
    </xf>
    <xf numFmtId="168" fontId="28" fillId="0" borderId="50" xfId="5" applyNumberFormat="1" applyFont="1" applyBorder="1" applyAlignment="1">
      <alignment horizontal="right" vertical="center"/>
    </xf>
    <xf numFmtId="168" fontId="28" fillId="0" borderId="51" xfId="5" applyNumberFormat="1" applyFont="1" applyBorder="1" applyAlignment="1">
      <alignment horizontal="right" vertical="center"/>
    </xf>
    <xf numFmtId="168" fontId="28" fillId="0" borderId="49" xfId="5" applyNumberFormat="1" applyFont="1" applyBorder="1" applyAlignment="1">
      <alignment horizontal="right" vertical="center"/>
    </xf>
    <xf numFmtId="168" fontId="28" fillId="0" borderId="52" xfId="5" applyNumberFormat="1" applyFont="1" applyBorder="1" applyAlignment="1">
      <alignment vertical="center"/>
    </xf>
    <xf numFmtId="168" fontId="7" fillId="0" borderId="55" xfId="3" applyNumberFormat="1" applyFont="1" applyBorder="1" applyAlignment="1">
      <alignment vertical="center"/>
    </xf>
    <xf numFmtId="168" fontId="7" fillId="0" borderId="0" xfId="3" applyNumberFormat="1" applyFont="1" applyAlignment="1">
      <alignment vertical="center"/>
    </xf>
    <xf numFmtId="168" fontId="7" fillId="0" borderId="61" xfId="3" applyNumberFormat="1" applyFont="1" applyBorder="1" applyAlignment="1">
      <alignment vertical="center"/>
    </xf>
    <xf numFmtId="168" fontId="7" fillId="0" borderId="62" xfId="3" applyNumberFormat="1" applyFont="1" applyBorder="1" applyAlignment="1">
      <alignment vertical="center"/>
    </xf>
    <xf numFmtId="168" fontId="7" fillId="0" borderId="63" xfId="3" applyNumberFormat="1" applyFont="1" applyBorder="1" applyAlignment="1">
      <alignment horizontal="right" vertical="center"/>
    </xf>
    <xf numFmtId="168" fontId="7" fillId="0" borderId="64" xfId="3" applyNumberFormat="1" applyFont="1" applyBorder="1" applyAlignment="1">
      <alignment horizontal="right" vertical="center"/>
    </xf>
    <xf numFmtId="0" fontId="29" fillId="0" borderId="45" xfId="3" applyFont="1" applyBorder="1" applyAlignment="1">
      <alignment horizontal="left" vertical="center"/>
    </xf>
    <xf numFmtId="168" fontId="7" fillId="0" borderId="46" xfId="3" applyNumberFormat="1" applyFont="1" applyBorder="1" applyAlignment="1">
      <alignment horizontal="right" vertical="center"/>
    </xf>
    <xf numFmtId="167" fontId="29" fillId="0" borderId="47" xfId="3" applyNumberFormat="1" applyFont="1" applyBorder="1" applyAlignment="1">
      <alignment horizontal="right" vertical="center"/>
    </xf>
    <xf numFmtId="165" fontId="7" fillId="5" borderId="55" xfId="3" applyNumberFormat="1" applyFont="1" applyFill="1" applyBorder="1" applyAlignment="1">
      <alignment vertical="center"/>
    </xf>
    <xf numFmtId="165" fontId="7" fillId="5" borderId="0" xfId="3" applyNumberFormat="1" applyFont="1" applyFill="1" applyAlignment="1">
      <alignment vertical="center"/>
    </xf>
    <xf numFmtId="0" fontId="7" fillId="0" borderId="178" xfId="3" applyFont="1" applyBorder="1" applyAlignment="1">
      <alignment horizontal="left" vertical="top" wrapText="1" indent="1"/>
    </xf>
    <xf numFmtId="165" fontId="29" fillId="0" borderId="60" xfId="3" applyNumberFormat="1" applyFont="1" applyBorder="1" applyAlignment="1">
      <alignment horizontal="right" vertical="top"/>
    </xf>
    <xf numFmtId="165" fontId="7" fillId="0" borderId="40" xfId="3" applyNumberFormat="1" applyFont="1" applyBorder="1" applyAlignment="1">
      <alignment horizontal="right" vertical="top"/>
    </xf>
    <xf numFmtId="165" fontId="7" fillId="0" borderId="178" xfId="3" applyNumberFormat="1" applyFont="1" applyBorder="1" applyAlignment="1">
      <alignment horizontal="right" vertical="top"/>
    </xf>
    <xf numFmtId="165" fontId="7" fillId="0" borderId="60" xfId="3" applyNumberFormat="1" applyFont="1" applyBorder="1" applyAlignment="1">
      <alignment horizontal="right" vertical="top"/>
    </xf>
    <xf numFmtId="165" fontId="7" fillId="0" borderId="179" xfId="3" applyNumberFormat="1" applyFont="1" applyBorder="1" applyAlignment="1">
      <alignment horizontal="right" vertical="top"/>
    </xf>
    <xf numFmtId="165" fontId="7" fillId="5" borderId="60" xfId="3" applyNumberFormat="1" applyFont="1" applyFill="1" applyBorder="1" applyAlignment="1">
      <alignment vertical="top"/>
    </xf>
    <xf numFmtId="165" fontId="7" fillId="5" borderId="40" xfId="3" applyNumberFormat="1" applyFont="1" applyFill="1" applyBorder="1" applyAlignment="1">
      <alignment vertical="top"/>
    </xf>
    <xf numFmtId="0" fontId="40" fillId="0" borderId="0" xfId="3" quotePrefix="1" applyFont="1" applyAlignment="1">
      <alignment horizontal="left" vertical="center"/>
    </xf>
    <xf numFmtId="0" fontId="17" fillId="0" borderId="181" xfId="3" applyFont="1" applyBorder="1" applyAlignment="1">
      <alignment vertical="center" wrapText="1"/>
    </xf>
    <xf numFmtId="0" fontId="29" fillId="0" borderId="182" xfId="3" applyFont="1" applyBorder="1" applyAlignment="1">
      <alignment vertical="center"/>
    </xf>
    <xf numFmtId="0" fontId="29" fillId="0" borderId="183" xfId="3" applyFont="1" applyBorder="1" applyAlignment="1">
      <alignment vertical="center"/>
    </xf>
    <xf numFmtId="0" fontId="29" fillId="0" borderId="181" xfId="3" applyFont="1" applyBorder="1" applyAlignment="1">
      <alignment vertical="center"/>
    </xf>
    <xf numFmtId="0" fontId="7" fillId="0" borderId="182" xfId="3" applyFont="1" applyBorder="1" applyAlignment="1">
      <alignment vertical="center"/>
    </xf>
    <xf numFmtId="0" fontId="7" fillId="0" borderId="183" xfId="3" applyFont="1" applyBorder="1" applyAlignment="1">
      <alignment vertical="center"/>
    </xf>
    <xf numFmtId="0" fontId="7" fillId="0" borderId="181" xfId="3" applyFont="1" applyBorder="1" applyAlignment="1">
      <alignment vertical="center"/>
    </xf>
    <xf numFmtId="0" fontId="7" fillId="0" borderId="182" xfId="3" applyFont="1" applyBorder="1" applyAlignment="1">
      <alignment horizontal="center" vertical="center"/>
    </xf>
    <xf numFmtId="0" fontId="47" fillId="0" borderId="181" xfId="3" applyFont="1" applyBorder="1" applyAlignment="1">
      <alignment vertical="center" wrapText="1"/>
    </xf>
    <xf numFmtId="0" fontId="29" fillId="0" borderId="182" xfId="3" applyFont="1" applyBorder="1" applyAlignment="1">
      <alignment horizontal="right" vertical="center"/>
    </xf>
    <xf numFmtId="0" fontId="7" fillId="0" borderId="183" xfId="3" applyFont="1" applyBorder="1" applyAlignment="1">
      <alignment horizontal="right" vertical="center"/>
    </xf>
    <xf numFmtId="0" fontId="7" fillId="0" borderId="181" xfId="3" applyFont="1" applyBorder="1" applyAlignment="1">
      <alignment horizontal="right" vertical="center"/>
    </xf>
    <xf numFmtId="0" fontId="7" fillId="0" borderId="182" xfId="3" applyFont="1" applyBorder="1" applyAlignment="1">
      <alignment horizontal="right" vertical="center"/>
    </xf>
    <xf numFmtId="0" fontId="7" fillId="0" borderId="184" xfId="3" applyFont="1" applyBorder="1" applyAlignment="1">
      <alignment horizontal="right" vertical="center"/>
    </xf>
    <xf numFmtId="166" fontId="7" fillId="0" borderId="183" xfId="3" applyNumberFormat="1" applyFont="1" applyBorder="1" applyAlignment="1">
      <alignment horizontal="right" vertical="center"/>
    </xf>
    <xf numFmtId="0" fontId="17" fillId="0" borderId="181" xfId="3" applyFont="1" applyBorder="1" applyAlignment="1" applyProtection="1">
      <alignment vertical="center" wrapText="1"/>
      <protection locked="0"/>
    </xf>
    <xf numFmtId="0" fontId="29" fillId="0" borderId="182" xfId="3" applyFont="1" applyBorder="1" applyAlignment="1" applyProtection="1">
      <alignment horizontal="right" vertical="center"/>
      <protection locked="0"/>
    </xf>
    <xf numFmtId="0" fontId="7" fillId="0" borderId="183" xfId="3" applyFont="1" applyBorder="1" applyAlignment="1" applyProtection="1">
      <alignment horizontal="right" vertical="center"/>
      <protection locked="0"/>
    </xf>
    <xf numFmtId="0" fontId="7" fillId="0" borderId="181" xfId="3" applyFont="1" applyBorder="1" applyAlignment="1" applyProtection="1">
      <alignment horizontal="right" vertical="center"/>
      <protection locked="0"/>
    </xf>
    <xf numFmtId="166" fontId="29" fillId="0" borderId="183" xfId="3" applyNumberFormat="1" applyFont="1" applyBorder="1" applyAlignment="1">
      <alignment horizontal="right" vertical="center"/>
    </xf>
    <xf numFmtId="0" fontId="7" fillId="0" borderId="185" xfId="3" applyFont="1" applyBorder="1" applyAlignment="1" applyProtection="1">
      <alignment vertical="center"/>
      <protection locked="0"/>
    </xf>
    <xf numFmtId="165" fontId="29" fillId="0" borderId="186" xfId="3" applyNumberFormat="1" applyFont="1" applyBorder="1" applyAlignment="1" applyProtection="1">
      <alignment horizontal="right" vertical="center"/>
      <protection locked="0"/>
    </xf>
    <xf numFmtId="165" fontId="7" fillId="0" borderId="187" xfId="3" applyNumberFormat="1" applyFont="1" applyBorder="1" applyAlignment="1" applyProtection="1">
      <alignment horizontal="right" vertical="center"/>
      <protection locked="0"/>
    </xf>
    <xf numFmtId="165" fontId="7" fillId="0" borderId="187" xfId="3" quotePrefix="1" applyNumberFormat="1" applyFont="1" applyBorder="1" applyAlignment="1">
      <alignment horizontal="right" vertical="center"/>
    </xf>
    <xf numFmtId="165" fontId="7" fillId="0" borderId="185" xfId="3" applyNumberFormat="1" applyFont="1" applyBorder="1" applyAlignment="1">
      <alignment horizontal="right" vertical="center"/>
    </xf>
    <xf numFmtId="165" fontId="7" fillId="0" borderId="186" xfId="3" applyNumberFormat="1" applyFont="1" applyBorder="1" applyAlignment="1">
      <alignment vertical="center"/>
    </xf>
    <xf numFmtId="165" fontId="7" fillId="0" borderId="187" xfId="3" applyNumberFormat="1" applyFont="1" applyBorder="1" applyAlignment="1">
      <alignment vertical="center"/>
    </xf>
    <xf numFmtId="165" fontId="7" fillId="0" borderId="187" xfId="3" quotePrefix="1" applyNumberFormat="1" applyFont="1" applyBorder="1" applyAlignment="1">
      <alignment vertical="center"/>
    </xf>
    <xf numFmtId="165" fontId="7" fillId="0" borderId="185" xfId="3" applyNumberFormat="1" applyFont="1" applyBorder="1" applyAlignment="1">
      <alignment vertical="center"/>
    </xf>
    <xf numFmtId="165" fontId="7" fillId="0" borderId="188" xfId="3" applyNumberFormat="1" applyFont="1" applyBorder="1" applyAlignment="1">
      <alignment vertical="center"/>
    </xf>
    <xf numFmtId="0" fontId="7" fillId="0" borderId="189" xfId="3" applyFont="1" applyBorder="1" applyAlignment="1" applyProtection="1">
      <alignment vertical="center"/>
      <protection locked="0"/>
    </xf>
    <xf numFmtId="165" fontId="29" fillId="0" borderId="190" xfId="3" applyNumberFormat="1" applyFont="1" applyBorder="1" applyAlignment="1" applyProtection="1">
      <alignment horizontal="right" vertical="center"/>
      <protection locked="0"/>
    </xf>
    <xf numFmtId="165" fontId="7" fillId="0" borderId="191" xfId="3" applyNumberFormat="1" applyFont="1" applyBorder="1" applyAlignment="1" applyProtection="1">
      <alignment horizontal="right" vertical="center"/>
      <protection locked="0"/>
    </xf>
    <xf numFmtId="165" fontId="7" fillId="0" borderId="191" xfId="3" quotePrefix="1" applyNumberFormat="1" applyFont="1" applyBorder="1" applyAlignment="1">
      <alignment horizontal="right" vertical="center"/>
    </xf>
    <xf numFmtId="165" fontId="7" fillId="0" borderId="189" xfId="3" applyNumberFormat="1" applyFont="1" applyBorder="1" applyAlignment="1">
      <alignment horizontal="right" vertical="center"/>
    </xf>
    <xf numFmtId="165" fontId="7" fillId="0" borderId="190" xfId="3" applyNumberFormat="1" applyFont="1" applyBorder="1" applyAlignment="1">
      <alignment vertical="center"/>
    </xf>
    <xf numFmtId="165" fontId="7" fillId="0" borderId="191" xfId="3" applyNumberFormat="1" applyFont="1" applyBorder="1" applyAlignment="1">
      <alignment vertical="center"/>
    </xf>
    <xf numFmtId="165" fontId="7" fillId="0" borderId="191" xfId="3" quotePrefix="1" applyNumberFormat="1" applyFont="1" applyBorder="1" applyAlignment="1">
      <alignment vertical="center"/>
    </xf>
    <xf numFmtId="165" fontId="7" fillId="0" borderId="189" xfId="3" applyNumberFormat="1" applyFont="1" applyBorder="1" applyAlignment="1">
      <alignment vertical="center"/>
    </xf>
    <xf numFmtId="165" fontId="7" fillId="0" borderId="192" xfId="3" applyNumberFormat="1" applyFont="1" applyBorder="1" applyAlignment="1">
      <alignment vertical="center"/>
    </xf>
    <xf numFmtId="0" fontId="7" fillId="0" borderId="189" xfId="3" applyFont="1" applyBorder="1" applyAlignment="1" applyProtection="1">
      <alignment horizontal="left" vertical="center" indent="1"/>
      <protection locked="0"/>
    </xf>
    <xf numFmtId="165" fontId="29" fillId="0" borderId="190" xfId="3" applyNumberFormat="1" applyFont="1" applyBorder="1" applyAlignment="1" applyProtection="1">
      <alignment horizontal="left" vertical="center" indent="1"/>
      <protection locked="0"/>
    </xf>
    <xf numFmtId="165" fontId="7" fillId="0" borderId="191" xfId="3" applyNumberFormat="1" applyFont="1" applyBorder="1" applyAlignment="1" applyProtection="1">
      <alignment horizontal="left" vertical="center" indent="1"/>
      <protection locked="0"/>
    </xf>
    <xf numFmtId="165" fontId="7" fillId="0" borderId="191" xfId="3" quotePrefix="1" applyNumberFormat="1" applyFont="1" applyBorder="1" applyAlignment="1">
      <alignment horizontal="left" vertical="center" indent="1"/>
    </xf>
    <xf numFmtId="165" fontId="7" fillId="0" borderId="189" xfId="3" applyNumberFormat="1" applyFont="1" applyBorder="1" applyAlignment="1">
      <alignment horizontal="left" vertical="center" indent="1"/>
    </xf>
    <xf numFmtId="165" fontId="7" fillId="0" borderId="190" xfId="3" applyNumberFormat="1" applyFont="1" applyBorder="1" applyAlignment="1">
      <alignment horizontal="left" vertical="center" indent="1"/>
    </xf>
    <xf numFmtId="165" fontId="7" fillId="0" borderId="191" xfId="3" applyNumberFormat="1" applyFont="1" applyBorder="1" applyAlignment="1">
      <alignment horizontal="left" vertical="center" indent="1"/>
    </xf>
    <xf numFmtId="165" fontId="7" fillId="0" borderId="192" xfId="3" applyNumberFormat="1" applyFont="1" applyBorder="1" applyAlignment="1">
      <alignment horizontal="left" vertical="center" indent="1"/>
    </xf>
    <xf numFmtId="0" fontId="29" fillId="0" borderId="189" xfId="3" applyFont="1" applyBorder="1" applyAlignment="1" applyProtection="1">
      <alignment vertical="center"/>
      <protection locked="0"/>
    </xf>
    <xf numFmtId="165" fontId="7" fillId="0" borderId="191" xfId="3" applyNumberFormat="1" applyFont="1" applyBorder="1" applyAlignment="1">
      <alignment horizontal="right" vertical="center"/>
    </xf>
    <xf numFmtId="165" fontId="7" fillId="0" borderId="190" xfId="3" applyNumberFormat="1" applyFont="1" applyBorder="1" applyAlignment="1">
      <alignment horizontal="right" vertical="center"/>
    </xf>
    <xf numFmtId="165" fontId="7" fillId="0" borderId="192" xfId="3" applyNumberFormat="1" applyFont="1" applyBorder="1" applyAlignment="1">
      <alignment horizontal="right" vertical="center"/>
    </xf>
    <xf numFmtId="41" fontId="7" fillId="0" borderId="189" xfId="3" applyNumberFormat="1" applyFont="1" applyBorder="1" applyAlignment="1">
      <alignment horizontal="right" vertical="center"/>
    </xf>
    <xf numFmtId="41" fontId="7" fillId="0" borderId="190" xfId="3" applyNumberFormat="1" applyFont="1" applyBorder="1" applyAlignment="1">
      <alignment vertical="center"/>
    </xf>
    <xf numFmtId="41" fontId="7" fillId="0" borderId="191" xfId="3" applyNumberFormat="1" applyFont="1" applyBorder="1" applyAlignment="1">
      <alignment vertical="center"/>
    </xf>
    <xf numFmtId="41" fontId="7" fillId="0" borderId="189" xfId="3" applyNumberFormat="1" applyFont="1" applyBorder="1" applyAlignment="1">
      <alignment vertical="center"/>
    </xf>
    <xf numFmtId="41" fontId="7" fillId="0" borderId="192" xfId="3" applyNumberFormat="1" applyFont="1" applyBorder="1" applyAlignment="1">
      <alignment vertical="center"/>
    </xf>
    <xf numFmtId="0" fontId="29" fillId="0" borderId="101" xfId="3" applyFont="1" applyBorder="1" applyAlignment="1" applyProtection="1">
      <alignment vertical="center"/>
      <protection locked="0"/>
    </xf>
    <xf numFmtId="165" fontId="29" fillId="0" borderId="99" xfId="3" applyNumberFormat="1" applyFont="1" applyBorder="1" applyAlignment="1" applyProtection="1">
      <alignment horizontal="right" vertical="center"/>
      <protection locked="0"/>
    </xf>
    <xf numFmtId="165" fontId="7" fillId="0" borderId="100" xfId="3" applyNumberFormat="1" applyFont="1" applyBorder="1" applyAlignment="1" applyProtection="1">
      <alignment horizontal="right" vertical="center"/>
      <protection locked="0"/>
    </xf>
    <xf numFmtId="165" fontId="7" fillId="0" borderId="100" xfId="3" applyNumberFormat="1" applyFont="1" applyBorder="1" applyAlignment="1">
      <alignment horizontal="right" vertical="center"/>
    </xf>
    <xf numFmtId="165" fontId="7" fillId="0" borderId="101" xfId="3" applyNumberFormat="1" applyFont="1" applyBorder="1" applyAlignment="1">
      <alignment horizontal="right" vertical="center"/>
    </xf>
    <xf numFmtId="165" fontId="7" fillId="0" borderId="99" xfId="3" applyNumberFormat="1" applyFont="1" applyBorder="1" applyAlignment="1">
      <alignment vertical="center"/>
    </xf>
    <xf numFmtId="165" fontId="7" fillId="0" borderId="100" xfId="3" applyNumberFormat="1" applyFont="1" applyBorder="1" applyAlignment="1">
      <alignment vertical="center"/>
    </xf>
    <xf numFmtId="165" fontId="7" fillId="0" borderId="101" xfId="3" applyNumberFormat="1" applyFont="1" applyBorder="1" applyAlignment="1">
      <alignment vertical="center"/>
    </xf>
    <xf numFmtId="165" fontId="7" fillId="0" borderId="193" xfId="3" applyNumberFormat="1" applyFont="1" applyBorder="1" applyAlignment="1">
      <alignment vertical="center"/>
    </xf>
    <xf numFmtId="0" fontId="17" fillId="0" borderId="181" xfId="3" applyFont="1" applyBorder="1" applyAlignment="1" applyProtection="1">
      <alignment vertical="center"/>
      <protection locked="0"/>
    </xf>
    <xf numFmtId="165" fontId="29" fillId="0" borderId="182" xfId="3" applyNumberFormat="1" applyFont="1" applyBorder="1" applyAlignment="1" applyProtection="1">
      <alignment horizontal="right" vertical="center"/>
      <protection locked="0"/>
    </xf>
    <xf numFmtId="165" fontId="7" fillId="0" borderId="183" xfId="3" applyNumberFormat="1" applyFont="1" applyBorder="1" applyAlignment="1" applyProtection="1">
      <alignment horizontal="right" vertical="center"/>
      <protection locked="0"/>
    </xf>
    <xf numFmtId="165" fontId="7" fillId="0" borderId="183" xfId="3" applyNumberFormat="1" applyFont="1" applyBorder="1" applyAlignment="1">
      <alignment horizontal="right" vertical="center"/>
    </xf>
    <xf numFmtId="174" fontId="7" fillId="0" borderId="181" xfId="3" applyNumberFormat="1" applyFont="1" applyBorder="1" applyAlignment="1">
      <alignment horizontal="right" vertical="center"/>
    </xf>
    <xf numFmtId="174" fontId="7" fillId="0" borderId="182" xfId="3" applyNumberFormat="1" applyFont="1" applyBorder="1" applyAlignment="1">
      <alignment vertical="center"/>
    </xf>
    <xf numFmtId="174" fontId="7" fillId="0" borderId="183" xfId="3" applyNumberFormat="1" applyFont="1" applyBorder="1" applyAlignment="1">
      <alignment vertical="center"/>
    </xf>
    <xf numFmtId="174" fontId="7" fillId="0" borderId="181" xfId="3" applyNumberFormat="1" applyFont="1" applyBorder="1" applyAlignment="1">
      <alignment vertical="center"/>
    </xf>
    <xf numFmtId="174" fontId="7" fillId="0" borderId="184" xfId="3" applyNumberFormat="1" applyFont="1" applyBorder="1" applyAlignment="1">
      <alignment vertical="center"/>
    </xf>
    <xf numFmtId="0" fontId="29" fillId="0" borderId="185" xfId="3" applyFont="1" applyBorder="1" applyAlignment="1" applyProtection="1">
      <alignment vertical="center"/>
      <protection locked="0"/>
    </xf>
    <xf numFmtId="168" fontId="29" fillId="0" borderId="186" xfId="3" applyNumberFormat="1" applyFont="1" applyBorder="1" applyAlignment="1" applyProtection="1">
      <alignment horizontal="right" vertical="center"/>
      <protection locked="0"/>
    </xf>
    <xf numFmtId="168" fontId="7" fillId="0" borderId="187" xfId="3" applyNumberFormat="1" applyFont="1" applyBorder="1" applyAlignment="1" applyProtection="1">
      <alignment horizontal="right" vertical="center"/>
      <protection locked="0"/>
    </xf>
    <xf numFmtId="168" fontId="7" fillId="0" borderId="187" xfId="3" applyNumberFormat="1" applyFont="1" applyBorder="1" applyAlignment="1">
      <alignment horizontal="right" vertical="center"/>
    </xf>
    <xf numFmtId="168" fontId="7" fillId="0" borderId="185" xfId="3" applyNumberFormat="1" applyFont="1" applyBorder="1" applyAlignment="1">
      <alignment horizontal="right" vertical="center"/>
    </xf>
    <xf numFmtId="168" fontId="7" fillId="0" borderId="186" xfId="3" applyNumberFormat="1" applyFont="1" applyBorder="1" applyAlignment="1">
      <alignment vertical="center"/>
    </xf>
    <xf numFmtId="168" fontId="7" fillId="0" borderId="187" xfId="3" applyNumberFormat="1" applyFont="1" applyBorder="1" applyAlignment="1">
      <alignment vertical="center"/>
    </xf>
    <xf numFmtId="168" fontId="7" fillId="0" borderId="185" xfId="3" applyNumberFormat="1" applyFont="1" applyBorder="1" applyAlignment="1">
      <alignment vertical="center"/>
    </xf>
    <xf numFmtId="168" fontId="7" fillId="0" borderId="188" xfId="3" applyNumberFormat="1" applyFont="1" applyBorder="1" applyAlignment="1">
      <alignment vertical="center"/>
    </xf>
    <xf numFmtId="168" fontId="7" fillId="0" borderId="186" xfId="3" applyNumberFormat="1" applyFont="1" applyBorder="1" applyAlignment="1">
      <alignment horizontal="right" vertical="center"/>
    </xf>
    <xf numFmtId="168" fontId="29" fillId="0" borderId="99" xfId="3" applyNumberFormat="1" applyFont="1" applyBorder="1" applyAlignment="1" applyProtection="1">
      <alignment horizontal="right" vertical="center"/>
      <protection locked="0"/>
    </xf>
    <xf numFmtId="168" fontId="7" fillId="0" borderId="100" xfId="3" applyNumberFormat="1" applyFont="1" applyBorder="1" applyAlignment="1" applyProtection="1">
      <alignment horizontal="right" vertical="center"/>
      <protection locked="0"/>
    </xf>
    <xf numFmtId="168" fontId="7" fillId="0" borderId="100" xfId="3" applyNumberFormat="1" applyFont="1" applyBorder="1" applyAlignment="1">
      <alignment horizontal="right" vertical="center"/>
    </xf>
    <xf numFmtId="168" fontId="7" fillId="0" borderId="101" xfId="3" applyNumberFormat="1" applyFont="1" applyBorder="1" applyAlignment="1">
      <alignment horizontal="right" vertical="center"/>
    </xf>
    <xf numFmtId="168" fontId="7" fillId="0" borderId="99" xfId="3" applyNumberFormat="1" applyFont="1" applyBorder="1" applyAlignment="1">
      <alignment vertical="center"/>
    </xf>
    <xf numFmtId="168" fontId="7" fillId="0" borderId="193" xfId="3" applyNumberFormat="1" applyFont="1" applyBorder="1" applyAlignment="1">
      <alignment vertical="center"/>
    </xf>
    <xf numFmtId="168" fontId="7" fillId="0" borderId="99" xfId="3" applyNumberFormat="1" applyFont="1" applyBorder="1" applyAlignment="1">
      <alignment horizontal="right" vertical="center"/>
    </xf>
    <xf numFmtId="165" fontId="7" fillId="0" borderId="189" xfId="3" quotePrefix="1" applyNumberFormat="1" applyFont="1" applyBorder="1" applyAlignment="1">
      <alignment horizontal="right" vertical="center"/>
    </xf>
    <xf numFmtId="0" fontId="29" fillId="0" borderId="194" xfId="3" applyFont="1" applyBorder="1" applyAlignment="1" applyProtection="1">
      <alignment vertical="center"/>
      <protection locked="0"/>
    </xf>
    <xf numFmtId="165" fontId="7" fillId="0" borderId="99" xfId="3" applyNumberFormat="1" applyFont="1" applyBorder="1" applyAlignment="1">
      <alignment horizontal="right" vertical="center"/>
    </xf>
    <xf numFmtId="0" fontId="27" fillId="0" borderId="195" xfId="3" applyFont="1" applyBorder="1" applyAlignment="1" applyProtection="1">
      <alignment vertical="center"/>
      <protection locked="0"/>
    </xf>
    <xf numFmtId="0" fontId="40" fillId="0" borderId="195" xfId="3" applyFont="1" applyBorder="1" applyAlignment="1">
      <alignment horizontal="left" vertical="center"/>
    </xf>
    <xf numFmtId="0" fontId="47" fillId="0" borderId="181" xfId="3" applyFont="1" applyBorder="1" applyAlignment="1">
      <alignment vertical="center"/>
    </xf>
    <xf numFmtId="175" fontId="29" fillId="0" borderId="182" xfId="3" applyNumberFormat="1" applyFont="1" applyBorder="1" applyAlignment="1">
      <alignment horizontal="right" vertical="center"/>
    </xf>
    <xf numFmtId="175" fontId="7" fillId="0" borderId="183" xfId="3" applyNumberFormat="1" applyFont="1" applyBorder="1" applyAlignment="1">
      <alignment horizontal="right" vertical="center"/>
    </xf>
    <xf numFmtId="175" fontId="7" fillId="0" borderId="181" xfId="3" applyNumberFormat="1" applyFont="1" applyBorder="1" applyAlignment="1">
      <alignment horizontal="right" vertical="center"/>
    </xf>
    <xf numFmtId="175" fontId="7" fillId="0" borderId="182" xfId="3" applyNumberFormat="1" applyFont="1" applyBorder="1" applyAlignment="1">
      <alignment horizontal="right" vertical="center"/>
    </xf>
    <xf numFmtId="175" fontId="7" fillId="0" borderId="184" xfId="3" applyNumberFormat="1" applyFont="1" applyBorder="1" applyAlignment="1">
      <alignment horizontal="right" vertical="center"/>
    </xf>
    <xf numFmtId="175" fontId="7" fillId="0" borderId="182" xfId="3" applyNumberFormat="1" applyFont="1" applyBorder="1" applyAlignment="1">
      <alignment vertical="center"/>
    </xf>
    <xf numFmtId="175" fontId="7" fillId="0" borderId="183" xfId="3" applyNumberFormat="1" applyFont="1" applyBorder="1" applyAlignment="1">
      <alignment vertical="center"/>
    </xf>
    <xf numFmtId="0" fontId="29" fillId="0" borderId="185" xfId="3" applyFont="1" applyBorder="1" applyAlignment="1">
      <alignment horizontal="left" vertical="center" indent="2"/>
    </xf>
    <xf numFmtId="165" fontId="29" fillId="0" borderId="186" xfId="3" applyNumberFormat="1" applyFont="1" applyBorder="1" applyAlignment="1">
      <alignment horizontal="right" vertical="center"/>
    </xf>
    <xf numFmtId="0" fontId="29" fillId="0" borderId="189" xfId="3" applyFont="1" applyBorder="1" applyAlignment="1">
      <alignment horizontal="left" vertical="center" indent="2"/>
    </xf>
    <xf numFmtId="165" fontId="29" fillId="0" borderId="190" xfId="3" applyNumberFormat="1" applyFont="1" applyBorder="1" applyAlignment="1">
      <alignment horizontal="right" vertical="center"/>
    </xf>
    <xf numFmtId="0" fontId="29" fillId="0" borderId="189" xfId="3" applyFont="1" applyBorder="1" applyAlignment="1">
      <alignment horizontal="left" vertical="center" indent="1"/>
    </xf>
    <xf numFmtId="0" fontId="29" fillId="0" borderId="189" xfId="3" applyFont="1" applyBorder="1" applyAlignment="1">
      <alignment vertical="center"/>
    </xf>
    <xf numFmtId="0" fontId="29" fillId="0" borderId="190" xfId="3" applyFont="1" applyBorder="1" applyAlignment="1">
      <alignment horizontal="right" vertical="center"/>
    </xf>
    <xf numFmtId="0" fontId="7" fillId="0" borderId="191" xfId="3" applyFont="1" applyBorder="1" applyAlignment="1" applyProtection="1">
      <alignment horizontal="right" vertical="center"/>
      <protection locked="0"/>
    </xf>
    <xf numFmtId="176" fontId="7" fillId="0" borderId="189" xfId="3" applyNumberFormat="1" applyFont="1" applyBorder="1" applyAlignment="1">
      <alignment horizontal="right" vertical="center"/>
    </xf>
    <xf numFmtId="177" fontId="7" fillId="0" borderId="190" xfId="3" applyNumberFormat="1" applyFont="1" applyBorder="1" applyAlignment="1">
      <alignment vertical="center"/>
    </xf>
    <xf numFmtId="177" fontId="7" fillId="0" borderId="191" xfId="3" applyNumberFormat="1" applyFont="1" applyBorder="1" applyAlignment="1">
      <alignment vertical="center"/>
    </xf>
    <xf numFmtId="177" fontId="7" fillId="0" borderId="189" xfId="3" applyNumberFormat="1" applyFont="1" applyBorder="1" applyAlignment="1">
      <alignment vertical="center"/>
    </xf>
    <xf numFmtId="177" fontId="7" fillId="0" borderId="192" xfId="3" applyNumberFormat="1" applyFont="1" applyBorder="1" applyAlignment="1">
      <alignment vertical="center"/>
    </xf>
    <xf numFmtId="0" fontId="7" fillId="0" borderId="189" xfId="3" applyFont="1" applyBorder="1" applyAlignment="1">
      <alignment horizontal="left" vertical="center" indent="3"/>
    </xf>
    <xf numFmtId="0" fontId="29" fillId="0" borderId="189" xfId="3" applyFont="1" applyBorder="1" applyAlignment="1">
      <alignment horizontal="left" vertical="center"/>
    </xf>
    <xf numFmtId="0" fontId="7" fillId="0" borderId="189" xfId="3" applyFont="1" applyBorder="1" applyAlignment="1">
      <alignment horizontal="left" vertical="center" indent="1"/>
    </xf>
    <xf numFmtId="0" fontId="7" fillId="0" borderId="189" xfId="3" quotePrefix="1" applyFont="1" applyBorder="1" applyAlignment="1">
      <alignment horizontal="left" vertical="center" indent="1"/>
    </xf>
    <xf numFmtId="0" fontId="29" fillId="0" borderId="101" xfId="3" applyFont="1" applyBorder="1" applyAlignment="1">
      <alignment vertical="center"/>
    </xf>
    <xf numFmtId="165" fontId="29" fillId="0" borderId="99" xfId="3" applyNumberFormat="1" applyFont="1" applyBorder="1" applyAlignment="1">
      <alignment horizontal="right" vertical="center"/>
    </xf>
    <xf numFmtId="0" fontId="1" fillId="0" borderId="195" xfId="3" applyFont="1" applyBorder="1"/>
    <xf numFmtId="0" fontId="47" fillId="0" borderId="84" xfId="3" applyFont="1" applyBorder="1" applyAlignment="1">
      <alignment vertical="center"/>
    </xf>
    <xf numFmtId="0" fontId="29" fillId="0" borderId="85" xfId="3" applyFont="1" applyBorder="1" applyAlignment="1">
      <alignment vertical="center"/>
    </xf>
    <xf numFmtId="0" fontId="29" fillId="0" borderId="86" xfId="3" applyFont="1" applyBorder="1" applyAlignment="1">
      <alignment vertical="center"/>
    </xf>
    <xf numFmtId="0" fontId="29" fillId="0" borderId="84" xfId="3" applyFont="1" applyBorder="1" applyAlignment="1">
      <alignment vertical="center"/>
    </xf>
    <xf numFmtId="0" fontId="29" fillId="0" borderId="85" xfId="3" applyFont="1" applyBorder="1" applyAlignment="1">
      <alignment horizontal="right" vertical="center"/>
    </xf>
    <xf numFmtId="166" fontId="7" fillId="0" borderId="85" xfId="3" applyNumberFormat="1" applyFont="1" applyBorder="1" applyAlignment="1">
      <alignment horizontal="right" vertical="center"/>
    </xf>
    <xf numFmtId="166" fontId="7" fillId="0" borderId="86" xfId="3" applyNumberFormat="1" applyFont="1" applyBorder="1" applyAlignment="1">
      <alignment horizontal="right" vertical="center"/>
    </xf>
    <xf numFmtId="0" fontId="17" fillId="0" borderId="84" xfId="3" applyFont="1" applyBorder="1" applyAlignment="1">
      <alignment vertical="center"/>
    </xf>
    <xf numFmtId="0" fontId="29" fillId="0" borderId="84" xfId="3" applyFont="1" applyBorder="1" applyAlignment="1">
      <alignment horizontal="right" vertical="center"/>
    </xf>
    <xf numFmtId="166" fontId="29" fillId="0" borderId="87" xfId="3" applyNumberFormat="1" applyFont="1" applyBorder="1" applyAlignment="1">
      <alignment horizontal="right" vertical="center"/>
    </xf>
    <xf numFmtId="166" fontId="29" fillId="0" borderId="85" xfId="3" applyNumberFormat="1" applyFont="1" applyBorder="1" applyAlignment="1">
      <alignment horizontal="right" vertical="center"/>
    </xf>
    <xf numFmtId="166" fontId="29" fillId="0" borderId="86" xfId="3" applyNumberFormat="1" applyFont="1" applyBorder="1" applyAlignment="1">
      <alignment horizontal="right" vertical="center"/>
    </xf>
    <xf numFmtId="0" fontId="7" fillId="0" borderId="196" xfId="3" applyFont="1" applyBorder="1" applyAlignment="1">
      <alignment vertical="center"/>
    </xf>
    <xf numFmtId="165" fontId="29" fillId="0" borderId="197" xfId="3" applyNumberFormat="1" applyFont="1" applyBorder="1" applyAlignment="1">
      <alignment horizontal="right" vertical="center"/>
    </xf>
    <xf numFmtId="165" fontId="7" fillId="0" borderId="198" xfId="3" applyNumberFormat="1" applyFont="1" applyBorder="1" applyAlignment="1">
      <alignment horizontal="right" vertical="center"/>
    </xf>
    <xf numFmtId="165" fontId="7" fillId="0" borderId="198" xfId="3" applyNumberFormat="1" applyFont="1" applyBorder="1" applyAlignment="1" applyProtection="1">
      <alignment horizontal="right" vertical="center"/>
      <protection locked="0"/>
    </xf>
    <xf numFmtId="165" fontId="7" fillId="0" borderId="196" xfId="3" applyNumberFormat="1" applyFont="1" applyBorder="1" applyAlignment="1">
      <alignment horizontal="right" vertical="center"/>
    </xf>
    <xf numFmtId="165" fontId="7" fillId="0" borderId="197" xfId="3" applyNumberFormat="1" applyFont="1" applyBorder="1" applyAlignment="1">
      <alignment vertical="center"/>
    </xf>
    <xf numFmtId="165" fontId="7" fillId="0" borderId="198" xfId="3" applyNumberFormat="1" applyFont="1" applyBorder="1" applyAlignment="1">
      <alignment vertical="center"/>
    </xf>
    <xf numFmtId="165" fontId="7" fillId="0" borderId="196" xfId="3" applyNumberFormat="1" applyFont="1" applyBorder="1" applyAlignment="1">
      <alignment vertical="center"/>
    </xf>
    <xf numFmtId="165" fontId="7" fillId="0" borderId="199" xfId="3" applyNumberFormat="1" applyFont="1" applyBorder="1" applyAlignment="1">
      <alignment vertical="center"/>
    </xf>
    <xf numFmtId="165" fontId="7" fillId="0" borderId="197" xfId="3" applyNumberFormat="1" applyFont="1" applyBorder="1" applyAlignment="1" applyProtection="1">
      <alignment vertical="center"/>
      <protection locked="0"/>
    </xf>
    <xf numFmtId="0" fontId="7" fillId="0" borderId="200" xfId="3" applyFont="1" applyBorder="1" applyAlignment="1">
      <alignment vertical="center"/>
    </xf>
    <xf numFmtId="165" fontId="29" fillId="0" borderId="201" xfId="3" applyNumberFormat="1" applyFont="1" applyBorder="1" applyAlignment="1">
      <alignment horizontal="right" vertical="center"/>
    </xf>
    <xf numFmtId="165" fontId="7" fillId="0" borderId="200" xfId="3" applyNumberFormat="1" applyFont="1" applyBorder="1" applyAlignment="1">
      <alignment horizontal="right" vertical="center"/>
    </xf>
    <xf numFmtId="165" fontId="7" fillId="0" borderId="201" xfId="3" applyNumberFormat="1" applyFont="1" applyBorder="1" applyAlignment="1">
      <alignment vertical="center"/>
    </xf>
    <xf numFmtId="165" fontId="7" fillId="0" borderId="200" xfId="3" applyNumberFormat="1" applyFont="1" applyBorder="1" applyAlignment="1">
      <alignment vertical="center"/>
    </xf>
    <xf numFmtId="165" fontId="7" fillId="0" borderId="202" xfId="3" applyNumberFormat="1" applyFont="1" applyBorder="1" applyAlignment="1">
      <alignment vertical="center"/>
    </xf>
    <xf numFmtId="165" fontId="7" fillId="0" borderId="201" xfId="3" applyNumberFormat="1" applyFont="1" applyBorder="1" applyAlignment="1" applyProtection="1">
      <alignment vertical="center"/>
      <protection locked="0"/>
    </xf>
    <xf numFmtId="0" fontId="7" fillId="0" borderId="200" xfId="3" applyFont="1" applyBorder="1" applyAlignment="1">
      <alignment horizontal="left" vertical="center" indent="1"/>
    </xf>
    <xf numFmtId="0" fontId="29" fillId="0" borderId="200" xfId="3" applyFont="1" applyBorder="1" applyAlignment="1">
      <alignment vertical="center"/>
    </xf>
    <xf numFmtId="41" fontId="29" fillId="0" borderId="201" xfId="3" applyNumberFormat="1" applyFont="1" applyBorder="1" applyAlignment="1">
      <alignment horizontal="right" vertical="center"/>
    </xf>
    <xf numFmtId="41" fontId="7" fillId="0" borderId="191" xfId="3" applyNumberFormat="1" applyFont="1" applyBorder="1" applyAlignment="1">
      <alignment horizontal="right" vertical="center"/>
    </xf>
    <xf numFmtId="41" fontId="7" fillId="0" borderId="191" xfId="3" applyNumberFormat="1" applyFont="1" applyBorder="1" applyAlignment="1" applyProtection="1">
      <alignment horizontal="right" vertical="center"/>
      <protection locked="0"/>
    </xf>
    <xf numFmtId="41" fontId="7" fillId="0" borderId="201" xfId="3" applyNumberFormat="1" applyFont="1" applyBorder="1" applyAlignment="1">
      <alignment vertical="center"/>
    </xf>
    <xf numFmtId="41" fontId="7" fillId="0" borderId="200" xfId="3" applyNumberFormat="1" applyFont="1" applyBorder="1" applyAlignment="1">
      <alignment vertical="center"/>
    </xf>
    <xf numFmtId="41" fontId="7" fillId="0" borderId="202" xfId="3" applyNumberFormat="1" applyFont="1" applyBorder="1" applyAlignment="1">
      <alignment vertical="center"/>
    </xf>
    <xf numFmtId="41" fontId="7" fillId="0" borderId="201" xfId="3" applyNumberFormat="1" applyFont="1" applyBorder="1" applyAlignment="1" applyProtection="1">
      <alignment vertical="center"/>
      <protection locked="0"/>
    </xf>
    <xf numFmtId="0" fontId="7" fillId="0" borderId="203" xfId="3" applyFont="1" applyBorder="1" applyAlignment="1">
      <alignment vertical="center"/>
    </xf>
    <xf numFmtId="174" fontId="29" fillId="0" borderId="204" xfId="3" applyNumberFormat="1" applyFont="1" applyBorder="1" applyAlignment="1">
      <alignment horizontal="right" vertical="center"/>
    </xf>
    <xf numFmtId="174" fontId="7" fillId="0" borderId="205" xfId="3" applyNumberFormat="1" applyFont="1" applyBorder="1" applyAlignment="1">
      <alignment horizontal="right" vertical="center"/>
    </xf>
    <xf numFmtId="41" fontId="7" fillId="0" borderId="205" xfId="3" applyNumberFormat="1" applyFont="1" applyBorder="1" applyAlignment="1" applyProtection="1">
      <alignment horizontal="right" vertical="center"/>
      <protection locked="0"/>
    </xf>
    <xf numFmtId="41" fontId="7" fillId="0" borderId="203" xfId="3" applyNumberFormat="1" applyFont="1" applyBorder="1" applyAlignment="1">
      <alignment horizontal="right" vertical="center"/>
    </xf>
    <xf numFmtId="174" fontId="7" fillId="0" borderId="204" xfId="3" applyNumberFormat="1" applyFont="1" applyBorder="1" applyAlignment="1">
      <alignment vertical="center"/>
    </xf>
    <xf numFmtId="174" fontId="7" fillId="0" borderId="205" xfId="3" applyNumberFormat="1" applyFont="1" applyBorder="1" applyAlignment="1">
      <alignment vertical="center"/>
    </xf>
    <xf numFmtId="41" fontId="7" fillId="0" borderId="205" xfId="3" applyNumberFormat="1" applyFont="1" applyBorder="1" applyAlignment="1">
      <alignment vertical="center"/>
    </xf>
    <xf numFmtId="41" fontId="7" fillId="0" borderId="203" xfId="3" applyNumberFormat="1" applyFont="1" applyBorder="1" applyAlignment="1">
      <alignment vertical="center"/>
    </xf>
    <xf numFmtId="41" fontId="7" fillId="0" borderId="206" xfId="3" applyNumberFormat="1" applyFont="1" applyBorder="1" applyAlignment="1">
      <alignment vertical="center"/>
    </xf>
    <xf numFmtId="41" fontId="7" fillId="0" borderId="204" xfId="3" applyNumberFormat="1" applyFont="1" applyBorder="1" applyAlignment="1" applyProtection="1">
      <alignment vertical="center"/>
      <protection locked="0"/>
    </xf>
    <xf numFmtId="178" fontId="29" fillId="0" borderId="85" xfId="3" applyNumberFormat="1" applyFont="1" applyBorder="1" applyAlignment="1">
      <alignment horizontal="right" vertical="center"/>
    </xf>
    <xf numFmtId="169" fontId="7" fillId="0" borderId="86" xfId="3" applyNumberFormat="1" applyFont="1" applyBorder="1" applyAlignment="1">
      <alignment horizontal="right" vertical="center"/>
    </xf>
    <xf numFmtId="169" fontId="7" fillId="0" borderId="86" xfId="3" applyNumberFormat="1" applyFont="1" applyBorder="1" applyAlignment="1" applyProtection="1">
      <alignment horizontal="right" vertical="center"/>
      <protection locked="0"/>
    </xf>
    <xf numFmtId="169" fontId="7" fillId="0" borderId="84" xfId="3" applyNumberFormat="1" applyFont="1" applyBorder="1" applyAlignment="1">
      <alignment horizontal="right" vertical="center"/>
    </xf>
    <xf numFmtId="169" fontId="7" fillId="0" borderId="85" xfId="3" applyNumberFormat="1" applyFont="1" applyBorder="1" applyAlignment="1">
      <alignment vertical="center"/>
    </xf>
    <xf numFmtId="169" fontId="7" fillId="0" borderId="86" xfId="3" applyNumberFormat="1" applyFont="1" applyBorder="1" applyAlignment="1">
      <alignment vertical="center"/>
    </xf>
    <xf numFmtId="169" fontId="7" fillId="0" borderId="84" xfId="3" applyNumberFormat="1" applyFont="1" applyBorder="1" applyAlignment="1">
      <alignment vertical="center"/>
    </xf>
    <xf numFmtId="169" fontId="7" fillId="0" borderId="87" xfId="3" applyNumberFormat="1" applyFont="1" applyBorder="1" applyAlignment="1">
      <alignment vertical="center"/>
    </xf>
    <xf numFmtId="41" fontId="7" fillId="0" borderId="86" xfId="3" applyNumberFormat="1" applyFont="1" applyBorder="1" applyAlignment="1">
      <alignment vertical="center"/>
    </xf>
    <xf numFmtId="0" fontId="7" fillId="0" borderId="196" xfId="3" applyFont="1" applyBorder="1" applyAlignment="1">
      <alignment horizontal="left" vertical="center" indent="1"/>
    </xf>
    <xf numFmtId="168" fontId="29" fillId="0" borderId="197" xfId="3" applyNumberFormat="1" applyFont="1" applyBorder="1" applyAlignment="1">
      <alignment horizontal="right" vertical="center"/>
    </xf>
    <xf numFmtId="168" fontId="7" fillId="0" borderId="198" xfId="3" applyNumberFormat="1" applyFont="1" applyBorder="1" applyAlignment="1">
      <alignment horizontal="right" vertical="center"/>
    </xf>
    <xf numFmtId="168" fontId="7" fillId="0" borderId="198" xfId="3" applyNumberFormat="1" applyFont="1" applyBorder="1" applyAlignment="1" applyProtection="1">
      <alignment horizontal="right" vertical="center"/>
      <protection locked="0"/>
    </xf>
    <xf numFmtId="168" fontId="7" fillId="0" borderId="196" xfId="3" applyNumberFormat="1" applyFont="1" applyBorder="1" applyAlignment="1">
      <alignment horizontal="right" vertical="center"/>
    </xf>
    <xf numFmtId="168" fontId="7" fillId="0" borderId="197" xfId="3" applyNumberFormat="1" applyFont="1" applyBorder="1" applyAlignment="1">
      <alignment vertical="center"/>
    </xf>
    <xf numFmtId="168" fontId="7" fillId="0" borderId="198" xfId="3" applyNumberFormat="1" applyFont="1" applyBorder="1" applyAlignment="1">
      <alignment vertical="center"/>
    </xf>
    <xf numFmtId="168" fontId="7" fillId="0" borderId="196" xfId="3" applyNumberFormat="1" applyFont="1" applyBorder="1" applyAlignment="1">
      <alignment vertical="center"/>
    </xf>
    <xf numFmtId="168" fontId="7" fillId="0" borderId="199" xfId="3" applyNumberFormat="1" applyFont="1" applyBorder="1" applyAlignment="1">
      <alignment vertical="center"/>
    </xf>
    <xf numFmtId="168" fontId="7" fillId="7" borderId="207" xfId="3" applyNumberFormat="1" applyFont="1" applyFill="1" applyBorder="1" applyAlignment="1" applyProtection="1">
      <alignment vertical="center"/>
      <protection locked="0"/>
    </xf>
    <xf numFmtId="41" fontId="7" fillId="7" borderId="208" xfId="3" applyNumberFormat="1" applyFont="1" applyFill="1" applyBorder="1" applyAlignment="1">
      <alignment vertical="center"/>
    </xf>
    <xf numFmtId="168" fontId="29" fillId="0" borderId="201" xfId="3" applyNumberFormat="1" applyFont="1" applyBorder="1" applyAlignment="1">
      <alignment horizontal="right" vertical="center"/>
    </xf>
    <xf numFmtId="168" fontId="7" fillId="0" borderId="191" xfId="3" applyNumberFormat="1" applyFont="1" applyBorder="1" applyAlignment="1">
      <alignment horizontal="right" vertical="center"/>
    </xf>
    <xf numFmtId="168" fontId="7" fillId="0" borderId="191" xfId="3" applyNumberFormat="1" applyFont="1" applyBorder="1" applyAlignment="1" applyProtection="1">
      <alignment horizontal="right" vertical="center"/>
      <protection locked="0"/>
    </xf>
    <xf numFmtId="168" fontId="7" fillId="0" borderId="200" xfId="3" applyNumberFormat="1" applyFont="1" applyBorder="1" applyAlignment="1">
      <alignment horizontal="right" vertical="center"/>
    </xf>
    <xf numFmtId="168" fontId="7" fillId="0" borderId="201" xfId="3" applyNumberFormat="1" applyFont="1" applyBorder="1" applyAlignment="1">
      <alignment vertical="center"/>
    </xf>
    <xf numFmtId="168" fontId="7" fillId="0" borderId="191" xfId="3" applyNumberFormat="1" applyFont="1" applyBorder="1" applyAlignment="1">
      <alignment vertical="center"/>
    </xf>
    <xf numFmtId="168" fontId="7" fillId="0" borderId="200" xfId="3" applyNumberFormat="1" applyFont="1" applyBorder="1" applyAlignment="1">
      <alignment vertical="center"/>
    </xf>
    <xf numFmtId="168" fontId="7" fillId="0" borderId="202" xfId="3" applyNumberFormat="1" applyFont="1" applyBorder="1" applyAlignment="1">
      <alignment vertical="center"/>
    </xf>
    <xf numFmtId="168" fontId="7" fillId="7" borderId="209" xfId="3" applyNumberFormat="1" applyFont="1" applyFill="1" applyBorder="1" applyAlignment="1" applyProtection="1">
      <alignment vertical="center"/>
      <protection locked="0"/>
    </xf>
    <xf numFmtId="41" fontId="7" fillId="7" borderId="210" xfId="3" applyNumberFormat="1" applyFont="1" applyFill="1" applyBorder="1" applyAlignment="1">
      <alignment vertical="center"/>
    </xf>
    <xf numFmtId="178" fontId="29" fillId="0" borderId="204" xfId="3" applyNumberFormat="1" applyFont="1" applyBorder="1" applyAlignment="1">
      <alignment horizontal="right" vertical="center"/>
    </xf>
    <xf numFmtId="169" fontId="7" fillId="0" borderId="205" xfId="3" applyNumberFormat="1" applyFont="1" applyBorder="1" applyAlignment="1">
      <alignment horizontal="right" vertical="center"/>
    </xf>
    <xf numFmtId="169" fontId="7" fillId="0" borderId="205" xfId="3" applyNumberFormat="1" applyFont="1" applyBorder="1" applyAlignment="1" applyProtection="1">
      <alignment horizontal="right" vertical="center"/>
      <protection locked="0"/>
    </xf>
    <xf numFmtId="168" fontId="7" fillId="0" borderId="203" xfId="3" applyNumberFormat="1" applyFont="1" applyBorder="1" applyAlignment="1">
      <alignment horizontal="right" vertical="center"/>
    </xf>
    <xf numFmtId="169" fontId="7" fillId="0" borderId="204" xfId="3" applyNumberFormat="1" applyFont="1" applyBorder="1" applyAlignment="1">
      <alignment vertical="center"/>
    </xf>
    <xf numFmtId="169" fontId="7" fillId="0" borderId="205" xfId="3" applyNumberFormat="1" applyFont="1" applyBorder="1" applyAlignment="1">
      <alignment vertical="center"/>
    </xf>
    <xf numFmtId="169" fontId="7" fillId="0" borderId="203" xfId="3" applyNumberFormat="1" applyFont="1" applyBorder="1" applyAlignment="1">
      <alignment vertical="center"/>
    </xf>
    <xf numFmtId="169" fontId="7" fillId="0" borderId="206" xfId="3" applyNumberFormat="1" applyFont="1" applyBorder="1" applyAlignment="1">
      <alignment vertical="center"/>
    </xf>
    <xf numFmtId="178" fontId="7" fillId="0" borderId="211" xfId="3" applyNumberFormat="1" applyFont="1" applyBorder="1" applyAlignment="1" applyProtection="1">
      <alignment vertical="center"/>
      <protection locked="0"/>
    </xf>
    <xf numFmtId="168" fontId="7" fillId="0" borderId="84" xfId="3" applyNumberFormat="1" applyFont="1" applyBorder="1" applyAlignment="1">
      <alignment horizontal="right" vertical="center"/>
    </xf>
    <xf numFmtId="178" fontId="7" fillId="0" borderId="85" xfId="3" applyNumberFormat="1" applyFont="1" applyBorder="1" applyAlignment="1" applyProtection="1">
      <alignment vertical="center"/>
      <protection locked="0"/>
    </xf>
    <xf numFmtId="169" fontId="29" fillId="0" borderId="197" xfId="3" applyNumberFormat="1" applyFont="1" applyBorder="1" applyAlignment="1">
      <alignment horizontal="right" vertical="center"/>
    </xf>
    <xf numFmtId="169" fontId="7" fillId="0" borderId="198" xfId="3" applyNumberFormat="1" applyFont="1" applyBorder="1" applyAlignment="1">
      <alignment horizontal="right" vertical="center"/>
    </xf>
    <xf numFmtId="169" fontId="7" fillId="0" borderId="198" xfId="3" applyNumberFormat="1" applyFont="1" applyBorder="1" applyAlignment="1" applyProtection="1">
      <alignment horizontal="right" vertical="center"/>
      <protection locked="0"/>
    </xf>
    <xf numFmtId="169" fontId="29" fillId="0" borderId="201" xfId="3" applyNumberFormat="1" applyFont="1" applyBorder="1" applyAlignment="1">
      <alignment horizontal="right" vertical="center"/>
    </xf>
    <xf numFmtId="169" fontId="7" fillId="0" borderId="191" xfId="3" applyNumberFormat="1" applyFont="1" applyBorder="1" applyAlignment="1">
      <alignment horizontal="right" vertical="center"/>
    </xf>
    <xf numFmtId="169" fontId="7" fillId="0" borderId="191" xfId="3" applyNumberFormat="1" applyFont="1" applyBorder="1" applyAlignment="1" applyProtection="1">
      <alignment horizontal="right" vertical="center"/>
      <protection locked="0"/>
    </xf>
    <xf numFmtId="168" fontId="7" fillId="7" borderId="151" xfId="3" applyNumberFormat="1" applyFont="1" applyFill="1" applyBorder="1" applyAlignment="1" applyProtection="1">
      <alignment vertical="center"/>
      <protection locked="0"/>
    </xf>
    <xf numFmtId="0" fontId="29" fillId="0" borderId="203" xfId="3" applyFont="1" applyBorder="1" applyAlignment="1">
      <alignment vertical="center"/>
    </xf>
    <xf numFmtId="169" fontId="29" fillId="0" borderId="204" xfId="3" applyNumberFormat="1" applyFont="1" applyBorder="1" applyAlignment="1">
      <alignment horizontal="right" vertical="center"/>
    </xf>
    <xf numFmtId="168" fontId="7" fillId="0" borderId="204" xfId="3" applyNumberFormat="1" applyFont="1" applyBorder="1" applyAlignment="1">
      <alignment vertical="center"/>
    </xf>
    <xf numFmtId="168" fontId="7" fillId="0" borderId="205" xfId="3" applyNumberFormat="1" applyFont="1" applyBorder="1" applyAlignment="1">
      <alignment vertical="center"/>
    </xf>
    <xf numFmtId="168" fontId="7" fillId="0" borderId="203" xfId="3" applyNumberFormat="1" applyFont="1" applyBorder="1" applyAlignment="1">
      <alignment vertical="center"/>
    </xf>
    <xf numFmtId="168" fontId="7" fillId="0" borderId="206" xfId="3" applyNumberFormat="1" applyFont="1" applyBorder="1" applyAlignment="1">
      <alignment vertical="center"/>
    </xf>
    <xf numFmtId="168" fontId="7" fillId="7" borderId="204" xfId="3" applyNumberFormat="1" applyFont="1" applyFill="1" applyBorder="1" applyAlignment="1" applyProtection="1">
      <alignment vertical="center"/>
      <protection locked="0"/>
    </xf>
    <xf numFmtId="41" fontId="7" fillId="7" borderId="212" xfId="3" applyNumberFormat="1" applyFont="1" applyFill="1" applyBorder="1" applyAlignment="1">
      <alignment vertical="center"/>
    </xf>
    <xf numFmtId="0" fontId="45" fillId="0" borderId="103" xfId="3" applyFont="1" applyBorder="1" applyAlignment="1">
      <alignment vertical="center"/>
    </xf>
    <xf numFmtId="178" fontId="45" fillId="0" borderId="103" xfId="3" applyNumberFormat="1" applyFont="1" applyBorder="1" applyAlignment="1">
      <alignment vertical="center"/>
    </xf>
    <xf numFmtId="178" fontId="41" fillId="0" borderId="103" xfId="3" applyNumberFormat="1" applyFont="1" applyBorder="1" applyAlignment="1">
      <alignment vertical="center"/>
    </xf>
    <xf numFmtId="0" fontId="7" fillId="0" borderId="184" xfId="3" applyFont="1" applyBorder="1" applyAlignment="1">
      <alignment vertical="center"/>
    </xf>
    <xf numFmtId="0" fontId="29" fillId="0" borderId="185" xfId="3" applyFont="1" applyBorder="1" applyAlignment="1">
      <alignment vertical="center"/>
    </xf>
    <xf numFmtId="41" fontId="29" fillId="0" borderId="186" xfId="3" applyNumberFormat="1" applyFont="1" applyBorder="1" applyAlignment="1">
      <alignment vertical="center"/>
    </xf>
    <xf numFmtId="41" fontId="7" fillId="0" borderId="187" xfId="3" applyNumberFormat="1" applyFont="1" applyBorder="1" applyAlignment="1">
      <alignment vertical="center"/>
    </xf>
    <xf numFmtId="41" fontId="7" fillId="0" borderId="185" xfId="3" applyNumberFormat="1" applyFont="1" applyBorder="1" applyAlignment="1">
      <alignment vertical="center"/>
    </xf>
    <xf numFmtId="41" fontId="7" fillId="0" borderId="186" xfId="3" applyNumberFormat="1" applyFont="1" applyBorder="1" applyAlignment="1">
      <alignment vertical="center"/>
    </xf>
    <xf numFmtId="41" fontId="7" fillId="0" borderId="188" xfId="3" applyNumberFormat="1" applyFont="1" applyBorder="1" applyAlignment="1">
      <alignment vertical="center"/>
    </xf>
    <xf numFmtId="165" fontId="7" fillId="0" borderId="191" xfId="18" applyNumberFormat="1" applyFont="1" applyBorder="1" applyAlignment="1" applyProtection="1">
      <alignment horizontal="right" vertical="center"/>
      <protection locked="0"/>
    </xf>
    <xf numFmtId="165" fontId="7" fillId="0" borderId="190" xfId="3" applyNumberFormat="1" applyFont="1" applyBorder="1" applyAlignment="1" applyProtection="1">
      <alignment vertical="center"/>
      <protection locked="0"/>
    </xf>
    <xf numFmtId="41" fontId="29" fillId="0" borderId="190" xfId="3" applyNumberFormat="1" applyFont="1" applyBorder="1" applyAlignment="1">
      <alignment horizontal="right" vertical="center"/>
    </xf>
    <xf numFmtId="41" fontId="7" fillId="0" borderId="191" xfId="18" applyNumberFormat="1" applyFont="1" applyBorder="1" applyAlignment="1" applyProtection="1">
      <alignment horizontal="right" vertical="center"/>
      <protection locked="0"/>
    </xf>
    <xf numFmtId="41" fontId="7" fillId="0" borderId="190" xfId="3" applyNumberFormat="1" applyFont="1" applyBorder="1" applyAlignment="1" applyProtection="1">
      <alignment vertical="center"/>
      <protection locked="0"/>
    </xf>
    <xf numFmtId="0" fontId="7" fillId="0" borderId="189" xfId="3" applyFont="1" applyBorder="1" applyAlignment="1">
      <alignment horizontal="left" vertical="center" wrapText="1" indent="1"/>
    </xf>
    <xf numFmtId="165" fontId="7" fillId="0" borderId="100" xfId="18" applyNumberFormat="1" applyFont="1" applyBorder="1" applyAlignment="1" applyProtection="1">
      <alignment horizontal="right" vertical="center"/>
      <protection locked="0"/>
    </xf>
    <xf numFmtId="165" fontId="7" fillId="0" borderId="99" xfId="3" applyNumberFormat="1" applyFont="1" applyBorder="1" applyAlignment="1" applyProtection="1">
      <alignment vertical="center"/>
      <protection locked="0"/>
    </xf>
    <xf numFmtId="0" fontId="45" fillId="0" borderId="195" xfId="3" applyFont="1" applyBorder="1" applyAlignment="1">
      <alignment vertical="center"/>
    </xf>
    <xf numFmtId="174" fontId="41" fillId="0" borderId="195" xfId="3" applyNumberFormat="1" applyFont="1" applyBorder="1" applyAlignment="1">
      <alignment vertical="center"/>
    </xf>
    <xf numFmtId="174" fontId="45" fillId="0" borderId="195" xfId="3" applyNumberFormat="1" applyFont="1" applyBorder="1" applyAlignment="1">
      <alignment vertical="center"/>
    </xf>
    <xf numFmtId="0" fontId="23" fillId="0" borderId="0" xfId="3" quotePrefix="1" applyFont="1" applyAlignment="1">
      <alignment horizontal="left" vertical="top" wrapText="1"/>
    </xf>
    <xf numFmtId="0" fontId="19" fillId="0" borderId="182" xfId="3" applyFont="1" applyBorder="1" applyAlignment="1">
      <alignment horizontal="center" vertical="center"/>
    </xf>
    <xf numFmtId="166" fontId="20" fillId="0" borderId="182" xfId="3" applyNumberFormat="1" applyFont="1" applyBorder="1" applyAlignment="1">
      <alignment horizontal="right" vertical="center"/>
    </xf>
    <xf numFmtId="166" fontId="19" fillId="0" borderId="183" xfId="3" applyNumberFormat="1" applyFont="1" applyBorder="1" applyAlignment="1">
      <alignment horizontal="right" vertical="center"/>
    </xf>
    <xf numFmtId="166" fontId="19" fillId="0" borderId="181" xfId="3" applyNumberFormat="1" applyFont="1" applyBorder="1" applyAlignment="1">
      <alignment horizontal="right" vertical="center"/>
    </xf>
    <xf numFmtId="166" fontId="19" fillId="0" borderId="182" xfId="3" applyNumberFormat="1" applyFont="1" applyBorder="1" applyAlignment="1">
      <alignment horizontal="right" vertical="center"/>
    </xf>
    <xf numFmtId="166" fontId="19" fillId="0" borderId="182" xfId="3" quotePrefix="1" applyNumberFormat="1" applyFont="1" applyBorder="1" applyAlignment="1">
      <alignment horizontal="right" vertical="center"/>
    </xf>
    <xf numFmtId="0" fontId="17" fillId="0" borderId="181" xfId="3" applyFont="1" applyBorder="1" applyAlignment="1">
      <alignment vertical="center"/>
    </xf>
    <xf numFmtId="166" fontId="20" fillId="0" borderId="182" xfId="3" quotePrefix="1" applyNumberFormat="1" applyFont="1" applyBorder="1" applyAlignment="1">
      <alignment horizontal="right" vertical="center"/>
    </xf>
    <xf numFmtId="0" fontId="20" fillId="0" borderId="213" xfId="3" applyFont="1" applyBorder="1" applyAlignment="1">
      <alignment horizontal="left" vertical="center"/>
    </xf>
    <xf numFmtId="165" fontId="20" fillId="0" borderId="214" xfId="3" applyNumberFormat="1" applyFont="1" applyBorder="1" applyAlignment="1">
      <alignment horizontal="right" vertical="center"/>
    </xf>
    <xf numFmtId="165" fontId="19" fillId="0" borderId="215" xfId="3" applyNumberFormat="1" applyFont="1" applyBorder="1" applyAlignment="1">
      <alignment horizontal="right" vertical="center"/>
    </xf>
    <xf numFmtId="165" fontId="19" fillId="0" borderId="213" xfId="3" applyNumberFormat="1" applyFont="1" applyBorder="1" applyAlignment="1">
      <alignment horizontal="right" vertical="center"/>
    </xf>
    <xf numFmtId="165" fontId="19" fillId="0" borderId="214" xfId="3" applyNumberFormat="1" applyFont="1" applyBorder="1" applyAlignment="1">
      <alignment horizontal="right" vertical="center"/>
    </xf>
    <xf numFmtId="165" fontId="19" fillId="0" borderId="215" xfId="3" quotePrefix="1" applyNumberFormat="1" applyFont="1" applyBorder="1" applyAlignment="1">
      <alignment horizontal="right" vertical="center" wrapText="1"/>
    </xf>
    <xf numFmtId="0" fontId="20" fillId="0" borderId="144" xfId="3" applyFont="1" applyBorder="1" applyAlignment="1">
      <alignment horizontal="left" vertical="center"/>
    </xf>
    <xf numFmtId="165" fontId="20" fillId="0" borderId="216" xfId="3" applyNumberFormat="1" applyFont="1" applyBorder="1" applyAlignment="1">
      <alignment horizontal="right" vertical="center"/>
    </xf>
    <xf numFmtId="165" fontId="19" fillId="0" borderId="33" xfId="3" applyNumberFormat="1" applyFont="1" applyBorder="1" applyAlignment="1">
      <alignment horizontal="right" vertical="center"/>
    </xf>
    <xf numFmtId="165" fontId="19" fillId="0" borderId="144" xfId="3" applyNumberFormat="1" applyFont="1" applyBorder="1" applyAlignment="1">
      <alignment horizontal="right" vertical="center"/>
    </xf>
    <xf numFmtId="165" fontId="19" fillId="0" borderId="216" xfId="3" applyNumberFormat="1" applyFont="1" applyBorder="1" applyAlignment="1">
      <alignment horizontal="right" vertical="center"/>
    </xf>
    <xf numFmtId="41" fontId="20" fillId="0" borderId="216" xfId="3" applyNumberFormat="1" applyFont="1" applyBorder="1" applyAlignment="1">
      <alignment horizontal="right" vertical="center"/>
    </xf>
    <xf numFmtId="41" fontId="19" fillId="0" borderId="33" xfId="3" applyNumberFormat="1" applyFont="1" applyBorder="1" applyAlignment="1">
      <alignment horizontal="right" vertical="center"/>
    </xf>
    <xf numFmtId="41" fontId="19" fillId="0" borderId="144" xfId="3" applyNumberFormat="1" applyFont="1" applyBorder="1" applyAlignment="1">
      <alignment horizontal="right" vertical="center"/>
    </xf>
    <xf numFmtId="41" fontId="19" fillId="0" borderId="216" xfId="3" applyNumberFormat="1" applyFont="1" applyBorder="1" applyAlignment="1">
      <alignment horizontal="right" vertical="center"/>
    </xf>
    <xf numFmtId="0" fontId="19" fillId="0" borderId="144" xfId="3" applyFont="1" applyBorder="1" applyAlignment="1">
      <alignment horizontal="left" vertical="center" indent="1"/>
    </xf>
    <xf numFmtId="0" fontId="19" fillId="0" borderId="144" xfId="3" applyFont="1" applyBorder="1" applyAlignment="1">
      <alignment horizontal="left" vertical="center"/>
    </xf>
    <xf numFmtId="0" fontId="1" fillId="0" borderId="33" xfId="3" applyFont="1" applyBorder="1" applyAlignment="1">
      <alignment vertical="center"/>
    </xf>
    <xf numFmtId="0" fontId="17" fillId="0" borderId="144" xfId="3" applyFont="1" applyBorder="1" applyAlignment="1">
      <alignment vertical="center"/>
    </xf>
    <xf numFmtId="0" fontId="20" fillId="0" borderId="217" xfId="3" applyFont="1" applyBorder="1" applyAlignment="1">
      <alignment vertical="center"/>
    </xf>
    <xf numFmtId="165" fontId="20" fillId="0" borderId="218" xfId="3" applyNumberFormat="1" applyFont="1" applyBorder="1" applyAlignment="1">
      <alignment horizontal="right" vertical="center"/>
    </xf>
    <xf numFmtId="165" fontId="19" fillId="0" borderId="219" xfId="3" applyNumberFormat="1" applyFont="1" applyBorder="1" applyAlignment="1">
      <alignment horizontal="right" vertical="center"/>
    </xf>
    <xf numFmtId="165" fontId="19" fillId="0" borderId="217" xfId="3" applyNumberFormat="1" applyFont="1" applyBorder="1" applyAlignment="1">
      <alignment horizontal="right" vertical="center"/>
    </xf>
    <xf numFmtId="165" fontId="19" fillId="0" borderId="218" xfId="3" applyNumberFormat="1" applyFont="1" applyBorder="1" applyAlignment="1">
      <alignment horizontal="right" vertical="center"/>
    </xf>
    <xf numFmtId="0" fontId="58" fillId="0" borderId="195" xfId="3" applyFont="1" applyBorder="1" applyAlignment="1">
      <alignment horizontal="left" vertical="center"/>
    </xf>
    <xf numFmtId="179" fontId="58" fillId="0" borderId="195" xfId="3" applyNumberFormat="1" applyFont="1" applyBorder="1" applyAlignment="1">
      <alignment horizontal="right" vertical="center"/>
    </xf>
    <xf numFmtId="179" fontId="57" fillId="0" borderId="195" xfId="3" applyNumberFormat="1" applyFont="1" applyBorder="1" applyAlignment="1">
      <alignment horizontal="right" vertical="center"/>
    </xf>
    <xf numFmtId="0" fontId="19" fillId="0" borderId="213" xfId="3" applyFont="1" applyBorder="1" applyAlignment="1">
      <alignment horizontal="left" vertical="center"/>
    </xf>
    <xf numFmtId="166" fontId="20" fillId="0" borderId="214" xfId="3" applyNumberFormat="1" applyFont="1" applyBorder="1" applyAlignment="1">
      <alignment horizontal="right" vertical="center"/>
    </xf>
    <xf numFmtId="166" fontId="19" fillId="0" borderId="215" xfId="3" applyNumberFormat="1" applyFont="1" applyBorder="1" applyAlignment="1">
      <alignment horizontal="right" vertical="center"/>
    </xf>
    <xf numFmtId="166" fontId="19" fillId="0" borderId="213" xfId="3" applyNumberFormat="1" applyFont="1" applyBorder="1" applyAlignment="1">
      <alignment horizontal="right" vertical="center"/>
    </xf>
    <xf numFmtId="166" fontId="19" fillId="0" borderId="214" xfId="3" applyNumberFormat="1" applyFont="1" applyBorder="1" applyAlignment="1">
      <alignment horizontal="right" vertical="center"/>
    </xf>
    <xf numFmtId="166" fontId="19" fillId="0" borderId="214" xfId="3" quotePrefix="1" applyNumberFormat="1" applyFont="1" applyBorder="1" applyAlignment="1">
      <alignment horizontal="right" vertical="center"/>
    </xf>
    <xf numFmtId="41" fontId="7" fillId="0" borderId="33" xfId="3" applyNumberFormat="1" applyFont="1" applyBorder="1"/>
    <xf numFmtId="41" fontId="7" fillId="0" borderId="144" xfId="3" applyNumberFormat="1" applyFont="1" applyBorder="1"/>
    <xf numFmtId="0" fontId="19" fillId="0" borderId="144" xfId="3" applyFont="1" applyBorder="1" applyAlignment="1">
      <alignment horizontal="left" vertical="center" wrapText="1" indent="1"/>
    </xf>
    <xf numFmtId="0" fontId="20" fillId="0" borderId="217" xfId="3" applyFont="1" applyBorder="1" applyAlignment="1">
      <alignment horizontal="left" vertical="center"/>
    </xf>
    <xf numFmtId="41" fontId="20" fillId="0" borderId="218" xfId="3" applyNumberFormat="1" applyFont="1" applyBorder="1" applyAlignment="1">
      <alignment horizontal="right" vertical="center"/>
    </xf>
    <xf numFmtId="41" fontId="19" fillId="0" borderId="219" xfId="3" applyNumberFormat="1" applyFont="1" applyBorder="1" applyAlignment="1">
      <alignment horizontal="right" vertical="center"/>
    </xf>
    <xf numFmtId="41" fontId="19" fillId="0" borderId="217" xfId="3" applyNumberFormat="1" applyFont="1" applyBorder="1" applyAlignment="1">
      <alignment horizontal="right" vertical="center"/>
    </xf>
    <xf numFmtId="41" fontId="19" fillId="0" borderId="218" xfId="3" applyNumberFormat="1" applyFont="1" applyBorder="1" applyAlignment="1">
      <alignment horizontal="right" vertical="center"/>
    </xf>
    <xf numFmtId="41" fontId="19" fillId="0" borderId="182" xfId="3" quotePrefix="1" applyNumberFormat="1" applyFont="1" applyBorder="1" applyAlignment="1">
      <alignment horizontal="right" vertical="center"/>
    </xf>
    <xf numFmtId="41" fontId="19" fillId="0" borderId="214" xfId="3" quotePrefix="1" applyNumberFormat="1" applyFont="1" applyBorder="1" applyAlignment="1">
      <alignment horizontal="right" vertical="center"/>
    </xf>
    <xf numFmtId="165" fontId="19" fillId="0" borderId="216" xfId="3" applyNumberFormat="1" applyFont="1" applyBorder="1" applyAlignment="1">
      <alignment horizontal="left" vertical="center" indent="1"/>
    </xf>
    <xf numFmtId="165" fontId="19" fillId="0" borderId="33" xfId="3" applyNumberFormat="1" applyFont="1" applyBorder="1" applyAlignment="1">
      <alignment horizontal="left" vertical="center" indent="1"/>
    </xf>
    <xf numFmtId="165" fontId="19" fillId="0" borderId="144" xfId="3" applyNumberFormat="1" applyFont="1" applyBorder="1" applyAlignment="1">
      <alignment horizontal="left" vertical="center" indent="1"/>
    </xf>
    <xf numFmtId="41" fontId="20" fillId="0" borderId="216" xfId="3" applyNumberFormat="1" applyFont="1" applyBorder="1" applyAlignment="1">
      <alignment vertical="center"/>
    </xf>
    <xf numFmtId="41" fontId="19" fillId="0" borderId="33" xfId="3" applyNumberFormat="1" applyFont="1" applyBorder="1" applyAlignment="1">
      <alignment vertical="center"/>
    </xf>
    <xf numFmtId="41" fontId="19" fillId="0" borderId="144" xfId="3" applyNumberFormat="1" applyFont="1" applyBorder="1" applyAlignment="1">
      <alignment vertical="center"/>
    </xf>
    <xf numFmtId="41" fontId="19" fillId="0" borderId="216" xfId="3" applyNumberFormat="1" applyFont="1" applyBorder="1" applyAlignment="1">
      <alignment vertical="center"/>
    </xf>
    <xf numFmtId="41" fontId="19" fillId="0" borderId="216" xfId="3" quotePrefix="1" applyNumberFormat="1" applyFont="1" applyBorder="1" applyAlignment="1">
      <alignment vertical="center"/>
    </xf>
    <xf numFmtId="0" fontId="58" fillId="0" borderId="195" xfId="3" applyFont="1" applyBorder="1" applyAlignment="1">
      <alignment vertical="center"/>
    </xf>
    <xf numFmtId="180" fontId="57" fillId="0" borderId="195" xfId="3" applyNumberFormat="1" applyFont="1" applyBorder="1" applyAlignment="1">
      <alignment horizontal="right" vertical="center"/>
    </xf>
    <xf numFmtId="180" fontId="58" fillId="0" borderId="195" xfId="3" applyNumberFormat="1" applyFont="1" applyBorder="1" applyAlignment="1">
      <alignment horizontal="right" vertical="center"/>
    </xf>
    <xf numFmtId="181" fontId="58" fillId="0" borderId="195" xfId="3" applyNumberFormat="1" applyFont="1" applyBorder="1" applyAlignment="1">
      <alignment horizontal="right" vertical="center"/>
    </xf>
    <xf numFmtId="181" fontId="57" fillId="0" borderId="195" xfId="3" applyNumberFormat="1" applyFont="1" applyBorder="1" applyAlignment="1">
      <alignment horizontal="right" vertical="center"/>
    </xf>
    <xf numFmtId="0" fontId="56" fillId="0" borderId="84" xfId="3" applyFont="1" applyBorder="1" applyAlignment="1" applyProtection="1">
      <alignment vertical="center"/>
      <protection locked="0"/>
    </xf>
    <xf numFmtId="0" fontId="59" fillId="0" borderId="85" xfId="3" applyFont="1" applyBorder="1" applyAlignment="1" applyProtection="1">
      <alignment horizontal="center" vertical="center"/>
      <protection locked="0"/>
    </xf>
    <xf numFmtId="0" fontId="47" fillId="0" borderId="84" xfId="3" applyFont="1" applyBorder="1" applyAlignment="1" applyProtection="1">
      <alignment vertical="center"/>
      <protection locked="0"/>
    </xf>
    <xf numFmtId="166" fontId="19" fillId="0" borderId="86" xfId="3" applyNumberFormat="1" applyFont="1" applyBorder="1" applyAlignment="1" applyProtection="1">
      <alignment horizontal="right" vertical="center"/>
      <protection locked="0"/>
    </xf>
    <xf numFmtId="166" fontId="19" fillId="0" borderId="84" xfId="3" applyNumberFormat="1" applyFont="1" applyBorder="1" applyAlignment="1" applyProtection="1">
      <alignment horizontal="right" vertical="center"/>
      <protection locked="0"/>
    </xf>
    <xf numFmtId="166" fontId="19" fillId="0" borderId="85" xfId="3" applyNumberFormat="1" applyFont="1" applyBorder="1" applyAlignment="1" applyProtection="1">
      <alignment horizontal="right" vertical="center"/>
      <protection locked="0"/>
    </xf>
    <xf numFmtId="166" fontId="19" fillId="0" borderId="87" xfId="3" quotePrefix="1" applyNumberFormat="1" applyFont="1" applyBorder="1" applyAlignment="1" applyProtection="1">
      <alignment horizontal="right" vertical="center"/>
      <protection locked="0"/>
    </xf>
    <xf numFmtId="0" fontId="19" fillId="0" borderId="196" xfId="3" applyFont="1" applyBorder="1" applyAlignment="1" applyProtection="1">
      <alignment horizontal="left" vertical="center"/>
      <protection locked="0"/>
    </xf>
    <xf numFmtId="165" fontId="20" fillId="0" borderId="197" xfId="3" applyNumberFormat="1" applyFont="1" applyBorder="1" applyAlignment="1" applyProtection="1">
      <alignment horizontal="right" vertical="center"/>
      <protection locked="0"/>
    </xf>
    <xf numFmtId="165" fontId="19" fillId="0" borderId="198" xfId="3" applyNumberFormat="1" applyFont="1" applyBorder="1" applyAlignment="1" applyProtection="1">
      <alignment horizontal="right" vertical="center"/>
      <protection locked="0"/>
    </xf>
    <xf numFmtId="165" fontId="19" fillId="0" borderId="196" xfId="3" applyNumberFormat="1" applyFont="1" applyBorder="1" applyAlignment="1" applyProtection="1">
      <alignment horizontal="right" vertical="center"/>
      <protection locked="0"/>
    </xf>
    <xf numFmtId="165" fontId="19" fillId="0" borderId="197" xfId="3" applyNumberFormat="1" applyFont="1" applyBorder="1" applyAlignment="1">
      <alignment horizontal="right" vertical="center"/>
    </xf>
    <xf numFmtId="165" fontId="19" fillId="0" borderId="198" xfId="3" applyNumberFormat="1" applyFont="1" applyBorder="1" applyAlignment="1">
      <alignment horizontal="right" vertical="center"/>
    </xf>
    <xf numFmtId="165" fontId="19" fillId="0" borderId="196" xfId="3" applyNumberFormat="1" applyFont="1" applyBorder="1" applyAlignment="1">
      <alignment horizontal="right" vertical="center"/>
    </xf>
    <xf numFmtId="165" fontId="19" fillId="0" borderId="199" xfId="3" applyNumberFormat="1" applyFont="1" applyBorder="1" applyAlignment="1">
      <alignment horizontal="right" vertical="center"/>
    </xf>
    <xf numFmtId="165" fontId="19" fillId="0" borderId="197" xfId="3" applyNumberFormat="1" applyFont="1" applyBorder="1" applyAlignment="1" applyProtection="1">
      <alignment vertical="center"/>
      <protection locked="0"/>
    </xf>
    <xf numFmtId="165" fontId="19" fillId="0" borderId="198" xfId="3" applyNumberFormat="1" applyFont="1" applyBorder="1" applyAlignment="1">
      <alignment vertical="center"/>
    </xf>
    <xf numFmtId="0" fontId="19" fillId="0" borderId="200" xfId="3" applyFont="1" applyBorder="1" applyAlignment="1" applyProtection="1">
      <alignment horizontal="left" vertical="center"/>
      <protection locked="0"/>
    </xf>
    <xf numFmtId="41" fontId="20" fillId="0" borderId="201" xfId="3" applyNumberFormat="1" applyFont="1" applyBorder="1" applyAlignment="1" applyProtection="1">
      <alignment horizontal="right" vertical="center"/>
      <protection locked="0"/>
    </xf>
    <xf numFmtId="41" fontId="19" fillId="0" borderId="191" xfId="3" applyNumberFormat="1" applyFont="1" applyBorder="1" applyAlignment="1" applyProtection="1">
      <alignment horizontal="right" vertical="center"/>
      <protection locked="0"/>
    </xf>
    <xf numFmtId="41" fontId="19" fillId="0" borderId="200" xfId="3" applyNumberFormat="1" applyFont="1" applyBorder="1" applyAlignment="1" applyProtection="1">
      <alignment horizontal="right" vertical="center"/>
      <protection locked="0"/>
    </xf>
    <xf numFmtId="41" fontId="19" fillId="0" borderId="201" xfId="3" applyNumberFormat="1" applyFont="1" applyBorder="1" applyAlignment="1">
      <alignment horizontal="right" vertical="center"/>
    </xf>
    <xf numFmtId="41" fontId="19" fillId="0" borderId="191" xfId="3" applyNumberFormat="1" applyFont="1" applyBorder="1" applyAlignment="1">
      <alignment horizontal="right" vertical="center"/>
    </xf>
    <xf numFmtId="41" fontId="19" fillId="0" borderId="200" xfId="3" applyNumberFormat="1" applyFont="1" applyBorder="1" applyAlignment="1">
      <alignment horizontal="right" vertical="center"/>
    </xf>
    <xf numFmtId="41" fontId="19" fillId="0" borderId="202" xfId="3" applyNumberFormat="1" applyFont="1" applyBorder="1" applyAlignment="1">
      <alignment horizontal="right" vertical="center"/>
    </xf>
    <xf numFmtId="41" fontId="19" fillId="0" borderId="201" xfId="3" applyNumberFormat="1" applyFont="1" applyBorder="1" applyAlignment="1" applyProtection="1">
      <alignment vertical="center"/>
      <protection locked="0"/>
    </xf>
    <xf numFmtId="41" fontId="19" fillId="0" borderId="191" xfId="3" applyNumberFormat="1" applyFont="1" applyBorder="1" applyAlignment="1">
      <alignment vertical="center"/>
    </xf>
    <xf numFmtId="0" fontId="1" fillId="0" borderId="200" xfId="3" applyFont="1" applyBorder="1" applyProtection="1">
      <protection locked="0"/>
    </xf>
    <xf numFmtId="0" fontId="19" fillId="0" borderId="200" xfId="3" quotePrefix="1" applyFont="1" applyBorder="1" applyAlignment="1" applyProtection="1">
      <alignment horizontal="left" vertical="center" indent="1"/>
      <protection locked="0"/>
    </xf>
    <xf numFmtId="165" fontId="20" fillId="0" borderId="201" xfId="3" applyNumberFormat="1" applyFont="1" applyBorder="1" applyAlignment="1" applyProtection="1">
      <alignment horizontal="right" vertical="center"/>
      <protection locked="0"/>
    </xf>
    <xf numFmtId="165" fontId="19" fillId="0" borderId="191" xfId="3" applyNumberFormat="1" applyFont="1" applyBorder="1" applyAlignment="1" applyProtection="1">
      <alignment horizontal="right" vertical="center"/>
      <protection locked="0"/>
    </xf>
    <xf numFmtId="165" fontId="19" fillId="0" borderId="200" xfId="3" applyNumberFormat="1" applyFont="1" applyBorder="1" applyAlignment="1" applyProtection="1">
      <alignment horizontal="right" vertical="center"/>
      <protection locked="0"/>
    </xf>
    <xf numFmtId="165" fontId="19" fillId="0" borderId="201" xfId="3" applyNumberFormat="1" applyFont="1" applyBorder="1" applyAlignment="1">
      <alignment horizontal="right" vertical="center"/>
    </xf>
    <xf numFmtId="165" fontId="19" fillId="0" borderId="191" xfId="3" applyNumberFormat="1" applyFont="1" applyBorder="1" applyAlignment="1">
      <alignment horizontal="right" vertical="center"/>
    </xf>
    <xf numFmtId="165" fontId="19" fillId="0" borderId="200" xfId="3" applyNumberFormat="1" applyFont="1" applyBorder="1" applyAlignment="1">
      <alignment horizontal="right" vertical="center"/>
    </xf>
    <xf numFmtId="165" fontId="19" fillId="0" borderId="202" xfId="3" applyNumberFormat="1" applyFont="1" applyBorder="1" applyAlignment="1">
      <alignment horizontal="right" vertical="center"/>
    </xf>
    <xf numFmtId="165" fontId="19" fillId="0" borderId="201" xfId="3" applyNumberFormat="1" applyFont="1" applyBorder="1" applyAlignment="1" applyProtection="1">
      <alignment vertical="center"/>
      <protection locked="0"/>
    </xf>
    <xf numFmtId="165" fontId="19" fillId="0" borderId="191" xfId="3" applyNumberFormat="1" applyFont="1" applyBorder="1" applyAlignment="1">
      <alignment vertical="center"/>
    </xf>
    <xf numFmtId="0" fontId="19" fillId="0" borderId="200" xfId="3" applyFont="1" applyBorder="1" applyAlignment="1" applyProtection="1">
      <alignment horizontal="left" vertical="center" indent="1"/>
      <protection locked="0"/>
    </xf>
    <xf numFmtId="0" fontId="20" fillId="0" borderId="200" xfId="3" applyFont="1" applyBorder="1" applyAlignment="1" applyProtection="1">
      <alignment horizontal="left" vertical="center"/>
      <protection locked="0"/>
    </xf>
    <xf numFmtId="0" fontId="19" fillId="0" borderId="203" xfId="3" applyFont="1" applyBorder="1" applyAlignment="1" applyProtection="1">
      <alignment horizontal="left" vertical="center"/>
      <protection locked="0"/>
    </xf>
    <xf numFmtId="41" fontId="20" fillId="0" borderId="204" xfId="3" applyNumberFormat="1" applyFont="1" applyBorder="1" applyAlignment="1" applyProtection="1">
      <alignment horizontal="right" vertical="center"/>
      <protection locked="0"/>
    </xf>
    <xf numFmtId="41" fontId="19" fillId="0" borderId="205" xfId="3" applyNumberFormat="1" applyFont="1" applyBorder="1" applyAlignment="1" applyProtection="1">
      <alignment horizontal="right" vertical="center"/>
      <protection locked="0"/>
    </xf>
    <xf numFmtId="41" fontId="19" fillId="0" borderId="203" xfId="3" applyNumberFormat="1" applyFont="1" applyBorder="1" applyAlignment="1" applyProtection="1">
      <alignment horizontal="right" vertical="center"/>
      <protection locked="0"/>
    </xf>
    <xf numFmtId="41" fontId="19" fillId="0" borderId="204" xfId="3" applyNumberFormat="1" applyFont="1" applyBorder="1" applyAlignment="1">
      <alignment horizontal="right" vertical="center"/>
    </xf>
    <xf numFmtId="41" fontId="19" fillId="0" borderId="205" xfId="3" applyNumberFormat="1" applyFont="1" applyBorder="1" applyAlignment="1">
      <alignment horizontal="right" vertical="center"/>
    </xf>
    <xf numFmtId="41" fontId="19" fillId="0" borderId="203" xfId="3" applyNumberFormat="1" applyFont="1" applyBorder="1" applyAlignment="1">
      <alignment horizontal="right" vertical="center"/>
    </xf>
    <xf numFmtId="41" fontId="19" fillId="0" borderId="206" xfId="3" applyNumberFormat="1" applyFont="1" applyBorder="1" applyAlignment="1">
      <alignment horizontal="right" vertical="center"/>
    </xf>
    <xf numFmtId="41" fontId="19" fillId="0" borderId="204" xfId="3" applyNumberFormat="1" applyFont="1" applyBorder="1" applyAlignment="1" applyProtection="1">
      <alignment vertical="center"/>
      <protection locked="0"/>
    </xf>
    <xf numFmtId="41" fontId="19" fillId="0" borderId="205" xfId="3" applyNumberFormat="1" applyFont="1" applyBorder="1" applyAlignment="1">
      <alignment vertical="center"/>
    </xf>
    <xf numFmtId="0" fontId="20" fillId="0" borderId="84" xfId="3" applyFont="1" applyBorder="1" applyAlignment="1" applyProtection="1">
      <alignment horizontal="left" vertical="center"/>
      <protection locked="0"/>
    </xf>
    <xf numFmtId="165" fontId="20" fillId="0" borderId="85" xfId="3" applyNumberFormat="1" applyFont="1" applyBorder="1" applyAlignment="1" applyProtection="1">
      <alignment horizontal="right" vertical="center"/>
      <protection locked="0"/>
    </xf>
    <xf numFmtId="165" fontId="19" fillId="0" borderId="86" xfId="3" applyNumberFormat="1" applyFont="1" applyBorder="1" applyAlignment="1" applyProtection="1">
      <alignment horizontal="right" vertical="center"/>
      <protection locked="0"/>
    </xf>
    <xf numFmtId="165" fontId="19" fillId="0" borderId="84" xfId="3" applyNumberFormat="1" applyFont="1" applyBorder="1" applyAlignment="1" applyProtection="1">
      <alignment horizontal="right" vertical="center"/>
      <protection locked="0"/>
    </xf>
    <xf numFmtId="165" fontId="19" fillId="0" borderId="85" xfId="3" applyNumberFormat="1" applyFont="1" applyBorder="1" applyAlignment="1">
      <alignment horizontal="right" vertical="center"/>
    </xf>
    <xf numFmtId="165" fontId="19" fillId="0" borderId="86" xfId="3" applyNumberFormat="1" applyFont="1" applyBorder="1" applyAlignment="1">
      <alignment horizontal="right" vertical="center"/>
    </xf>
    <xf numFmtId="165" fontId="19" fillId="0" borderId="84" xfId="3" applyNumberFormat="1" applyFont="1" applyBorder="1" applyAlignment="1">
      <alignment horizontal="right" vertical="center"/>
    </xf>
    <xf numFmtId="165" fontId="19" fillId="0" borderId="87" xfId="3" applyNumberFormat="1" applyFont="1" applyBorder="1" applyAlignment="1">
      <alignment horizontal="right" vertical="center"/>
    </xf>
    <xf numFmtId="165" fontId="19" fillId="0" borderId="85" xfId="3" applyNumberFormat="1" applyFont="1" applyBorder="1" applyAlignment="1" applyProtection="1">
      <alignment vertical="center"/>
      <protection locked="0"/>
    </xf>
    <xf numFmtId="165" fontId="19" fillId="0" borderId="86" xfId="3" applyNumberFormat="1" applyFont="1" applyBorder="1" applyAlignment="1">
      <alignment vertical="center"/>
    </xf>
    <xf numFmtId="0" fontId="17" fillId="0" borderId="196" xfId="3" applyFont="1" applyBorder="1" applyAlignment="1" applyProtection="1">
      <alignment vertical="center"/>
      <protection locked="0"/>
    </xf>
    <xf numFmtId="41" fontId="17" fillId="0" borderId="197" xfId="3" applyNumberFormat="1" applyFont="1" applyBorder="1" applyAlignment="1" applyProtection="1">
      <alignment vertical="center"/>
      <protection locked="0"/>
    </xf>
    <xf numFmtId="41" fontId="56" fillId="0" borderId="198" xfId="3" applyNumberFormat="1" applyFont="1" applyBorder="1" applyAlignment="1" applyProtection="1">
      <alignment vertical="center"/>
      <protection locked="0"/>
    </xf>
    <xf numFmtId="41" fontId="56" fillId="0" borderId="196" xfId="3" applyNumberFormat="1" applyFont="1" applyBorder="1" applyAlignment="1" applyProtection="1">
      <alignment vertical="center"/>
      <protection locked="0"/>
    </xf>
    <xf numFmtId="41" fontId="56" fillId="0" borderId="197" xfId="3" applyNumberFormat="1" applyFont="1" applyBorder="1" applyAlignment="1">
      <alignment vertical="center"/>
    </xf>
    <xf numFmtId="41" fontId="56" fillId="0" borderId="198" xfId="3" applyNumberFormat="1" applyFont="1" applyBorder="1" applyAlignment="1">
      <alignment vertical="center"/>
    </xf>
    <xf numFmtId="41" fontId="56" fillId="0" borderId="196" xfId="3" applyNumberFormat="1" applyFont="1" applyBorder="1" applyAlignment="1">
      <alignment vertical="center"/>
    </xf>
    <xf numFmtId="41" fontId="56" fillId="0" borderId="199" xfId="3" applyNumberFormat="1" applyFont="1" applyBorder="1" applyAlignment="1">
      <alignment vertical="center"/>
    </xf>
    <xf numFmtId="41" fontId="56" fillId="0" borderId="197" xfId="3" applyNumberFormat="1" applyFont="1" applyBorder="1" applyAlignment="1" applyProtection="1">
      <alignment vertical="center"/>
      <protection locked="0"/>
    </xf>
    <xf numFmtId="41" fontId="15" fillId="0" borderId="201" xfId="3" applyNumberFormat="1" applyFont="1" applyBorder="1" applyAlignment="1" applyProtection="1">
      <alignment horizontal="right" vertical="center"/>
      <protection locked="0"/>
    </xf>
    <xf numFmtId="41" fontId="60" fillId="0" borderId="191" xfId="3" applyNumberFormat="1" applyFont="1" applyBorder="1" applyAlignment="1" applyProtection="1">
      <alignment horizontal="right" vertical="center"/>
      <protection locked="0"/>
    </xf>
    <xf numFmtId="41" fontId="60" fillId="0" borderId="200" xfId="3" applyNumberFormat="1" applyFont="1" applyBorder="1" applyAlignment="1" applyProtection="1">
      <alignment horizontal="right" vertical="center"/>
      <protection locked="0"/>
    </xf>
    <xf numFmtId="41" fontId="60" fillId="0" borderId="201" xfId="3" applyNumberFormat="1" applyFont="1" applyBorder="1" applyAlignment="1">
      <alignment horizontal="right" vertical="center"/>
    </xf>
    <xf numFmtId="41" fontId="60" fillId="0" borderId="191" xfId="3" applyNumberFormat="1" applyFont="1" applyBorder="1" applyAlignment="1">
      <alignment horizontal="right" vertical="center"/>
    </xf>
    <xf numFmtId="41" fontId="60" fillId="0" borderId="200" xfId="3" applyNumberFormat="1" applyFont="1" applyBorder="1" applyAlignment="1">
      <alignment horizontal="right" vertical="center"/>
    </xf>
    <xf numFmtId="41" fontId="60" fillId="0" borderId="202" xfId="3" applyNumberFormat="1" applyFont="1" applyBorder="1" applyAlignment="1">
      <alignment horizontal="right" vertical="center"/>
    </xf>
    <xf numFmtId="0" fontId="7" fillId="0" borderId="200" xfId="3" applyFont="1" applyBorder="1" applyAlignment="1" applyProtection="1">
      <alignment vertical="center"/>
      <protection locked="0"/>
    </xf>
    <xf numFmtId="41" fontId="17" fillId="0" borderId="201" xfId="3" applyNumberFormat="1" applyFont="1" applyBorder="1" applyAlignment="1" applyProtection="1">
      <alignment vertical="center"/>
      <protection locked="0"/>
    </xf>
    <xf numFmtId="41" fontId="56" fillId="0" borderId="191" xfId="3" applyNumberFormat="1" applyFont="1" applyBorder="1" applyAlignment="1" applyProtection="1">
      <alignment vertical="center"/>
      <protection locked="0"/>
    </xf>
    <xf numFmtId="41" fontId="56" fillId="0" borderId="200" xfId="3" applyNumberFormat="1" applyFont="1" applyBorder="1" applyAlignment="1" applyProtection="1">
      <alignment vertical="center"/>
      <protection locked="0"/>
    </xf>
    <xf numFmtId="41" fontId="56" fillId="0" borderId="201" xfId="3" applyNumberFormat="1" applyFont="1" applyBorder="1" applyAlignment="1">
      <alignment vertical="center"/>
    </xf>
    <xf numFmtId="41" fontId="56" fillId="0" borderId="191" xfId="3" applyNumberFormat="1" applyFont="1" applyBorder="1" applyAlignment="1">
      <alignment vertical="center"/>
    </xf>
    <xf numFmtId="41" fontId="56" fillId="0" borderId="200" xfId="3" applyNumberFormat="1" applyFont="1" applyBorder="1" applyAlignment="1">
      <alignment vertical="center"/>
    </xf>
    <xf numFmtId="41" fontId="56" fillId="0" borderId="202" xfId="3" applyNumberFormat="1" applyFont="1" applyBorder="1" applyAlignment="1">
      <alignment vertical="center"/>
    </xf>
    <xf numFmtId="41" fontId="56" fillId="0" borderId="201" xfId="3" applyNumberFormat="1" applyFont="1" applyBorder="1" applyAlignment="1" applyProtection="1">
      <alignment vertical="center"/>
      <protection locked="0"/>
    </xf>
    <xf numFmtId="0" fontId="7" fillId="0" borderId="200" xfId="3" quotePrefix="1" applyFont="1" applyBorder="1" applyAlignment="1" applyProtection="1">
      <alignment horizontal="left" vertical="center" indent="1"/>
      <protection locked="0"/>
    </xf>
    <xf numFmtId="0" fontId="19" fillId="0" borderId="200" xfId="3" applyFont="1" applyBorder="1" applyAlignment="1" applyProtection="1">
      <alignment horizontal="left" vertical="center" indent="2"/>
      <protection locked="0"/>
    </xf>
    <xf numFmtId="0" fontId="19" fillId="0" borderId="200" xfId="3" applyFont="1" applyBorder="1" applyProtection="1">
      <protection locked="0"/>
    </xf>
    <xf numFmtId="41" fontId="20" fillId="0" borderId="201" xfId="3" applyNumberFormat="1" applyFont="1" applyBorder="1" applyAlignment="1" applyProtection="1">
      <alignment horizontal="right"/>
      <protection locked="0"/>
    </xf>
    <xf numFmtId="41" fontId="19" fillId="0" borderId="191" xfId="3" applyNumberFormat="1" applyFont="1" applyBorder="1" applyAlignment="1" applyProtection="1">
      <alignment horizontal="right"/>
      <protection locked="0"/>
    </xf>
    <xf numFmtId="41" fontId="19" fillId="0" borderId="200" xfId="3" applyNumberFormat="1" applyFont="1" applyBorder="1" applyAlignment="1" applyProtection="1">
      <alignment horizontal="right"/>
      <protection locked="0"/>
    </xf>
    <xf numFmtId="41" fontId="19" fillId="0" borderId="201" xfId="3" applyNumberFormat="1" applyFont="1" applyBorder="1" applyAlignment="1">
      <alignment horizontal="right"/>
    </xf>
    <xf numFmtId="41" fontId="19" fillId="0" borderId="191" xfId="3" applyNumberFormat="1" applyFont="1" applyBorder="1" applyAlignment="1">
      <alignment horizontal="right"/>
    </xf>
    <xf numFmtId="41" fontId="19" fillId="0" borderId="200" xfId="3" applyNumberFormat="1" applyFont="1" applyBorder="1" applyAlignment="1">
      <alignment horizontal="right"/>
    </xf>
    <xf numFmtId="41" fontId="19" fillId="0" borderId="202" xfId="3" applyNumberFormat="1" applyFont="1" applyBorder="1" applyAlignment="1">
      <alignment horizontal="right"/>
    </xf>
    <xf numFmtId="41" fontId="19" fillId="0" borderId="201" xfId="3" applyNumberFormat="1" applyFont="1" applyBorder="1" applyProtection="1">
      <protection locked="0"/>
    </xf>
    <xf numFmtId="41" fontId="19" fillId="0" borderId="191" xfId="3" applyNumberFormat="1" applyFont="1" applyBorder="1"/>
    <xf numFmtId="0" fontId="20" fillId="0" borderId="203" xfId="3" applyFont="1" applyBorder="1" applyAlignment="1" applyProtection="1">
      <alignment vertical="center"/>
      <protection locked="0"/>
    </xf>
    <xf numFmtId="165" fontId="20" fillId="0" borderId="204" xfId="3" applyNumberFormat="1" applyFont="1" applyBorder="1" applyAlignment="1" applyProtection="1">
      <alignment horizontal="right" vertical="center"/>
      <protection locked="0"/>
    </xf>
    <xf numFmtId="165" fontId="19" fillId="0" borderId="205" xfId="3" applyNumberFormat="1" applyFont="1" applyBorder="1" applyAlignment="1" applyProtection="1">
      <alignment horizontal="right" vertical="center"/>
      <protection locked="0"/>
    </xf>
    <xf numFmtId="165" fontId="19" fillId="0" borderId="203" xfId="3" applyNumberFormat="1" applyFont="1" applyBorder="1" applyAlignment="1" applyProtection="1">
      <alignment horizontal="right" vertical="center"/>
      <protection locked="0"/>
    </xf>
    <xf numFmtId="165" fontId="19" fillId="0" borderId="204" xfId="3" applyNumberFormat="1" applyFont="1" applyBorder="1" applyAlignment="1">
      <alignment horizontal="right" vertical="center"/>
    </xf>
    <xf numFmtId="165" fontId="19" fillId="0" borderId="205" xfId="3" applyNumberFormat="1" applyFont="1" applyBorder="1" applyAlignment="1">
      <alignment horizontal="right" vertical="center"/>
    </xf>
    <xf numFmtId="165" fontId="19" fillId="0" borderId="203" xfId="3" applyNumberFormat="1" applyFont="1" applyBorder="1" applyAlignment="1">
      <alignment horizontal="right" vertical="center"/>
    </xf>
    <xf numFmtId="165" fontId="19" fillId="0" borderId="206" xfId="3" applyNumberFormat="1" applyFont="1" applyBorder="1" applyAlignment="1">
      <alignment horizontal="right" vertical="center"/>
    </xf>
    <xf numFmtId="165" fontId="19" fillId="0" borderId="204" xfId="3" applyNumberFormat="1" applyFont="1" applyBorder="1" applyAlignment="1" applyProtection="1">
      <alignment vertical="center"/>
      <protection locked="0"/>
    </xf>
    <xf numFmtId="165" fontId="19" fillId="0" borderId="205" xfId="3" applyNumberFormat="1" applyFont="1" applyBorder="1" applyAlignment="1">
      <alignment vertical="center"/>
    </xf>
    <xf numFmtId="0" fontId="61" fillId="0" borderId="103" xfId="3" applyFont="1" applyBorder="1" applyAlignment="1" applyProtection="1">
      <alignment vertical="center"/>
      <protection locked="0"/>
    </xf>
    <xf numFmtId="41" fontId="61" fillId="0" borderId="103" xfId="3" applyNumberFormat="1" applyFont="1" applyBorder="1" applyAlignment="1" applyProtection="1">
      <alignment horizontal="right" vertical="center"/>
      <protection locked="0"/>
    </xf>
    <xf numFmtId="41" fontId="50" fillId="0" borderId="103" xfId="3" applyNumberFormat="1" applyFont="1" applyBorder="1" applyAlignment="1" applyProtection="1">
      <alignment horizontal="right" vertical="center"/>
      <protection locked="0"/>
    </xf>
    <xf numFmtId="41" fontId="50" fillId="0" borderId="103" xfId="3" applyNumberFormat="1" applyFont="1" applyBorder="1" applyAlignment="1" applyProtection="1">
      <alignment vertical="center"/>
      <protection locked="0"/>
    </xf>
    <xf numFmtId="0" fontId="57" fillId="0" borderId="0" xfId="3" quotePrefix="1" applyFont="1" applyAlignment="1" applyProtection="1">
      <alignment vertical="center"/>
      <protection locked="0"/>
    </xf>
    <xf numFmtId="41" fontId="61" fillId="0" borderId="0" xfId="3" applyNumberFormat="1" applyFont="1" applyAlignment="1" applyProtection="1">
      <alignment horizontal="right" vertical="center"/>
      <protection locked="0"/>
    </xf>
    <xf numFmtId="41" fontId="50" fillId="0" borderId="0" xfId="3" applyNumberFormat="1" applyFont="1" applyAlignment="1" applyProtection="1">
      <alignment horizontal="right" vertical="center"/>
      <protection locked="0"/>
    </xf>
    <xf numFmtId="41" fontId="50" fillId="0" borderId="0" xfId="3" applyNumberFormat="1" applyFont="1" applyAlignment="1" applyProtection="1">
      <alignment vertical="center"/>
      <protection locked="0"/>
    </xf>
    <xf numFmtId="0" fontId="64" fillId="0" borderId="182" xfId="3" applyFont="1" applyBorder="1" applyAlignment="1">
      <alignment horizontal="center" vertical="center"/>
    </xf>
    <xf numFmtId="166" fontId="29" fillId="0" borderId="182" xfId="3" applyNumberFormat="1" applyFont="1" applyBorder="1" applyAlignment="1">
      <alignment horizontal="right" vertical="center"/>
    </xf>
    <xf numFmtId="166" fontId="7" fillId="0" borderId="181" xfId="3" applyNumberFormat="1" applyFont="1" applyBorder="1" applyAlignment="1">
      <alignment horizontal="right" vertical="center"/>
    </xf>
    <xf numFmtId="166" fontId="7" fillId="0" borderId="182" xfId="3" applyNumberFormat="1" applyFont="1" applyBorder="1" applyAlignment="1">
      <alignment horizontal="right" vertical="center"/>
    </xf>
    <xf numFmtId="166" fontId="7" fillId="0" borderId="184" xfId="4" applyNumberFormat="1" applyFont="1" applyBorder="1" applyAlignment="1">
      <alignment horizontal="right" vertical="center"/>
    </xf>
    <xf numFmtId="166" fontId="7" fillId="0" borderId="182" xfId="4" applyNumberFormat="1" applyFont="1" applyBorder="1" applyAlignment="1">
      <alignment horizontal="right" vertical="center"/>
    </xf>
    <xf numFmtId="166" fontId="7" fillId="0" borderId="183" xfId="4" applyNumberFormat="1" applyFont="1" applyBorder="1" applyAlignment="1">
      <alignment horizontal="right" vertical="center"/>
    </xf>
    <xf numFmtId="0" fontId="29" fillId="0" borderId="220" xfId="3" applyFont="1" applyBorder="1" applyAlignment="1">
      <alignment vertical="center"/>
    </xf>
    <xf numFmtId="41" fontId="29" fillId="0" borderId="221" xfId="3" applyNumberFormat="1" applyFont="1" applyBorder="1" applyAlignment="1">
      <alignment vertical="center"/>
    </xf>
    <xf numFmtId="41" fontId="7" fillId="0" borderId="222" xfId="3" applyNumberFormat="1" applyFont="1" applyBorder="1" applyAlignment="1">
      <alignment vertical="center"/>
    </xf>
    <xf numFmtId="41" fontId="7" fillId="0" borderId="220" xfId="3" applyNumberFormat="1" applyFont="1" applyBorder="1" applyAlignment="1">
      <alignment vertical="center"/>
    </xf>
    <xf numFmtId="41" fontId="7" fillId="0" borderId="221" xfId="3" applyNumberFormat="1" applyFont="1" applyBorder="1" applyAlignment="1">
      <alignment vertical="center"/>
    </xf>
    <xf numFmtId="41" fontId="29" fillId="0" borderId="222" xfId="3" applyNumberFormat="1" applyFont="1" applyBorder="1" applyAlignment="1">
      <alignment vertical="center"/>
    </xf>
    <xf numFmtId="41" fontId="29" fillId="0" borderId="220" xfId="3" applyNumberFormat="1" applyFont="1" applyBorder="1" applyAlignment="1">
      <alignment vertical="center"/>
    </xf>
    <xf numFmtId="41" fontId="29" fillId="0" borderId="223" xfId="4" applyNumberFormat="1" applyFont="1" applyBorder="1" applyAlignment="1">
      <alignment vertical="center"/>
    </xf>
    <xf numFmtId="41" fontId="29" fillId="0" borderId="221" xfId="4" applyNumberFormat="1" applyFont="1" applyBorder="1" applyAlignment="1">
      <alignment vertical="center"/>
    </xf>
    <xf numFmtId="41" fontId="29" fillId="0" borderId="222" xfId="4" applyNumberFormat="1" applyFont="1" applyBorder="1" applyAlignment="1">
      <alignment vertical="center"/>
    </xf>
    <xf numFmtId="0" fontId="7" fillId="0" borderId="144" xfId="3" applyFont="1" applyBorder="1" applyAlignment="1">
      <alignment horizontal="left" vertical="center" indent="1"/>
    </xf>
    <xf numFmtId="165" fontId="29" fillId="0" borderId="216" xfId="3" applyNumberFormat="1" applyFont="1" applyBorder="1" applyAlignment="1">
      <alignment vertical="center"/>
    </xf>
    <xf numFmtId="165" fontId="7" fillId="0" borderId="33" xfId="3" applyNumberFormat="1" applyFont="1" applyBorder="1" applyAlignment="1">
      <alignment vertical="center"/>
    </xf>
    <xf numFmtId="165" fontId="7" fillId="0" borderId="144" xfId="3" applyNumberFormat="1" applyFont="1" applyBorder="1" applyAlignment="1">
      <alignment vertical="center"/>
    </xf>
    <xf numFmtId="165" fontId="7" fillId="0" borderId="216" xfId="3" applyNumberFormat="1" applyFont="1" applyBorder="1" applyAlignment="1">
      <alignment vertical="center"/>
    </xf>
    <xf numFmtId="165" fontId="7" fillId="0" borderId="224" xfId="4" applyNumberFormat="1" applyFont="1" applyBorder="1" applyAlignment="1">
      <alignment vertical="center"/>
    </xf>
    <xf numFmtId="165" fontId="7" fillId="0" borderId="216" xfId="4" applyNumberFormat="1" applyFont="1" applyBorder="1" applyAlignment="1">
      <alignment vertical="center"/>
    </xf>
    <xf numFmtId="165" fontId="7" fillId="0" borderId="33" xfId="4" applyNumberFormat="1" applyFont="1" applyBorder="1" applyAlignment="1">
      <alignment vertical="center"/>
    </xf>
    <xf numFmtId="0" fontId="29" fillId="0" borderId="144" xfId="3" applyFont="1" applyBorder="1" applyAlignment="1">
      <alignment horizontal="left" vertical="center" indent="1"/>
    </xf>
    <xf numFmtId="165" fontId="7" fillId="0" borderId="144" xfId="4" applyNumberFormat="1" applyFont="1" applyBorder="1" applyAlignment="1">
      <alignment vertical="center"/>
    </xf>
    <xf numFmtId="41" fontId="29" fillId="0" borderId="216" xfId="3" applyNumberFormat="1" applyFont="1" applyBorder="1" applyAlignment="1">
      <alignment vertical="center"/>
    </xf>
    <xf numFmtId="41" fontId="7" fillId="0" borderId="216" xfId="3" applyNumberFormat="1" applyFont="1" applyBorder="1" applyAlignment="1">
      <alignment vertical="center"/>
    </xf>
    <xf numFmtId="0" fontId="29" fillId="0" borderId="144" xfId="3" applyFont="1" applyBorder="1" applyAlignment="1">
      <alignment vertical="center"/>
    </xf>
    <xf numFmtId="165" fontId="7" fillId="0" borderId="33" xfId="3" applyNumberFormat="1" applyFont="1" applyBorder="1" applyAlignment="1">
      <alignment horizontal="right" vertical="center"/>
    </xf>
    <xf numFmtId="0" fontId="7" fillId="0" borderId="144" xfId="3" applyFont="1" applyBorder="1" applyAlignment="1">
      <alignment horizontal="left" vertical="center" indent="2"/>
    </xf>
    <xf numFmtId="0" fontId="29" fillId="0" borderId="144" xfId="3" applyFont="1" applyBorder="1" applyAlignment="1">
      <alignment horizontal="left" vertical="center" indent="2"/>
    </xf>
    <xf numFmtId="0" fontId="29" fillId="0" borderId="144" xfId="3" applyFont="1" applyBorder="1" applyAlignment="1">
      <alignment horizontal="left" vertical="center"/>
    </xf>
    <xf numFmtId="0" fontId="7" fillId="0" borderId="144" xfId="3" applyFont="1" applyBorder="1" applyAlignment="1">
      <alignment horizontal="left" vertical="center" indent="3"/>
    </xf>
    <xf numFmtId="165" fontId="29" fillId="0" borderId="33" xfId="3" applyNumberFormat="1" applyFont="1" applyBorder="1" applyAlignment="1">
      <alignment vertical="center"/>
    </xf>
    <xf numFmtId="165" fontId="7" fillId="7" borderId="216" xfId="4" applyNumberFormat="1" applyFont="1" applyFill="1" applyBorder="1" applyAlignment="1">
      <alignment vertical="center"/>
    </xf>
    <xf numFmtId="165" fontId="7" fillId="7" borderId="33" xfId="4" applyNumberFormat="1" applyFont="1" applyFill="1" applyBorder="1" applyAlignment="1">
      <alignment vertical="center"/>
    </xf>
    <xf numFmtId="0" fontId="29" fillId="0" borderId="217" xfId="3" applyFont="1" applyBorder="1" applyAlignment="1">
      <alignment horizontal="left" vertical="center" indent="1"/>
    </xf>
    <xf numFmtId="165" fontId="29" fillId="0" borderId="218" xfId="3" applyNumberFormat="1" applyFont="1" applyBorder="1" applyAlignment="1">
      <alignment vertical="center"/>
    </xf>
    <xf numFmtId="165" fontId="7" fillId="0" borderId="219" xfId="3" applyNumberFormat="1" applyFont="1" applyBorder="1" applyAlignment="1">
      <alignment vertical="center"/>
    </xf>
    <xf numFmtId="165" fontId="7" fillId="0" borderId="217" xfId="4" applyNumberFormat="1" applyFont="1" applyBorder="1" applyAlignment="1">
      <alignment vertical="center"/>
    </xf>
    <xf numFmtId="165" fontId="7" fillId="0" borderId="218" xfId="3" applyNumberFormat="1" applyFont="1" applyBorder="1" applyAlignment="1">
      <alignment vertical="center"/>
    </xf>
    <xf numFmtId="165" fontId="7" fillId="0" borderId="225" xfId="4" applyNumberFormat="1" applyFont="1" applyBorder="1" applyAlignment="1">
      <alignment vertical="center"/>
    </xf>
    <xf numFmtId="165" fontId="7" fillId="7" borderId="218" xfId="3" applyNumberFormat="1" applyFont="1" applyFill="1" applyBorder="1" applyAlignment="1">
      <alignment vertical="center"/>
    </xf>
    <xf numFmtId="165" fontId="7" fillId="7" borderId="219" xfId="3" applyNumberFormat="1" applyFont="1" applyFill="1" applyBorder="1" applyAlignment="1">
      <alignment vertical="center"/>
    </xf>
    <xf numFmtId="0" fontId="45" fillId="0" borderId="195" xfId="3" applyFont="1" applyBorder="1" applyAlignment="1">
      <alignment horizontal="left" vertical="center" indent="1"/>
    </xf>
    <xf numFmtId="165" fontId="45" fillId="0" borderId="195" xfId="3" applyNumberFormat="1" applyFont="1" applyBorder="1" applyAlignment="1">
      <alignment vertical="center"/>
    </xf>
    <xf numFmtId="165" fontId="41" fillId="0" borderId="195" xfId="3" applyNumberFormat="1" applyFont="1" applyBorder="1" applyAlignment="1">
      <alignment vertical="center"/>
    </xf>
    <xf numFmtId="165" fontId="41" fillId="0" borderId="195" xfId="4" applyNumberFormat="1" applyFont="1" applyBorder="1" applyAlignment="1">
      <alignment vertical="center"/>
    </xf>
    <xf numFmtId="165" fontId="7" fillId="0" borderId="222" xfId="3" applyNumberFormat="1" applyFont="1" applyBorder="1" applyAlignment="1">
      <alignment vertical="center"/>
    </xf>
    <xf numFmtId="165" fontId="7" fillId="0" borderId="220" xfId="3" applyNumberFormat="1" applyFont="1" applyBorder="1" applyAlignment="1">
      <alignment vertical="center"/>
    </xf>
    <xf numFmtId="165" fontId="7" fillId="0" borderId="223" xfId="4" applyNumberFormat="1" applyFont="1" applyBorder="1" applyAlignment="1">
      <alignment vertical="center"/>
    </xf>
    <xf numFmtId="165" fontId="7" fillId="0" borderId="221" xfId="4" applyNumberFormat="1" applyFont="1" applyBorder="1" applyAlignment="1">
      <alignment vertical="center"/>
    </xf>
    <xf numFmtId="165" fontId="7" fillId="0" borderId="222" xfId="4" applyNumberFormat="1" applyFont="1" applyBorder="1" applyAlignment="1">
      <alignment vertical="center"/>
    </xf>
    <xf numFmtId="182" fontId="29" fillId="0" borderId="217" xfId="3" applyNumberFormat="1" applyFont="1" applyBorder="1" applyAlignment="1">
      <alignment horizontal="left" vertical="center"/>
    </xf>
    <xf numFmtId="165" fontId="7" fillId="0" borderId="218" xfId="4" applyNumberFormat="1" applyFont="1" applyBorder="1" applyAlignment="1">
      <alignment vertical="center"/>
    </xf>
    <xf numFmtId="182" fontId="45" fillId="0" borderId="195" xfId="3" applyNumberFormat="1" applyFont="1" applyBorder="1" applyAlignment="1">
      <alignment horizontal="left" vertical="center"/>
    </xf>
    <xf numFmtId="41" fontId="41" fillId="0" borderId="195" xfId="3" applyNumberFormat="1" applyFont="1" applyBorder="1" applyAlignment="1">
      <alignment vertical="center"/>
    </xf>
    <xf numFmtId="0" fontId="47" fillId="0" borderId="19" xfId="3" applyFont="1" applyBorder="1" applyAlignment="1">
      <alignment vertical="center"/>
    </xf>
    <xf numFmtId="0" fontId="29" fillId="0" borderId="19" xfId="3" applyFont="1" applyBorder="1" applyAlignment="1">
      <alignment vertical="center"/>
    </xf>
    <xf numFmtId="41" fontId="29" fillId="0" borderId="22" xfId="3" applyNumberFormat="1" applyFont="1" applyBorder="1" applyAlignment="1">
      <alignment horizontal="center" vertical="center"/>
    </xf>
    <xf numFmtId="41" fontId="29" fillId="0" borderId="226" xfId="3" applyNumberFormat="1" applyFont="1" applyBorder="1" applyAlignment="1">
      <alignment horizontal="center" vertical="center"/>
    </xf>
    <xf numFmtId="41" fontId="7" fillId="0" borderId="22" xfId="3" applyNumberFormat="1" applyFont="1" applyBorder="1" applyAlignment="1">
      <alignment horizontal="center" vertical="center"/>
    </xf>
    <xf numFmtId="41" fontId="7" fillId="0" borderId="226" xfId="3" applyNumberFormat="1" applyFont="1" applyBorder="1" applyAlignment="1">
      <alignment horizontal="center" vertical="center"/>
    </xf>
    <xf numFmtId="41" fontId="7" fillId="0" borderId="23" xfId="3" applyNumberFormat="1" applyFont="1" applyBorder="1" applyAlignment="1">
      <alignment horizontal="center" vertical="center"/>
    </xf>
    <xf numFmtId="0" fontId="7" fillId="0" borderId="227" xfId="3" applyFont="1" applyBorder="1" applyAlignment="1">
      <alignment horizontal="left" vertical="center" indent="1"/>
    </xf>
    <xf numFmtId="168" fontId="29" fillId="0" borderId="26" xfId="4" applyNumberFormat="1" applyFont="1" applyBorder="1" applyAlignment="1">
      <alignment vertical="center"/>
    </xf>
    <xf numFmtId="184" fontId="29" fillId="0" borderId="228" xfId="1" applyNumberFormat="1" applyFont="1" applyBorder="1" applyAlignment="1">
      <alignment vertical="center"/>
    </xf>
    <xf numFmtId="168" fontId="7" fillId="0" borderId="26" xfId="4" applyNumberFormat="1" applyFont="1" applyBorder="1" applyAlignment="1">
      <alignment vertical="center"/>
    </xf>
    <xf numFmtId="184" fontId="7" fillId="0" borderId="228" xfId="1" applyNumberFormat="1" applyFont="1" applyBorder="1" applyAlignment="1">
      <alignment vertical="center"/>
    </xf>
    <xf numFmtId="184" fontId="7" fillId="0" borderId="27" xfId="1" applyNumberFormat="1" applyFont="1" applyBorder="1" applyAlignment="1">
      <alignment vertical="center"/>
    </xf>
    <xf numFmtId="0" fontId="7" fillId="0" borderId="229" xfId="3" applyFont="1" applyBorder="1" applyAlignment="1">
      <alignment horizontal="left" vertical="center" indent="1"/>
    </xf>
    <xf numFmtId="168" fontId="29" fillId="0" borderId="31" xfId="4" applyNumberFormat="1" applyFont="1" applyBorder="1" applyAlignment="1">
      <alignment vertical="center"/>
    </xf>
    <xf numFmtId="184" fontId="29" fillId="0" borderId="230" xfId="1" applyNumberFormat="1" applyFont="1" applyBorder="1" applyAlignment="1">
      <alignment vertical="center"/>
    </xf>
    <xf numFmtId="168" fontId="7" fillId="0" borderId="31" xfId="4" applyNumberFormat="1" applyFont="1" applyBorder="1" applyAlignment="1">
      <alignment vertical="center"/>
    </xf>
    <xf numFmtId="184" fontId="7" fillId="0" borderId="230" xfId="1" applyNumberFormat="1" applyFont="1" applyBorder="1" applyAlignment="1">
      <alignment vertical="center"/>
    </xf>
    <xf numFmtId="184" fontId="7" fillId="0" borderId="32" xfId="1" applyNumberFormat="1" applyFont="1" applyBorder="1" applyAlignment="1">
      <alignment vertical="center"/>
    </xf>
    <xf numFmtId="0" fontId="7" fillId="0" borderId="231" xfId="3" applyFont="1" applyBorder="1" applyAlignment="1">
      <alignment horizontal="left" vertical="center" indent="1"/>
    </xf>
    <xf numFmtId="168" fontId="29" fillId="0" borderId="36" xfId="4" applyNumberFormat="1" applyFont="1" applyBorder="1" applyAlignment="1">
      <alignment vertical="center"/>
    </xf>
    <xf numFmtId="184" fontId="29" fillId="0" borderId="232" xfId="1" applyNumberFormat="1" applyFont="1" applyBorder="1" applyAlignment="1">
      <alignment vertical="center"/>
    </xf>
    <xf numFmtId="168" fontId="7" fillId="0" borderId="36" xfId="4" applyNumberFormat="1" applyFont="1" applyBorder="1" applyAlignment="1">
      <alignment vertical="center"/>
    </xf>
    <xf numFmtId="184" fontId="7" fillId="0" borderId="232" xfId="1" applyNumberFormat="1" applyFont="1" applyBorder="1" applyAlignment="1">
      <alignment vertical="center"/>
    </xf>
    <xf numFmtId="184" fontId="7" fillId="0" borderId="37" xfId="1" applyNumberFormat="1" applyFont="1" applyBorder="1" applyAlignment="1">
      <alignment vertical="center"/>
    </xf>
    <xf numFmtId="0" fontId="29" fillId="0" borderId="19" xfId="3" applyFont="1" applyBorder="1" applyAlignment="1">
      <alignment horizontal="left" vertical="center"/>
    </xf>
    <xf numFmtId="168" fontId="29" fillId="0" borderId="22" xfId="4" applyNumberFormat="1" applyFont="1" applyBorder="1" applyAlignment="1">
      <alignment vertical="center"/>
    </xf>
    <xf numFmtId="184" fontId="29" fillId="0" borderId="226" xfId="1" applyNumberFormat="1" applyFont="1" applyBorder="1" applyAlignment="1">
      <alignment vertical="center"/>
    </xf>
    <xf numFmtId="168" fontId="7" fillId="0" borderId="22" xfId="4" applyNumberFormat="1" applyFont="1" applyBorder="1" applyAlignment="1">
      <alignment vertical="center"/>
    </xf>
    <xf numFmtId="184" fontId="7" fillId="0" borderId="226" xfId="1" applyNumberFormat="1" applyFont="1" applyBorder="1" applyAlignment="1">
      <alignment vertical="center"/>
    </xf>
    <xf numFmtId="184" fontId="7" fillId="0" borderId="23" xfId="1" applyNumberFormat="1" applyFont="1" applyBorder="1" applyAlignment="1">
      <alignment vertical="center"/>
    </xf>
    <xf numFmtId="0" fontId="7" fillId="0" borderId="227" xfId="3" applyFont="1" applyBorder="1" applyAlignment="1">
      <alignment horizontal="left" vertical="center" indent="3"/>
    </xf>
    <xf numFmtId="169" fontId="29" fillId="0" borderId="26" xfId="4" applyNumberFormat="1" applyFont="1" applyBorder="1" applyAlignment="1">
      <alignment vertical="center"/>
    </xf>
    <xf numFmtId="169" fontId="29" fillId="0" borderId="228" xfId="4" applyNumberFormat="1" applyFont="1" applyBorder="1" applyAlignment="1">
      <alignment vertical="center"/>
    </xf>
    <xf numFmtId="169" fontId="7" fillId="0" borderId="26" xfId="4" applyNumberFormat="1" applyFont="1" applyBorder="1" applyAlignment="1">
      <alignment vertical="center"/>
    </xf>
    <xf numFmtId="169" fontId="7" fillId="0" borderId="228" xfId="4" applyNumberFormat="1" applyFont="1" applyBorder="1" applyAlignment="1">
      <alignment vertical="center"/>
    </xf>
    <xf numFmtId="169" fontId="7" fillId="0" borderId="27" xfId="4" applyNumberFormat="1" applyFont="1" applyBorder="1" applyAlignment="1">
      <alignment vertical="center"/>
    </xf>
    <xf numFmtId="169" fontId="29" fillId="0" borderId="31" xfId="3" applyNumberFormat="1" applyFont="1" applyBorder="1" applyAlignment="1">
      <alignment vertical="center"/>
    </xf>
    <xf numFmtId="169" fontId="29" fillId="0" borderId="230" xfId="3" applyNumberFormat="1" applyFont="1" applyBorder="1" applyAlignment="1">
      <alignment vertical="center"/>
    </xf>
    <xf numFmtId="169" fontId="7" fillId="0" borderId="31" xfId="3" applyNumberFormat="1" applyFont="1" applyBorder="1" applyAlignment="1">
      <alignment vertical="center"/>
    </xf>
    <xf numFmtId="169" fontId="7" fillId="0" borderId="230" xfId="3" applyNumberFormat="1" applyFont="1" applyBorder="1" applyAlignment="1">
      <alignment vertical="center"/>
    </xf>
    <xf numFmtId="0" fontId="7" fillId="0" borderId="31" xfId="3" applyFont="1" applyBorder="1" applyAlignment="1">
      <alignment vertical="center"/>
    </xf>
    <xf numFmtId="169" fontId="7" fillId="0" borderId="230" xfId="4" applyNumberFormat="1" applyFont="1" applyBorder="1" applyAlignment="1">
      <alignment vertical="center"/>
    </xf>
    <xf numFmtId="169" fontId="7" fillId="0" borderId="31" xfId="4" applyNumberFormat="1" applyFont="1" applyBorder="1" applyAlignment="1">
      <alignment vertical="center"/>
    </xf>
    <xf numFmtId="169" fontId="7" fillId="0" borderId="32" xfId="4" applyNumberFormat="1" applyFont="1" applyBorder="1" applyAlignment="1">
      <alignment vertical="center"/>
    </xf>
    <xf numFmtId="0" fontId="7" fillId="0" borderId="229" xfId="3" applyFont="1" applyBorder="1" applyAlignment="1">
      <alignment horizontal="left" vertical="center" indent="2"/>
    </xf>
    <xf numFmtId="168" fontId="29" fillId="0" borderId="31" xfId="3" applyNumberFormat="1" applyFont="1" applyBorder="1" applyAlignment="1">
      <alignment vertical="center"/>
    </xf>
    <xf numFmtId="168" fontId="7" fillId="0" borderId="31" xfId="3" applyNumberFormat="1" applyFont="1" applyBorder="1" applyAlignment="1">
      <alignment vertical="center"/>
    </xf>
    <xf numFmtId="168" fontId="29" fillId="0" borderId="36" xfId="3" applyNumberFormat="1" applyFont="1" applyBorder="1" applyAlignment="1">
      <alignment vertical="center"/>
    </xf>
    <xf numFmtId="168" fontId="7" fillId="0" borderId="36" xfId="3" applyNumberFormat="1" applyFont="1" applyBorder="1" applyAlignment="1">
      <alignment vertical="center"/>
    </xf>
    <xf numFmtId="168" fontId="29" fillId="0" borderId="22" xfId="3" applyNumberFormat="1" applyFont="1" applyBorder="1" applyAlignment="1">
      <alignment vertical="center"/>
    </xf>
    <xf numFmtId="168" fontId="7" fillId="0" borderId="22" xfId="3" applyNumberFormat="1" applyFont="1" applyBorder="1" applyAlignment="1">
      <alignment vertical="center"/>
    </xf>
    <xf numFmtId="0" fontId="29" fillId="0" borderId="227" xfId="3" applyFont="1" applyBorder="1" applyAlignment="1">
      <alignment horizontal="left" vertical="center" indent="1"/>
    </xf>
    <xf numFmtId="169" fontId="29" fillId="0" borderId="26" xfId="3" applyNumberFormat="1" applyFont="1" applyBorder="1" applyAlignment="1">
      <alignment vertical="center"/>
    </xf>
    <xf numFmtId="169" fontId="7" fillId="0" borderId="26" xfId="3" applyNumberFormat="1" applyFont="1" applyBorder="1" applyAlignment="1">
      <alignment vertical="center"/>
    </xf>
    <xf numFmtId="0" fontId="7" fillId="0" borderId="229" xfId="3" applyFont="1" applyBorder="1" applyAlignment="1">
      <alignment horizontal="left" vertical="center"/>
    </xf>
    <xf numFmtId="185" fontId="29" fillId="0" borderId="233" xfId="3" applyNumberFormat="1" applyFont="1" applyBorder="1" applyAlignment="1">
      <alignment vertical="center"/>
    </xf>
    <xf numFmtId="9" fontId="29" fillId="0" borderId="230" xfId="1" applyFont="1" applyBorder="1" applyAlignment="1">
      <alignment vertical="center"/>
    </xf>
    <xf numFmtId="185" fontId="7" fillId="0" borderId="233" xfId="3" applyNumberFormat="1" applyFont="1" applyBorder="1" applyAlignment="1">
      <alignment vertical="center"/>
    </xf>
    <xf numFmtId="9" fontId="7" fillId="0" borderId="230" xfId="1" applyFont="1" applyBorder="1" applyAlignment="1">
      <alignment vertical="center"/>
    </xf>
    <xf numFmtId="9" fontId="7" fillId="0" borderId="32" xfId="1" applyFont="1" applyBorder="1" applyAlignment="1">
      <alignment vertical="center"/>
    </xf>
    <xf numFmtId="169" fontId="29" fillId="9" borderId="230" xfId="3" applyNumberFormat="1" applyFont="1" applyFill="1" applyBorder="1" applyAlignment="1">
      <alignment vertical="center"/>
    </xf>
    <xf numFmtId="169" fontId="7" fillId="9" borderId="230" xfId="3" applyNumberFormat="1" applyFont="1" applyFill="1" applyBorder="1" applyAlignment="1">
      <alignment vertical="center"/>
    </xf>
    <xf numFmtId="169" fontId="7" fillId="9" borderId="230" xfId="4" applyNumberFormat="1" applyFont="1" applyFill="1" applyBorder="1" applyAlignment="1">
      <alignment vertical="center"/>
    </xf>
    <xf numFmtId="169" fontId="7" fillId="9" borderId="32" xfId="4" applyNumberFormat="1" applyFont="1" applyFill="1" applyBorder="1" applyAlignment="1">
      <alignment vertical="center"/>
    </xf>
    <xf numFmtId="0" fontId="29" fillId="0" borderId="231" xfId="3" applyFont="1" applyBorder="1" applyAlignment="1">
      <alignment horizontal="left" vertical="center"/>
    </xf>
    <xf numFmtId="169" fontId="29" fillId="9" borderId="232" xfId="3" applyNumberFormat="1" applyFont="1" applyFill="1" applyBorder="1" applyAlignment="1">
      <alignment vertical="center"/>
    </xf>
    <xf numFmtId="169" fontId="7" fillId="9" borderId="232" xfId="3" applyNumberFormat="1" applyFont="1" applyFill="1" applyBorder="1" applyAlignment="1">
      <alignment vertical="center"/>
    </xf>
    <xf numFmtId="169" fontId="7" fillId="9" borderId="232" xfId="4" applyNumberFormat="1" applyFont="1" applyFill="1" applyBorder="1" applyAlignment="1">
      <alignment vertical="center"/>
    </xf>
    <xf numFmtId="169" fontId="7" fillId="9" borderId="37" xfId="4" applyNumberFormat="1" applyFont="1" applyFill="1" applyBorder="1" applyAlignment="1">
      <alignment vertical="center"/>
    </xf>
    <xf numFmtId="0" fontId="39" fillId="0" borderId="39" xfId="3" applyFont="1" applyBorder="1" applyAlignment="1">
      <alignment horizontal="left" vertical="center" indent="1"/>
    </xf>
    <xf numFmtId="169" fontId="39" fillId="0" borderId="39" xfId="3" applyNumberFormat="1" applyFont="1" applyBorder="1" applyAlignment="1">
      <alignment vertical="center"/>
    </xf>
    <xf numFmtId="169" fontId="39" fillId="0" borderId="39" xfId="4" applyNumberFormat="1" applyFont="1" applyBorder="1" applyAlignment="1">
      <alignment vertical="center"/>
    </xf>
    <xf numFmtId="0" fontId="41" fillId="0" borderId="0" xfId="3" applyFont="1" applyAlignment="1">
      <alignment vertical="center"/>
    </xf>
    <xf numFmtId="0" fontId="67" fillId="0" borderId="182" xfId="3" applyFont="1" applyBorder="1" applyAlignment="1">
      <alignment horizontal="center" vertical="center"/>
    </xf>
    <xf numFmtId="166" fontId="7" fillId="0" borderId="181" xfId="4" applyNumberFormat="1" applyFont="1" applyBorder="1" applyAlignment="1">
      <alignment horizontal="right" vertical="center"/>
    </xf>
    <xf numFmtId="41" fontId="7" fillId="0" borderId="222" xfId="4" applyNumberFormat="1" applyFont="1" applyBorder="1" applyAlignment="1">
      <alignment vertical="center"/>
    </xf>
    <xf numFmtId="41" fontId="7" fillId="0" borderId="220" xfId="4" applyNumberFormat="1" applyFont="1" applyBorder="1" applyAlignment="1">
      <alignment vertical="center"/>
    </xf>
    <xf numFmtId="41" fontId="7" fillId="0" borderId="221" xfId="4" applyNumberFormat="1" applyFont="1" applyBorder="1" applyAlignment="1">
      <alignment vertical="center"/>
    </xf>
    <xf numFmtId="165" fontId="7" fillId="0" borderId="33" xfId="19" applyNumberFormat="1" applyFont="1" applyFill="1" applyBorder="1" applyAlignment="1">
      <alignment vertical="center"/>
    </xf>
    <xf numFmtId="165" fontId="7" fillId="0" borderId="33" xfId="20" applyNumberFormat="1" applyFont="1" applyFill="1" applyBorder="1" applyAlignment="1">
      <alignment vertical="center"/>
    </xf>
    <xf numFmtId="0" fontId="7" fillId="0" borderId="217" xfId="3" applyFont="1" applyBorder="1" applyAlignment="1">
      <alignment horizontal="left" vertical="center" indent="2"/>
    </xf>
    <xf numFmtId="41" fontId="29" fillId="0" borderId="218" xfId="3" applyNumberFormat="1" applyFont="1" applyBorder="1" applyAlignment="1">
      <alignment vertical="center"/>
    </xf>
    <xf numFmtId="41" fontId="7" fillId="0" borderId="219" xfId="19" applyNumberFormat="1" applyFont="1" applyFill="1" applyBorder="1" applyAlignment="1">
      <alignment vertical="center"/>
    </xf>
    <xf numFmtId="41" fontId="7" fillId="0" borderId="217" xfId="4" applyNumberFormat="1" applyFont="1" applyBorder="1" applyAlignment="1">
      <alignment vertical="center"/>
    </xf>
    <xf numFmtId="41" fontId="7" fillId="0" borderId="218" xfId="4" applyNumberFormat="1" applyFont="1" applyBorder="1" applyAlignment="1">
      <alignment vertical="center"/>
    </xf>
    <xf numFmtId="41" fontId="7" fillId="0" borderId="219" xfId="4" applyNumberFormat="1" applyFont="1" applyBorder="1" applyAlignment="1">
      <alignment vertical="center"/>
    </xf>
    <xf numFmtId="0" fontId="20" fillId="0" borderId="181" xfId="3" quotePrefix="1" applyFont="1" applyBorder="1" applyAlignment="1">
      <alignment vertical="center"/>
    </xf>
    <xf numFmtId="41" fontId="29" fillId="0" borderId="182" xfId="3" applyNumberFormat="1" applyFont="1" applyBorder="1" applyAlignment="1">
      <alignment vertical="center"/>
    </xf>
    <xf numFmtId="41" fontId="7" fillId="0" borderId="183" xfId="19" applyNumberFormat="1" applyFont="1" applyFill="1" applyBorder="1" applyAlignment="1">
      <alignment vertical="center"/>
    </xf>
    <xf numFmtId="41" fontId="7" fillId="0" borderId="181" xfId="4" applyNumberFormat="1" applyFont="1" applyBorder="1" applyAlignment="1">
      <alignment vertical="center"/>
    </xf>
    <xf numFmtId="41" fontId="7" fillId="0" borderId="182" xfId="4" applyNumberFormat="1" applyFont="1" applyBorder="1" applyAlignment="1">
      <alignment vertical="center"/>
    </xf>
    <xf numFmtId="41" fontId="7" fillId="0" borderId="183" xfId="4" applyNumberFormat="1" applyFont="1" applyBorder="1" applyAlignment="1">
      <alignment vertical="center"/>
    </xf>
    <xf numFmtId="0" fontId="7" fillId="0" borderId="213" xfId="3" applyFont="1" applyBorder="1" applyAlignment="1">
      <alignment horizontal="left" vertical="center" indent="2"/>
    </xf>
    <xf numFmtId="165" fontId="29" fillId="0" borderId="214" xfId="3" applyNumberFormat="1" applyFont="1" applyBorder="1" applyAlignment="1">
      <alignment vertical="center"/>
    </xf>
    <xf numFmtId="165" fontId="7" fillId="0" borderId="215" xfId="19" applyNumberFormat="1" applyFont="1" applyFill="1" applyBorder="1" applyAlignment="1">
      <alignment vertical="center"/>
    </xf>
    <xf numFmtId="165" fontId="7" fillId="0" borderId="213" xfId="4" applyNumberFormat="1" applyFont="1" applyBorder="1" applyAlignment="1">
      <alignment vertical="center"/>
    </xf>
    <xf numFmtId="165" fontId="7" fillId="0" borderId="214" xfId="4" applyNumberFormat="1" applyFont="1" applyBorder="1" applyAlignment="1">
      <alignment vertical="center"/>
    </xf>
    <xf numFmtId="165" fontId="7" fillId="0" borderId="215" xfId="4" applyNumberFormat="1" applyFont="1" applyBorder="1" applyAlignment="1">
      <alignment vertical="center"/>
    </xf>
    <xf numFmtId="165" fontId="7" fillId="0" borderId="144" xfId="4" applyNumberFormat="1" applyFont="1" applyFill="1" applyBorder="1" applyAlignment="1">
      <alignment vertical="center"/>
    </xf>
    <xf numFmtId="165" fontId="7" fillId="0" borderId="216" xfId="4" applyNumberFormat="1" applyFont="1" applyFill="1" applyBorder="1" applyAlignment="1">
      <alignment vertical="center"/>
    </xf>
    <xf numFmtId="0" fontId="7" fillId="0" borderId="234" xfId="3" applyFont="1" applyBorder="1" applyAlignment="1">
      <alignment horizontal="left" vertical="center" indent="2"/>
    </xf>
    <xf numFmtId="165" fontId="29" fillId="0" borderId="235" xfId="3" applyNumberFormat="1" applyFont="1" applyBorder="1" applyAlignment="1">
      <alignment vertical="center"/>
    </xf>
    <xf numFmtId="165" fontId="7" fillId="0" borderId="236" xfId="19" applyNumberFormat="1" applyFont="1" applyFill="1" applyBorder="1" applyAlignment="1">
      <alignment vertical="center"/>
    </xf>
    <xf numFmtId="165" fontId="7" fillId="0" borderId="234" xfId="4" applyNumberFormat="1" applyFont="1" applyFill="1" applyBorder="1" applyAlignment="1">
      <alignment vertical="center"/>
    </xf>
    <xf numFmtId="165" fontId="7" fillId="0" borderId="235" xfId="4" applyNumberFormat="1" applyFont="1" applyFill="1" applyBorder="1" applyAlignment="1">
      <alignment vertical="center"/>
    </xf>
    <xf numFmtId="165" fontId="7" fillId="0" borderId="236" xfId="4" applyNumberFormat="1" applyFont="1" applyBorder="1" applyAlignment="1">
      <alignment vertical="center"/>
    </xf>
    <xf numFmtId="165" fontId="7" fillId="0" borderId="234" xfId="4" applyNumberFormat="1" applyFont="1" applyBorder="1" applyAlignment="1">
      <alignment vertical="center"/>
    </xf>
    <xf numFmtId="165" fontId="7" fillId="0" borderId="235" xfId="4" applyNumberFormat="1" applyFont="1" applyBorder="1" applyAlignment="1">
      <alignment vertical="center"/>
    </xf>
    <xf numFmtId="0" fontId="7" fillId="0" borderId="237" xfId="3" applyFont="1" applyBorder="1" applyAlignment="1">
      <alignment horizontal="left" vertical="center" indent="2"/>
    </xf>
    <xf numFmtId="165" fontId="29" fillId="0" borderId="238" xfId="3" applyNumberFormat="1" applyFont="1" applyBorder="1" applyAlignment="1">
      <alignment vertical="center"/>
    </xf>
    <xf numFmtId="165" fontId="7" fillId="0" borderId="239" xfId="19" applyNumberFormat="1" applyFont="1" applyFill="1" applyBorder="1" applyAlignment="1">
      <alignment vertical="center"/>
    </xf>
    <xf numFmtId="165" fontId="7" fillId="0" borderId="237" xfId="4" applyNumberFormat="1" applyFont="1" applyFill="1" applyBorder="1" applyAlignment="1">
      <alignment vertical="center"/>
    </xf>
    <xf numFmtId="165" fontId="7" fillId="0" borderId="238" xfId="4" applyNumberFormat="1" applyFont="1" applyFill="1" applyBorder="1" applyAlignment="1">
      <alignment vertical="center"/>
    </xf>
    <xf numFmtId="165" fontId="7" fillId="0" borderId="239" xfId="4" applyNumberFormat="1" applyFont="1" applyBorder="1" applyAlignment="1">
      <alignment vertical="center"/>
    </xf>
    <xf numFmtId="165" fontId="7" fillId="0" borderId="237" xfId="4" applyNumberFormat="1" applyFont="1" applyBorder="1" applyAlignment="1">
      <alignment vertical="center"/>
    </xf>
    <xf numFmtId="165" fontId="7" fillId="0" borderId="238" xfId="4" applyNumberFormat="1" applyFont="1" applyBorder="1" applyAlignment="1">
      <alignment vertical="center"/>
    </xf>
    <xf numFmtId="0" fontId="29" fillId="0" borderId="181" xfId="3" applyFont="1" applyBorder="1" applyAlignment="1">
      <alignment horizontal="left" vertical="center"/>
    </xf>
    <xf numFmtId="165" fontId="29" fillId="0" borderId="182" xfId="3" applyNumberFormat="1" applyFont="1" applyBorder="1" applyAlignment="1">
      <alignment vertical="center"/>
    </xf>
    <xf numFmtId="165" fontId="7" fillId="0" borderId="183" xfId="19" applyNumberFormat="1" applyFont="1" applyFill="1" applyBorder="1" applyAlignment="1">
      <alignment vertical="center"/>
    </xf>
    <xf numFmtId="165" fontId="7" fillId="0" borderId="181" xfId="4" applyNumberFormat="1" applyFont="1" applyBorder="1" applyAlignment="1">
      <alignment vertical="center"/>
    </xf>
    <xf numFmtId="165" fontId="7" fillId="0" borderId="182" xfId="4" applyNumberFormat="1" applyFont="1" applyBorder="1" applyAlignment="1">
      <alignment vertical="center"/>
    </xf>
    <xf numFmtId="165" fontId="7" fillId="0" borderId="183" xfId="4" applyNumberFormat="1" applyFont="1" applyBorder="1" applyAlignment="1">
      <alignment vertical="center"/>
    </xf>
    <xf numFmtId="0" fontId="40" fillId="0" borderId="195" xfId="3" applyFont="1" applyBorder="1" applyAlignment="1">
      <alignment horizontal="left" vertical="center" indent="2"/>
    </xf>
    <xf numFmtId="41" fontId="40" fillId="0" borderId="195" xfId="3" applyNumberFormat="1" applyFont="1" applyBorder="1" applyAlignment="1">
      <alignment vertical="center"/>
    </xf>
    <xf numFmtId="41" fontId="39" fillId="0" borderId="195" xfId="3" applyNumberFormat="1" applyFont="1" applyBorder="1" applyAlignment="1">
      <alignment vertical="center"/>
    </xf>
    <xf numFmtId="41" fontId="40" fillId="0" borderId="195" xfId="4" applyNumberFormat="1" applyFont="1" applyBorder="1" applyAlignment="1">
      <alignment vertical="center"/>
    </xf>
    <xf numFmtId="0" fontId="41" fillId="0" borderId="0" xfId="3" applyFont="1" applyAlignment="1">
      <alignment vertical="center" wrapText="1"/>
    </xf>
    <xf numFmtId="0" fontId="45" fillId="0" borderId="0" xfId="3" applyFont="1" applyAlignment="1">
      <alignment vertical="center" wrapText="1"/>
    </xf>
    <xf numFmtId="0" fontId="41" fillId="0" borderId="0" xfId="3" applyFont="1" applyAlignment="1">
      <alignment horizontal="left" vertical="center" wrapText="1"/>
    </xf>
    <xf numFmtId="0" fontId="45" fillId="0" borderId="0" xfId="3" applyFont="1" applyAlignment="1">
      <alignment horizontal="left" vertical="center" wrapText="1"/>
    </xf>
    <xf numFmtId="166" fontId="29" fillId="0" borderId="182" xfId="3" applyNumberFormat="1" applyFont="1" applyBorder="1" applyAlignment="1">
      <alignment horizontal="center" vertical="center"/>
    </xf>
    <xf numFmtId="166" fontId="7" fillId="0" borderId="181" xfId="21" applyNumberFormat="1" applyFont="1" applyBorder="1" applyAlignment="1">
      <alignment horizontal="right" vertical="center"/>
    </xf>
    <xf numFmtId="166" fontId="7" fillId="0" borderId="184" xfId="3" applyNumberFormat="1" applyFont="1" applyBorder="1" applyAlignment="1">
      <alignment horizontal="right" vertical="center"/>
    </xf>
    <xf numFmtId="165" fontId="29" fillId="0" borderId="221" xfId="3" applyNumberFormat="1" applyFont="1" applyBorder="1" applyAlignment="1">
      <alignment vertical="center"/>
    </xf>
    <xf numFmtId="165" fontId="7" fillId="0" borderId="222" xfId="22" applyNumberFormat="1" applyFont="1" applyBorder="1" applyAlignment="1">
      <alignment vertical="center"/>
    </xf>
    <xf numFmtId="165" fontId="7" fillId="0" borderId="222" xfId="23" applyNumberFormat="1" applyFont="1" applyFill="1" applyBorder="1" applyAlignment="1">
      <alignment vertical="center"/>
    </xf>
    <xf numFmtId="165" fontId="7" fillId="0" borderId="220" xfId="21" applyNumberFormat="1" applyFont="1" applyBorder="1" applyAlignment="1">
      <alignment vertical="center"/>
    </xf>
    <xf numFmtId="165" fontId="7" fillId="0" borderId="220" xfId="4" applyNumberFormat="1" applyFont="1" applyBorder="1" applyAlignment="1">
      <alignment vertical="center"/>
    </xf>
    <xf numFmtId="165" fontId="7" fillId="0" borderId="221" xfId="24" applyNumberFormat="1" applyFont="1" applyBorder="1" applyAlignment="1">
      <alignment vertical="center"/>
    </xf>
    <xf numFmtId="165" fontId="7" fillId="0" borderId="222" xfId="24" applyNumberFormat="1" applyFont="1" applyBorder="1" applyAlignment="1">
      <alignment vertical="center"/>
    </xf>
    <xf numFmtId="0" fontId="29" fillId="0" borderId="217" xfId="3" applyFont="1" applyBorder="1" applyAlignment="1">
      <alignment vertical="center"/>
    </xf>
    <xf numFmtId="41" fontId="7" fillId="0" borderId="219" xfId="22" applyNumberFormat="1" applyFont="1" applyBorder="1" applyAlignment="1">
      <alignment vertical="center"/>
    </xf>
    <xf numFmtId="41" fontId="7" fillId="0" borderId="219" xfId="23" applyNumberFormat="1" applyFont="1" applyFill="1" applyBorder="1" applyAlignment="1">
      <alignment vertical="center"/>
    </xf>
    <xf numFmtId="41" fontId="7" fillId="0" borderId="217" xfId="21" applyNumberFormat="1" applyFont="1" applyBorder="1" applyAlignment="1">
      <alignment vertical="center"/>
    </xf>
    <xf numFmtId="41" fontId="7" fillId="0" borderId="225" xfId="4" applyNumberFormat="1" applyFont="1" applyBorder="1" applyAlignment="1">
      <alignment vertical="center"/>
    </xf>
    <xf numFmtId="41" fontId="7" fillId="0" borderId="218" xfId="24" applyNumberFormat="1" applyFont="1" applyBorder="1" applyAlignment="1">
      <alignment vertical="center"/>
    </xf>
    <xf numFmtId="41" fontId="7" fillId="0" borderId="219" xfId="24" applyNumberFormat="1" applyFont="1" applyBorder="1" applyAlignment="1">
      <alignment vertical="center"/>
    </xf>
    <xf numFmtId="41" fontId="7" fillId="0" borderId="183" xfId="22" applyNumberFormat="1" applyFont="1" applyBorder="1" applyAlignment="1">
      <alignment vertical="center"/>
    </xf>
    <xf numFmtId="41" fontId="7" fillId="0" borderId="183" xfId="23" applyNumberFormat="1" applyFont="1" applyFill="1" applyBorder="1" applyAlignment="1">
      <alignment vertical="center"/>
    </xf>
    <xf numFmtId="41" fontId="7" fillId="0" borderId="181" xfId="21" applyNumberFormat="1" applyFont="1" applyBorder="1" applyAlignment="1">
      <alignment vertical="center"/>
    </xf>
    <xf numFmtId="41" fontId="7" fillId="0" borderId="184" xfId="4" applyNumberFormat="1" applyFont="1" applyBorder="1" applyAlignment="1">
      <alignment vertical="center"/>
    </xf>
    <xf numFmtId="41" fontId="7" fillId="0" borderId="182" xfId="24" applyNumberFormat="1" applyFont="1" applyBorder="1" applyAlignment="1">
      <alignment vertical="center"/>
    </xf>
    <xf numFmtId="41" fontId="7" fillId="0" borderId="183" xfId="24" applyNumberFormat="1" applyFont="1" applyBorder="1" applyAlignment="1">
      <alignment vertical="center"/>
    </xf>
    <xf numFmtId="0" fontId="7" fillId="0" borderId="213" xfId="3" applyFont="1" applyBorder="1" applyAlignment="1">
      <alignment horizontal="left" vertical="center" indent="1"/>
    </xf>
    <xf numFmtId="165" fontId="7" fillId="0" borderId="215" xfId="22" applyNumberFormat="1" applyFont="1" applyBorder="1" applyAlignment="1">
      <alignment vertical="center"/>
    </xf>
    <xf numFmtId="165" fontId="7" fillId="0" borderId="215" xfId="23" applyNumberFormat="1" applyFont="1" applyFill="1" applyBorder="1" applyAlignment="1">
      <alignment vertical="center"/>
    </xf>
    <xf numFmtId="165" fontId="7" fillId="0" borderId="213" xfId="21" applyNumberFormat="1" applyFont="1" applyBorder="1" applyAlignment="1">
      <alignment vertical="center"/>
    </xf>
    <xf numFmtId="165" fontId="7" fillId="0" borderId="240" xfId="4" applyNumberFormat="1" applyFont="1" applyBorder="1" applyAlignment="1">
      <alignment vertical="center"/>
    </xf>
    <xf numFmtId="165" fontId="7" fillId="0" borderId="214" xfId="24" applyNumberFormat="1" applyFont="1" applyBorder="1" applyAlignment="1">
      <alignment vertical="center"/>
    </xf>
    <xf numFmtId="165" fontId="7" fillId="0" borderId="215" xfId="24" applyNumberFormat="1" applyFont="1" applyBorder="1" applyAlignment="1">
      <alignment vertical="center"/>
    </xf>
    <xf numFmtId="165" fontId="7" fillId="0" borderId="33" xfId="22" applyNumberFormat="1" applyFont="1" applyBorder="1" applyAlignment="1">
      <alignment vertical="center"/>
    </xf>
    <xf numFmtId="165" fontId="7" fillId="0" borderId="33" xfId="23" applyNumberFormat="1" applyFont="1" applyFill="1" applyBorder="1" applyAlignment="1">
      <alignment vertical="center"/>
    </xf>
    <xf numFmtId="165" fontId="7" fillId="0" borderId="144" xfId="21" applyNumberFormat="1" applyFont="1" applyBorder="1" applyAlignment="1">
      <alignment vertical="center"/>
    </xf>
    <xf numFmtId="165" fontId="7" fillId="0" borderId="216" xfId="24" applyNumberFormat="1" applyFont="1" applyBorder="1" applyAlignment="1">
      <alignment vertical="center"/>
    </xf>
    <xf numFmtId="165" fontId="7" fillId="0" borderId="33" xfId="24" applyNumberFormat="1" applyFont="1" applyBorder="1" applyAlignment="1">
      <alignment vertical="center"/>
    </xf>
    <xf numFmtId="0" fontId="7" fillId="0" borderId="217" xfId="3" applyFont="1" applyBorder="1" applyAlignment="1">
      <alignment horizontal="left" vertical="center" indent="1"/>
    </xf>
    <xf numFmtId="165" fontId="7" fillId="0" borderId="219" xfId="22" applyNumberFormat="1" applyFont="1" applyBorder="1" applyAlignment="1">
      <alignment vertical="center"/>
    </xf>
    <xf numFmtId="165" fontId="7" fillId="0" borderId="219" xfId="23" applyNumberFormat="1" applyFont="1" applyFill="1" applyBorder="1" applyAlignment="1">
      <alignment vertical="center"/>
    </xf>
    <xf numFmtId="165" fontId="7" fillId="0" borderId="217" xfId="21" applyNumberFormat="1" applyFont="1" applyBorder="1" applyAlignment="1">
      <alignment vertical="center"/>
    </xf>
    <xf numFmtId="165" fontId="7" fillId="0" borderId="219" xfId="4" applyNumberFormat="1" applyFont="1" applyBorder="1" applyAlignment="1">
      <alignment vertical="center"/>
    </xf>
    <xf numFmtId="165" fontId="7" fillId="0" borderId="218" xfId="24" applyNumberFormat="1" applyFont="1" applyBorder="1" applyAlignment="1">
      <alignment vertical="center"/>
    </xf>
    <xf numFmtId="165" fontId="7" fillId="0" borderId="219" xfId="24" applyNumberFormat="1" applyFont="1" applyBorder="1" applyAlignment="1">
      <alignment vertical="center"/>
    </xf>
    <xf numFmtId="0" fontId="29" fillId="0" borderId="217" xfId="3" applyFont="1" applyBorder="1" applyAlignment="1">
      <alignment horizontal="left" vertical="center"/>
    </xf>
    <xf numFmtId="165" fontId="7" fillId="0" borderId="213" xfId="25" applyNumberFormat="1" applyFont="1" applyBorder="1" applyAlignment="1">
      <alignment vertical="center"/>
    </xf>
    <xf numFmtId="165" fontId="7" fillId="0" borderId="144" xfId="25" applyNumberFormat="1" applyFont="1" applyBorder="1" applyAlignment="1">
      <alignment vertical="center"/>
    </xf>
    <xf numFmtId="41" fontId="7" fillId="0" borderId="217" xfId="25" applyNumberFormat="1" applyFont="1" applyBorder="1" applyAlignment="1">
      <alignment vertical="center"/>
    </xf>
    <xf numFmtId="41" fontId="7" fillId="0" borderId="181" xfId="25" applyNumberFormat="1" applyFont="1" applyBorder="1" applyAlignment="1">
      <alignment vertical="center"/>
    </xf>
    <xf numFmtId="165" fontId="7" fillId="0" borderId="219" xfId="22" applyNumberFormat="1" applyFont="1" applyFill="1" applyBorder="1" applyAlignment="1">
      <alignment vertical="center"/>
    </xf>
    <xf numFmtId="165" fontId="7" fillId="0" borderId="217" xfId="25" applyNumberFormat="1" applyFont="1" applyBorder="1" applyAlignment="1">
      <alignment vertical="center"/>
    </xf>
    <xf numFmtId="41" fontId="45" fillId="0" borderId="195" xfId="3" applyNumberFormat="1" applyFont="1" applyBorder="1" applyAlignment="1">
      <alignment vertical="center"/>
    </xf>
    <xf numFmtId="171" fontId="45" fillId="0" borderId="195" xfId="4" applyNumberFormat="1" applyFont="1" applyBorder="1" applyAlignment="1">
      <alignment vertical="center"/>
    </xf>
    <xf numFmtId="0" fontId="23" fillId="0" borderId="0" xfId="3" applyFont="1" applyAlignment="1">
      <alignment horizontal="left" vertical="center"/>
    </xf>
    <xf numFmtId="0" fontId="70" fillId="0" borderId="182" xfId="3" applyFont="1" applyBorder="1" applyAlignment="1">
      <alignment horizontal="center" vertical="center"/>
    </xf>
    <xf numFmtId="41" fontId="29" fillId="0" borderId="182" xfId="3" applyNumberFormat="1" applyFont="1" applyBorder="1" applyAlignment="1">
      <alignment horizontal="right" vertical="center"/>
    </xf>
    <xf numFmtId="41" fontId="7" fillId="0" borderId="183" xfId="3" applyNumberFormat="1" applyFont="1" applyBorder="1" applyAlignment="1">
      <alignment horizontal="right" vertical="center"/>
    </xf>
    <xf numFmtId="41" fontId="7" fillId="0" borderId="181" xfId="4" applyNumberFormat="1" applyFont="1" applyBorder="1" applyAlignment="1">
      <alignment horizontal="right" vertical="center"/>
    </xf>
    <xf numFmtId="41" fontId="7" fillId="0" borderId="182" xfId="3" applyNumberFormat="1" applyFont="1" applyBorder="1" applyAlignment="1">
      <alignment horizontal="right" vertical="center"/>
    </xf>
    <xf numFmtId="41" fontId="7" fillId="0" borderId="183" xfId="4" applyNumberFormat="1" applyFont="1" applyBorder="1" applyAlignment="1">
      <alignment horizontal="right" vertical="center"/>
    </xf>
    <xf numFmtId="41" fontId="7" fillId="0" borderId="184" xfId="3" applyNumberFormat="1" applyFont="1" applyBorder="1" applyAlignment="1">
      <alignment horizontal="right" vertical="center"/>
    </xf>
    <xf numFmtId="41" fontId="7" fillId="0" borderId="182" xfId="4" applyNumberFormat="1" applyFont="1" applyBorder="1" applyAlignment="1">
      <alignment horizontal="right" vertical="center"/>
    </xf>
    <xf numFmtId="0" fontId="29" fillId="0" borderId="220" xfId="3" applyFont="1" applyBorder="1" applyAlignment="1">
      <alignment horizontal="left" vertical="center"/>
    </xf>
    <xf numFmtId="41" fontId="7" fillId="0" borderId="222" xfId="26" applyNumberFormat="1" applyFont="1" applyFill="1" applyBorder="1" applyAlignment="1">
      <alignment vertical="center"/>
    </xf>
    <xf numFmtId="41" fontId="29" fillId="0" borderId="220" xfId="4" applyNumberFormat="1" applyFont="1" applyBorder="1" applyAlignment="1">
      <alignment vertical="center"/>
    </xf>
    <xf numFmtId="165" fontId="7" fillId="0" borderId="33" xfId="26" applyNumberFormat="1" applyFont="1" applyFill="1" applyBorder="1" applyAlignment="1">
      <alignment vertical="center"/>
    </xf>
    <xf numFmtId="165" fontId="7" fillId="0" borderId="144" xfId="24" applyNumberFormat="1" applyFont="1" applyBorder="1" applyAlignment="1">
      <alignment vertical="center"/>
    </xf>
    <xf numFmtId="165" fontId="7" fillId="0" borderId="33" xfId="4" applyNumberFormat="1" applyFont="1" applyFill="1" applyBorder="1" applyAlignment="1">
      <alignment vertical="center"/>
    </xf>
    <xf numFmtId="165" fontId="7" fillId="0" borderId="216" xfId="27" applyNumberFormat="1" applyFont="1" applyBorder="1" applyAlignment="1">
      <alignment vertical="center"/>
    </xf>
    <xf numFmtId="165" fontId="7" fillId="0" borderId="33" xfId="27" applyNumberFormat="1" applyFont="1" applyBorder="1" applyAlignment="1">
      <alignment vertical="center"/>
    </xf>
    <xf numFmtId="165" fontId="19" fillId="0" borderId="144" xfId="24" applyNumberFormat="1" applyFont="1" applyFill="1" applyBorder="1" applyAlignment="1">
      <alignment vertical="center"/>
    </xf>
    <xf numFmtId="0" fontId="7" fillId="0" borderId="144" xfId="3" applyFont="1" applyBorder="1" applyAlignment="1">
      <alignment horizontal="left" vertical="center"/>
    </xf>
    <xf numFmtId="0" fontId="7" fillId="0" borderId="217" xfId="3" applyFont="1" applyBorder="1" applyAlignment="1">
      <alignment horizontal="left" vertical="center"/>
    </xf>
    <xf numFmtId="41" fontId="7" fillId="0" borderId="219" xfId="3" applyNumberFormat="1" applyFont="1" applyBorder="1" applyAlignment="1">
      <alignment vertical="center"/>
    </xf>
    <xf numFmtId="41" fontId="7" fillId="0" borderId="219" xfId="26" applyNumberFormat="1" applyFont="1" applyFill="1" applyBorder="1" applyAlignment="1">
      <alignment vertical="center"/>
    </xf>
    <xf numFmtId="41" fontId="7" fillId="0" borderId="217" xfId="3" applyNumberFormat="1" applyFont="1" applyBorder="1" applyAlignment="1">
      <alignment vertical="center"/>
    </xf>
    <xf numFmtId="41" fontId="7" fillId="0" borderId="218" xfId="27" applyNumberFormat="1" applyFont="1" applyBorder="1" applyAlignment="1">
      <alignment vertical="center"/>
    </xf>
    <xf numFmtId="41" fontId="7" fillId="0" borderId="219" xfId="27" applyNumberFormat="1" applyFont="1" applyBorder="1" applyAlignment="1">
      <alignment vertical="center"/>
    </xf>
    <xf numFmtId="41" fontId="7" fillId="0" borderId="183" xfId="3" applyNumberFormat="1" applyFont="1" applyBorder="1" applyAlignment="1">
      <alignment vertical="center"/>
    </xf>
    <xf numFmtId="41" fontId="7" fillId="0" borderId="183" xfId="26" applyNumberFormat="1" applyFont="1" applyFill="1" applyBorder="1" applyAlignment="1">
      <alignment vertical="center"/>
    </xf>
    <xf numFmtId="41" fontId="7" fillId="0" borderId="182" xfId="27" applyNumberFormat="1" applyFont="1" applyBorder="1" applyAlignment="1">
      <alignment vertical="center"/>
    </xf>
    <xf numFmtId="41" fontId="7" fillId="0" borderId="183" xfId="27" applyNumberFormat="1" applyFont="1" applyBorder="1" applyAlignment="1">
      <alignment vertical="center"/>
    </xf>
    <xf numFmtId="0" fontId="29" fillId="0" borderId="213" xfId="3" applyFont="1" applyBorder="1" applyAlignment="1">
      <alignment horizontal="left" vertical="center"/>
    </xf>
    <xf numFmtId="165" fontId="7" fillId="0" borderId="215" xfId="3" applyNumberFormat="1" applyFont="1" applyBorder="1" applyAlignment="1">
      <alignment vertical="center"/>
    </xf>
    <xf numFmtId="165" fontId="7" fillId="0" borderId="215" xfId="26" applyNumberFormat="1" applyFont="1" applyFill="1" applyBorder="1" applyAlignment="1">
      <alignment vertical="center"/>
    </xf>
    <xf numFmtId="165" fontId="7" fillId="0" borderId="214" xfId="27" applyNumberFormat="1" applyFont="1" applyBorder="1" applyAlignment="1">
      <alignment vertical="center"/>
    </xf>
    <xf numFmtId="165" fontId="7" fillId="0" borderId="215" xfId="27" applyNumberFormat="1" applyFont="1" applyBorder="1" applyAlignment="1">
      <alignment vertical="center"/>
    </xf>
    <xf numFmtId="165" fontId="19" fillId="0" borderId="144" xfId="21" applyNumberFormat="1" applyFont="1" applyFill="1" applyBorder="1" applyAlignment="1">
      <alignment vertical="center"/>
    </xf>
    <xf numFmtId="165" fontId="7" fillId="0" borderId="213" xfId="4" applyNumberFormat="1" applyFont="1" applyFill="1" applyBorder="1" applyAlignment="1">
      <alignment vertical="center"/>
    </xf>
    <xf numFmtId="165" fontId="19" fillId="0" borderId="144" xfId="25" applyNumberFormat="1" applyFont="1" applyFill="1" applyBorder="1" applyAlignment="1">
      <alignment vertical="center"/>
    </xf>
    <xf numFmtId="165" fontId="7" fillId="0" borderId="219" xfId="26" applyNumberFormat="1" applyFont="1" applyFill="1" applyBorder="1" applyAlignment="1">
      <alignment vertical="center"/>
    </xf>
    <xf numFmtId="165" fontId="7" fillId="0" borderId="218" xfId="27" applyNumberFormat="1" applyFont="1" applyBorder="1" applyAlignment="1">
      <alignment vertical="center"/>
    </xf>
    <xf numFmtId="165" fontId="7" fillId="0" borderId="219" xfId="27" applyNumberFormat="1" applyFont="1" applyBorder="1" applyAlignment="1">
      <alignment vertical="center"/>
    </xf>
    <xf numFmtId="0" fontId="39" fillId="0" borderId="195" xfId="3" applyFont="1" applyBorder="1" applyAlignment="1">
      <alignment vertical="center"/>
    </xf>
    <xf numFmtId="41" fontId="39" fillId="0" borderId="195" xfId="4" applyNumberFormat="1" applyFont="1" applyBorder="1" applyAlignment="1">
      <alignment vertical="center"/>
    </xf>
    <xf numFmtId="0" fontId="37" fillId="0" borderId="181" xfId="3" applyFont="1" applyBorder="1"/>
    <xf numFmtId="41" fontId="38" fillId="0" borderId="241" xfId="3" applyNumberFormat="1" applyFont="1" applyBorder="1" applyAlignment="1">
      <alignment vertical="center" wrapText="1"/>
    </xf>
    <xf numFmtId="41" fontId="38" fillId="0" borderId="242" xfId="3" applyNumberFormat="1" applyFont="1" applyBorder="1" applyAlignment="1">
      <alignment horizontal="center" vertical="center" wrapText="1"/>
    </xf>
    <xf numFmtId="41" fontId="38" fillId="0" borderId="243" xfId="3" applyNumberFormat="1" applyFont="1" applyBorder="1" applyAlignment="1">
      <alignment vertical="center" wrapText="1"/>
    </xf>
    <xf numFmtId="41" fontId="30" fillId="0" borderId="241" xfId="3" applyNumberFormat="1" applyFont="1" applyBorder="1" applyAlignment="1">
      <alignment vertical="center" wrapText="1"/>
    </xf>
    <xf numFmtId="41" fontId="30" fillId="0" borderId="242" xfId="3" applyNumberFormat="1" applyFont="1" applyBorder="1" applyAlignment="1">
      <alignment horizontal="center" vertical="center" wrapText="1"/>
    </xf>
    <xf numFmtId="41" fontId="30" fillId="0" borderId="243" xfId="3" applyNumberFormat="1" applyFont="1" applyBorder="1" applyAlignment="1">
      <alignment vertical="center" wrapText="1"/>
    </xf>
    <xf numFmtId="41" fontId="30" fillId="0" borderId="244" xfId="3" applyNumberFormat="1" applyFont="1" applyBorder="1" applyAlignment="1">
      <alignment vertical="center" wrapText="1"/>
    </xf>
    <xf numFmtId="41" fontId="29" fillId="0" borderId="241" xfId="3" applyNumberFormat="1" applyFont="1" applyBorder="1" applyAlignment="1">
      <alignment horizontal="center" vertical="center"/>
    </xf>
    <xf numFmtId="41" fontId="29" fillId="0" borderId="242" xfId="3" applyNumberFormat="1" applyFont="1" applyBorder="1" applyAlignment="1">
      <alignment horizontal="center" vertical="center"/>
    </xf>
    <xf numFmtId="41" fontId="29" fillId="0" borderId="243" xfId="3" applyNumberFormat="1" applyFont="1" applyBorder="1" applyAlignment="1">
      <alignment horizontal="center" vertical="center"/>
    </xf>
    <xf numFmtId="41" fontId="7" fillId="0" borderId="241" xfId="3" applyNumberFormat="1" applyFont="1" applyBorder="1" applyAlignment="1">
      <alignment horizontal="center" vertical="center"/>
    </xf>
    <xf numFmtId="41" fontId="7" fillId="0" borderId="242" xfId="3" applyNumberFormat="1" applyFont="1" applyBorder="1" applyAlignment="1">
      <alignment horizontal="center" vertical="center"/>
    </xf>
    <xf numFmtId="41" fontId="7" fillId="0" borderId="243" xfId="3" applyNumberFormat="1" applyFont="1" applyBorder="1" applyAlignment="1">
      <alignment horizontal="center" vertical="center"/>
    </xf>
    <xf numFmtId="41" fontId="7" fillId="0" borderId="244" xfId="3" applyNumberFormat="1" applyFont="1" applyBorder="1" applyAlignment="1">
      <alignment horizontal="center" vertical="center"/>
    </xf>
    <xf numFmtId="165" fontId="29" fillId="0" borderId="245" xfId="28" applyNumberFormat="1" applyFont="1" applyFill="1" applyBorder="1" applyAlignment="1">
      <alignment vertical="center"/>
    </xf>
    <xf numFmtId="165" fontId="29" fillId="0" borderId="246" xfId="28" applyNumberFormat="1" applyFont="1" applyFill="1" applyBorder="1" applyAlignment="1">
      <alignment vertical="center"/>
    </xf>
    <xf numFmtId="165" fontId="29" fillId="0" borderId="247" xfId="28" applyNumberFormat="1" applyFont="1" applyFill="1" applyBorder="1" applyAlignment="1">
      <alignment vertical="center"/>
    </xf>
    <xf numFmtId="165" fontId="7" fillId="0" borderId="245" xfId="26" applyNumberFormat="1" applyFont="1" applyBorder="1" applyAlignment="1">
      <alignment vertical="center"/>
    </xf>
    <xf numFmtId="165" fontId="7" fillId="0" borderId="246" xfId="26" applyNumberFormat="1" applyFont="1" applyBorder="1" applyAlignment="1">
      <alignment vertical="center"/>
    </xf>
    <xf numFmtId="165" fontId="7" fillId="0" borderId="247" xfId="26" applyNumberFormat="1" applyFont="1" applyBorder="1" applyAlignment="1">
      <alignment vertical="center"/>
    </xf>
    <xf numFmtId="165" fontId="7" fillId="0" borderId="26" xfId="29" applyNumberFormat="1" applyFont="1" applyBorder="1" applyAlignment="1">
      <alignment vertical="center"/>
    </xf>
    <xf numFmtId="165" fontId="7" fillId="0" borderId="248" xfId="29" applyNumberFormat="1" applyFont="1" applyBorder="1" applyAlignment="1">
      <alignment vertical="center"/>
    </xf>
    <xf numFmtId="165" fontId="7" fillId="0" borderId="228" xfId="29" applyNumberFormat="1" applyFont="1" applyBorder="1" applyAlignment="1">
      <alignment vertical="center"/>
    </xf>
    <xf numFmtId="165" fontId="7" fillId="0" borderId="249" xfId="26" applyNumberFormat="1" applyFont="1" applyFill="1" applyBorder="1" applyAlignment="1">
      <alignment vertical="center"/>
    </xf>
    <xf numFmtId="165" fontId="7" fillId="0" borderId="246" xfId="26" applyNumberFormat="1" applyFont="1" applyFill="1" applyBorder="1" applyAlignment="1">
      <alignment vertical="center"/>
    </xf>
    <xf numFmtId="165" fontId="7" fillId="0" borderId="250" xfId="26" applyNumberFormat="1" applyFont="1" applyFill="1" applyBorder="1" applyAlignment="1">
      <alignment vertical="center"/>
    </xf>
    <xf numFmtId="165" fontId="29" fillId="0" borderId="251" xfId="28" applyNumberFormat="1" applyFont="1" applyFill="1" applyBorder="1" applyAlignment="1">
      <alignment vertical="center"/>
    </xf>
    <xf numFmtId="165" fontId="29" fillId="0" borderId="252" xfId="28" applyNumberFormat="1" applyFont="1" applyFill="1" applyBorder="1" applyAlignment="1">
      <alignment vertical="center"/>
    </xf>
    <xf numFmtId="165" fontId="29" fillId="0" borderId="253" xfId="28" applyNumberFormat="1" applyFont="1" applyFill="1" applyBorder="1" applyAlignment="1">
      <alignment vertical="center"/>
    </xf>
    <xf numFmtId="165" fontId="7" fillId="0" borderId="251" xfId="26" applyNumberFormat="1" applyFont="1" applyBorder="1" applyAlignment="1">
      <alignment vertical="center"/>
    </xf>
    <xf numFmtId="165" fontId="7" fillId="0" borderId="252" xfId="26" applyNumberFormat="1" applyFont="1" applyBorder="1" applyAlignment="1">
      <alignment vertical="center"/>
    </xf>
    <xf numFmtId="165" fontId="7" fillId="0" borderId="253" xfId="26" applyNumberFormat="1" applyFont="1" applyBorder="1" applyAlignment="1">
      <alignment vertical="center"/>
    </xf>
    <xf numFmtId="165" fontId="7" fillId="0" borderId="31" xfId="29" applyNumberFormat="1" applyFont="1" applyBorder="1" applyAlignment="1">
      <alignment vertical="center"/>
    </xf>
    <xf numFmtId="165" fontId="7" fillId="0" borderId="252" xfId="29" applyNumberFormat="1" applyFont="1" applyBorder="1" applyAlignment="1">
      <alignment vertical="center"/>
    </xf>
    <xf numFmtId="165" fontId="7" fillId="0" borderId="230" xfId="29" applyNumberFormat="1" applyFont="1" applyBorder="1" applyAlignment="1">
      <alignment vertical="center"/>
    </xf>
    <xf numFmtId="165" fontId="7" fillId="0" borderId="31" xfId="26" applyNumberFormat="1" applyFont="1" applyFill="1" applyBorder="1" applyAlignment="1">
      <alignment vertical="center"/>
    </xf>
    <xf numFmtId="165" fontId="7" fillId="0" borderId="252" xfId="26" applyNumberFormat="1" applyFont="1" applyFill="1" applyBorder="1" applyAlignment="1">
      <alignment vertical="center"/>
    </xf>
    <xf numFmtId="165" fontId="7" fillId="0" borderId="32" xfId="26" applyNumberFormat="1" applyFont="1" applyFill="1" applyBorder="1" applyAlignment="1">
      <alignment vertical="center"/>
    </xf>
    <xf numFmtId="41" fontId="29" fillId="0" borderId="251" xfId="28" applyNumberFormat="1" applyFont="1" applyFill="1" applyBorder="1" applyAlignment="1">
      <alignment vertical="center"/>
    </xf>
    <xf numFmtId="41" fontId="29" fillId="0" borderId="252" xfId="28" applyNumberFormat="1" applyFont="1" applyFill="1" applyBorder="1" applyAlignment="1">
      <alignment vertical="center"/>
    </xf>
    <xf numFmtId="41" fontId="29" fillId="0" borderId="253" xfId="28" applyNumberFormat="1" applyFont="1" applyFill="1" applyBorder="1" applyAlignment="1">
      <alignment vertical="center"/>
    </xf>
    <xf numFmtId="41" fontId="7" fillId="0" borderId="251" xfId="26" applyNumberFormat="1" applyFont="1" applyBorder="1" applyAlignment="1">
      <alignment vertical="center"/>
    </xf>
    <xf numFmtId="41" fontId="7" fillId="0" borderId="252" xfId="26" applyNumberFormat="1" applyFont="1" applyBorder="1" applyAlignment="1">
      <alignment vertical="center"/>
    </xf>
    <xf numFmtId="41" fontId="7" fillId="0" borderId="253" xfId="26" applyNumberFormat="1" applyFont="1" applyBorder="1" applyAlignment="1">
      <alignment vertical="center"/>
    </xf>
    <xf numFmtId="41" fontId="7" fillId="0" borderId="31" xfId="29" applyNumberFormat="1" applyFont="1" applyBorder="1" applyAlignment="1">
      <alignment vertical="center"/>
    </xf>
    <xf numFmtId="41" fontId="7" fillId="0" borderId="252" xfId="29" applyNumberFormat="1" applyFont="1" applyBorder="1" applyAlignment="1">
      <alignment vertical="center"/>
    </xf>
    <xf numFmtId="41" fontId="7" fillId="0" borderId="230" xfId="29" applyNumberFormat="1" applyFont="1" applyBorder="1" applyAlignment="1">
      <alignment vertical="center"/>
    </xf>
    <xf numFmtId="41" fontId="7" fillId="0" borderId="31" xfId="26" applyNumberFormat="1" applyFont="1" applyFill="1" applyBorder="1" applyAlignment="1">
      <alignment vertical="center"/>
    </xf>
    <xf numFmtId="41" fontId="7" fillId="0" borderId="252" xfId="26" applyNumberFormat="1" applyFont="1" applyFill="1" applyBorder="1" applyAlignment="1">
      <alignment vertical="center"/>
    </xf>
    <xf numFmtId="41" fontId="7" fillId="0" borderId="32" xfId="26" applyNumberFormat="1" applyFont="1" applyFill="1" applyBorder="1" applyAlignment="1">
      <alignment vertical="center"/>
    </xf>
    <xf numFmtId="165" fontId="29" fillId="0" borderId="251" xfId="26" applyNumberFormat="1" applyFont="1" applyBorder="1" applyAlignment="1">
      <alignment vertical="center"/>
    </xf>
    <xf numFmtId="165" fontId="29" fillId="0" borderId="252" xfId="26" applyNumberFormat="1" applyFont="1" applyBorder="1" applyAlignment="1">
      <alignment vertical="center"/>
    </xf>
    <xf numFmtId="165" fontId="29" fillId="0" borderId="253" xfId="26" applyNumberFormat="1" applyFont="1" applyBorder="1" applyAlignment="1">
      <alignment vertical="center"/>
    </xf>
    <xf numFmtId="41" fontId="29" fillId="0" borderId="254" xfId="28" applyNumberFormat="1" applyFont="1" applyFill="1" applyBorder="1" applyAlignment="1">
      <alignment vertical="center"/>
    </xf>
    <xf numFmtId="41" fontId="29" fillId="0" borderId="255" xfId="28" applyNumberFormat="1" applyFont="1" applyFill="1" applyBorder="1" applyAlignment="1">
      <alignment vertical="center"/>
    </xf>
    <xf numFmtId="41" fontId="29" fillId="0" borderId="256" xfId="28" applyNumberFormat="1" applyFont="1" applyFill="1" applyBorder="1" applyAlignment="1">
      <alignment vertical="center"/>
    </xf>
    <xf numFmtId="41" fontId="7" fillId="0" borderId="254" xfId="26" applyNumberFormat="1" applyFont="1" applyBorder="1" applyAlignment="1">
      <alignment vertical="center"/>
    </xf>
    <xf numFmtId="41" fontId="7" fillId="0" borderId="255" xfId="26" applyNumberFormat="1" applyFont="1" applyBorder="1" applyAlignment="1">
      <alignment vertical="center"/>
    </xf>
    <xf numFmtId="41" fontId="7" fillId="0" borderId="256" xfId="26" applyNumberFormat="1" applyFont="1" applyBorder="1" applyAlignment="1">
      <alignment vertical="center"/>
    </xf>
    <xf numFmtId="41" fontId="7" fillId="0" borderId="36" xfId="29" applyNumberFormat="1" applyFont="1" applyBorder="1" applyAlignment="1">
      <alignment vertical="center"/>
    </xf>
    <xf numFmtId="41" fontId="7" fillId="0" borderId="257" xfId="29" applyNumberFormat="1" applyFont="1" applyBorder="1" applyAlignment="1">
      <alignment vertical="center"/>
    </xf>
    <xf numFmtId="41" fontId="7" fillId="0" borderId="232" xfId="29" applyNumberFormat="1" applyFont="1" applyBorder="1" applyAlignment="1">
      <alignment vertical="center"/>
    </xf>
    <xf numFmtId="41" fontId="7" fillId="0" borderId="258" xfId="26" applyNumberFormat="1" applyFont="1" applyFill="1" applyBorder="1" applyAlignment="1">
      <alignment vertical="center"/>
    </xf>
    <xf numFmtId="41" fontId="7" fillId="0" borderId="255" xfId="26" applyNumberFormat="1" applyFont="1" applyFill="1" applyBorder="1" applyAlignment="1">
      <alignment vertical="center"/>
    </xf>
    <xf numFmtId="41" fontId="7" fillId="0" borderId="259" xfId="26" applyNumberFormat="1" applyFont="1" applyFill="1" applyBorder="1" applyAlignment="1">
      <alignment vertical="center"/>
    </xf>
    <xf numFmtId="0" fontId="29" fillId="0" borderId="181" xfId="3" applyFont="1" applyBorder="1" applyAlignment="1">
      <alignment horizontal="left" vertical="center" wrapText="1"/>
    </xf>
    <xf numFmtId="165" fontId="29" fillId="0" borderId="241" xfId="28" applyNumberFormat="1" applyFont="1" applyFill="1" applyBorder="1" applyAlignment="1">
      <alignment vertical="center"/>
    </xf>
    <xf numFmtId="165" fontId="29" fillId="0" borderId="242" xfId="28" applyNumberFormat="1" applyFont="1" applyFill="1" applyBorder="1" applyAlignment="1">
      <alignment vertical="center"/>
    </xf>
    <xf numFmtId="165" fontId="29" fillId="0" borderId="243" xfId="28" applyNumberFormat="1" applyFont="1" applyFill="1" applyBorder="1" applyAlignment="1">
      <alignment vertical="center"/>
    </xf>
    <xf numFmtId="165" fontId="7" fillId="0" borderId="241" xfId="26" applyNumberFormat="1" applyFont="1" applyBorder="1" applyAlignment="1">
      <alignment vertical="center"/>
    </xf>
    <xf numFmtId="165" fontId="7" fillId="0" borderId="242" xfId="26" applyNumberFormat="1" applyFont="1" applyBorder="1" applyAlignment="1">
      <alignment vertical="center"/>
    </xf>
    <xf numFmtId="165" fontId="7" fillId="0" borderId="243" xfId="26" applyNumberFormat="1" applyFont="1" applyBorder="1" applyAlignment="1">
      <alignment vertical="center"/>
    </xf>
    <xf numFmtId="165" fontId="7" fillId="0" borderId="22" xfId="29" applyNumberFormat="1" applyFont="1" applyBorder="1" applyAlignment="1">
      <alignment vertical="center"/>
    </xf>
    <xf numFmtId="165" fontId="7" fillId="0" borderId="260" xfId="29" applyNumberFormat="1" applyFont="1" applyBorder="1" applyAlignment="1">
      <alignment vertical="center"/>
    </xf>
    <xf numFmtId="165" fontId="7" fillId="0" borderId="226" xfId="29" applyNumberFormat="1" applyFont="1" applyBorder="1" applyAlignment="1">
      <alignment vertical="center"/>
    </xf>
    <xf numFmtId="165" fontId="7" fillId="0" borderId="261" xfId="26" applyNumberFormat="1" applyFont="1" applyFill="1" applyBorder="1" applyAlignment="1">
      <alignment vertical="center"/>
    </xf>
    <xf numFmtId="165" fontId="7" fillId="0" borderId="242" xfId="26" applyNumberFormat="1" applyFont="1" applyFill="1" applyBorder="1" applyAlignment="1">
      <alignment vertical="center"/>
    </xf>
    <xf numFmtId="165" fontId="7" fillId="0" borderId="244" xfId="26" applyNumberFormat="1" applyFont="1" applyFill="1" applyBorder="1" applyAlignment="1">
      <alignment vertical="center"/>
    </xf>
    <xf numFmtId="41" fontId="45" fillId="0" borderId="195" xfId="26" applyNumberFormat="1" applyFont="1" applyBorder="1" applyAlignment="1">
      <alignment vertical="center"/>
    </xf>
    <xf numFmtId="41" fontId="45" fillId="0" borderId="39" xfId="26" applyNumberFormat="1" applyFont="1" applyBorder="1" applyAlignment="1">
      <alignment vertical="center"/>
    </xf>
    <xf numFmtId="0" fontId="29" fillId="0" borderId="181" xfId="3" quotePrefix="1" applyFont="1" applyBorder="1" applyAlignment="1">
      <alignment vertical="center"/>
    </xf>
    <xf numFmtId="0" fontId="29" fillId="0" borderId="182" xfId="3" applyFont="1" applyBorder="1" applyAlignment="1">
      <alignment horizontal="centerContinuous" vertical="center"/>
    </xf>
    <xf numFmtId="0" fontId="29" fillId="0" borderId="183" xfId="3" applyFont="1" applyBorder="1" applyAlignment="1">
      <alignment horizontal="centerContinuous" vertical="center"/>
    </xf>
    <xf numFmtId="0" fontId="29" fillId="0" borderId="181" xfId="3" applyFont="1" applyBorder="1" applyAlignment="1">
      <alignment horizontal="centerContinuous" vertical="center"/>
    </xf>
    <xf numFmtId="0" fontId="7" fillId="0" borderId="182" xfId="3" applyFont="1" applyBorder="1" applyAlignment="1">
      <alignment horizontal="centerContinuous" vertical="center"/>
    </xf>
    <xf numFmtId="0" fontId="7" fillId="0" borderId="183" xfId="3" applyFont="1" applyBorder="1" applyAlignment="1">
      <alignment horizontal="centerContinuous" vertical="center"/>
    </xf>
    <xf numFmtId="0" fontId="7" fillId="0" borderId="181" xfId="3" applyFont="1" applyBorder="1" applyAlignment="1">
      <alignment horizontal="centerContinuous" vertical="center"/>
    </xf>
    <xf numFmtId="0" fontId="71" fillId="0" borderId="262" xfId="3" quotePrefix="1" applyFont="1" applyBorder="1" applyAlignment="1">
      <alignment vertical="center"/>
    </xf>
    <xf numFmtId="0" fontId="29" fillId="0" borderId="263" xfId="3" applyFont="1" applyBorder="1" applyAlignment="1">
      <alignment horizontal="center" vertical="center"/>
    </xf>
    <xf numFmtId="0" fontId="29" fillId="0" borderId="264" xfId="3" applyFont="1" applyBorder="1" applyAlignment="1">
      <alignment horizontal="center" vertical="center"/>
    </xf>
    <xf numFmtId="0" fontId="29" fillId="0" borderId="265" xfId="26" applyNumberFormat="1" applyFont="1" applyFill="1" applyBorder="1" applyAlignment="1">
      <alignment horizontal="center" vertical="center"/>
    </xf>
    <xf numFmtId="0" fontId="7" fillId="0" borderId="263" xfId="3" applyFont="1" applyBorder="1" applyAlignment="1">
      <alignment horizontal="center" vertical="center"/>
    </xf>
    <xf numFmtId="0" fontId="7" fillId="0" borderId="264" xfId="3" applyFont="1" applyBorder="1" applyAlignment="1">
      <alignment horizontal="center" vertical="center"/>
    </xf>
    <xf numFmtId="0" fontId="7" fillId="0" borderId="265" xfId="26" applyNumberFormat="1" applyFont="1" applyFill="1" applyBorder="1" applyAlignment="1">
      <alignment horizontal="center" vertical="center"/>
    </xf>
    <xf numFmtId="0" fontId="7" fillId="0" borderId="266" xfId="26" applyNumberFormat="1" applyFont="1" applyFill="1" applyBorder="1" applyAlignment="1">
      <alignment horizontal="center" vertical="center"/>
    </xf>
    <xf numFmtId="0" fontId="71" fillId="0" borderId="267" xfId="3" quotePrefix="1" applyFont="1" applyBorder="1" applyAlignment="1">
      <alignment vertical="center"/>
    </xf>
    <xf numFmtId="0" fontId="29" fillId="0" borderId="268" xfId="3" applyFont="1" applyBorder="1" applyAlignment="1">
      <alignment horizontal="center" vertical="center"/>
    </xf>
    <xf numFmtId="0" fontId="29" fillId="0" borderId="269" xfId="3" applyFont="1" applyBorder="1" applyAlignment="1">
      <alignment horizontal="center" vertical="center"/>
    </xf>
    <xf numFmtId="0" fontId="29" fillId="0" borderId="270" xfId="26" applyNumberFormat="1" applyFont="1" applyFill="1" applyBorder="1" applyAlignment="1">
      <alignment horizontal="center" vertical="center"/>
    </xf>
    <xf numFmtId="0" fontId="7" fillId="0" borderId="268" xfId="3" applyFont="1" applyBorder="1" applyAlignment="1">
      <alignment horizontal="center" vertical="center"/>
    </xf>
    <xf numFmtId="0" fontId="7" fillId="0" borderId="269" xfId="3" applyFont="1" applyBorder="1" applyAlignment="1">
      <alignment horizontal="center" vertical="center"/>
    </xf>
    <xf numFmtId="0" fontId="7" fillId="0" borderId="270" xfId="26" applyNumberFormat="1" applyFont="1" applyFill="1" applyBorder="1" applyAlignment="1">
      <alignment horizontal="center" vertical="center"/>
    </xf>
    <xf numFmtId="0" fontId="7" fillId="0" borderId="271" xfId="26" applyNumberFormat="1" applyFont="1" applyFill="1" applyBorder="1" applyAlignment="1">
      <alignment horizontal="center" vertical="center"/>
    </xf>
    <xf numFmtId="0" fontId="29" fillId="0" borderId="272" xfId="3" applyFont="1" applyBorder="1" applyAlignment="1">
      <alignment horizontal="center" vertical="center"/>
    </xf>
    <xf numFmtId="0" fontId="29" fillId="0" borderId="273" xfId="3" applyFont="1" applyBorder="1" applyAlignment="1">
      <alignment horizontal="center" vertical="center"/>
    </xf>
    <xf numFmtId="0" fontId="29" fillId="0" borderId="274" xfId="26" applyNumberFormat="1" applyFont="1" applyFill="1" applyBorder="1" applyAlignment="1">
      <alignment horizontal="center" vertical="center"/>
    </xf>
    <xf numFmtId="0" fontId="7" fillId="0" borderId="272" xfId="3" applyFont="1" applyBorder="1" applyAlignment="1">
      <alignment horizontal="center" vertical="center"/>
    </xf>
    <xf numFmtId="0" fontId="7" fillId="0" borderId="273" xfId="3" applyFont="1" applyBorder="1" applyAlignment="1">
      <alignment horizontal="center" vertical="center"/>
    </xf>
    <xf numFmtId="0" fontId="7" fillId="0" borderId="274" xfId="26" applyNumberFormat="1" applyFont="1" applyBorder="1" applyAlignment="1">
      <alignment horizontal="center" vertical="center"/>
    </xf>
    <xf numFmtId="0" fontId="7" fillId="0" borderId="275" xfId="26" applyNumberFormat="1" applyFont="1" applyFill="1" applyBorder="1" applyAlignment="1">
      <alignment horizontal="center" vertical="center"/>
    </xf>
    <xf numFmtId="0" fontId="7" fillId="0" borderId="189" xfId="3" applyFont="1" applyBorder="1" applyAlignment="1">
      <alignment horizontal="left" vertical="center" indent="2"/>
    </xf>
    <xf numFmtId="165" fontId="29" fillId="0" borderId="276" xfId="3" applyNumberFormat="1" applyFont="1" applyBorder="1" applyAlignment="1">
      <alignment vertical="center"/>
    </xf>
    <xf numFmtId="165" fontId="29" fillId="0" borderId="277" xfId="3" applyNumberFormat="1" applyFont="1" applyBorder="1" applyAlignment="1">
      <alignment vertical="center"/>
    </xf>
    <xf numFmtId="165" fontId="29" fillId="0" borderId="194" xfId="30" applyNumberFormat="1" applyFont="1" applyFill="1" applyBorder="1" applyAlignment="1">
      <alignment vertical="center"/>
    </xf>
    <xf numFmtId="165" fontId="7" fillId="0" borderId="276" xfId="3" applyNumberFormat="1" applyFont="1" applyBorder="1" applyAlignment="1">
      <alignment vertical="center"/>
    </xf>
    <xf numFmtId="165" fontId="7" fillId="0" borderId="277" xfId="3" applyNumberFormat="1" applyFont="1" applyBorder="1" applyAlignment="1">
      <alignment vertical="center"/>
    </xf>
    <xf numFmtId="165" fontId="7" fillId="0" borderId="194" xfId="26" applyNumberFormat="1" applyFont="1" applyFill="1" applyBorder="1" applyAlignment="1">
      <alignment vertical="center"/>
    </xf>
    <xf numFmtId="165" fontId="7" fillId="0" borderId="278" xfId="26" applyNumberFormat="1" applyFont="1" applyFill="1" applyBorder="1" applyAlignment="1">
      <alignment vertical="center"/>
    </xf>
    <xf numFmtId="165" fontId="7" fillId="0" borderId="194" xfId="3" applyNumberFormat="1" applyFont="1" applyBorder="1" applyAlignment="1">
      <alignment vertical="center"/>
    </xf>
    <xf numFmtId="165" fontId="7" fillId="0" borderId="278" xfId="3" applyNumberFormat="1" applyFont="1" applyBorder="1" applyAlignment="1">
      <alignment vertical="center"/>
    </xf>
    <xf numFmtId="165" fontId="29" fillId="0" borderId="194" xfId="31" applyNumberFormat="1" applyFont="1" applyFill="1" applyBorder="1" applyAlignment="1">
      <alignment vertical="center"/>
    </xf>
    <xf numFmtId="0" fontId="29" fillId="0" borderId="101" xfId="3" applyFont="1" applyBorder="1" applyAlignment="1">
      <alignment horizontal="left" vertical="center" indent="1"/>
    </xf>
    <xf numFmtId="165" fontId="29" fillId="0" borderId="279" xfId="3" applyNumberFormat="1" applyFont="1" applyBorder="1" applyAlignment="1">
      <alignment vertical="center"/>
    </xf>
    <xf numFmtId="165" fontId="29" fillId="0" borderId="280" xfId="3" applyNumberFormat="1" applyFont="1" applyBorder="1" applyAlignment="1">
      <alignment vertical="center"/>
    </xf>
    <xf numFmtId="165" fontId="29" fillId="0" borderId="281" xfId="31" applyNumberFormat="1" applyFont="1" applyFill="1" applyBorder="1" applyAlignment="1">
      <alignment vertical="center"/>
    </xf>
    <xf numFmtId="165" fontId="7" fillId="0" borderId="279" xfId="3" applyNumberFormat="1" applyFont="1" applyBorder="1" applyAlignment="1">
      <alignment vertical="center"/>
    </xf>
    <xf numFmtId="165" fontId="7" fillId="0" borderId="280" xfId="3" applyNumberFormat="1" applyFont="1" applyBorder="1" applyAlignment="1">
      <alignment vertical="center"/>
    </xf>
    <xf numFmtId="165" fontId="7" fillId="0" borderId="281" xfId="26" applyNumberFormat="1" applyFont="1" applyFill="1" applyBorder="1" applyAlignment="1">
      <alignment vertical="center"/>
    </xf>
    <xf numFmtId="165" fontId="7" fillId="0" borderId="282" xfId="26" applyNumberFormat="1" applyFont="1" applyFill="1" applyBorder="1" applyAlignment="1">
      <alignment vertical="center"/>
    </xf>
    <xf numFmtId="165" fontId="29" fillId="0" borderId="283" xfId="3" applyNumberFormat="1" applyFont="1" applyBorder="1" applyAlignment="1">
      <alignment vertical="center"/>
    </xf>
    <xf numFmtId="165" fontId="29" fillId="0" borderId="284" xfId="3" applyNumberFormat="1" applyFont="1" applyBorder="1" applyAlignment="1">
      <alignment vertical="center"/>
    </xf>
    <xf numFmtId="165" fontId="29" fillId="0" borderId="285" xfId="31" applyNumberFormat="1" applyFont="1" applyFill="1" applyBorder="1" applyAlignment="1">
      <alignment vertical="center"/>
    </xf>
    <xf numFmtId="165" fontId="7" fillId="0" borderId="283" xfId="3" applyNumberFormat="1" applyFont="1" applyBorder="1" applyAlignment="1">
      <alignment vertical="center"/>
    </xf>
    <xf numFmtId="165" fontId="7" fillId="0" borderId="284" xfId="3" applyNumberFormat="1" applyFont="1" applyBorder="1" applyAlignment="1">
      <alignment vertical="center"/>
    </xf>
    <xf numFmtId="165" fontId="7" fillId="0" borderId="285" xfId="26" applyNumberFormat="1" applyFont="1" applyFill="1" applyBorder="1" applyAlignment="1">
      <alignment vertical="center"/>
    </xf>
    <xf numFmtId="165" fontId="7" fillId="0" borderId="286" xfId="26" applyNumberFormat="1" applyFont="1" applyFill="1" applyBorder="1" applyAlignment="1">
      <alignment vertical="center"/>
    </xf>
    <xf numFmtId="165" fontId="29" fillId="0" borderId="272" xfId="3" applyNumberFormat="1" applyFont="1" applyBorder="1" applyAlignment="1">
      <alignment horizontal="center" vertical="center"/>
    </xf>
    <xf numFmtId="165" fontId="29" fillId="0" borderId="273" xfId="3" applyNumberFormat="1" applyFont="1" applyBorder="1" applyAlignment="1">
      <alignment horizontal="center" vertical="center"/>
    </xf>
    <xf numFmtId="165" fontId="29" fillId="0" borderId="274" xfId="30" applyNumberFormat="1" applyFont="1" applyBorder="1" applyAlignment="1">
      <alignment horizontal="center" vertical="center"/>
    </xf>
    <xf numFmtId="165" fontId="7" fillId="0" borderId="272" xfId="3" applyNumberFormat="1" applyFont="1" applyBorder="1" applyAlignment="1">
      <alignment horizontal="center" vertical="center"/>
    </xf>
    <xf numFmtId="165" fontId="7" fillId="0" borderId="273" xfId="3" applyNumberFormat="1" applyFont="1" applyBorder="1" applyAlignment="1">
      <alignment horizontal="center" vertical="center"/>
    </xf>
    <xf numFmtId="165" fontId="7" fillId="0" borderId="274" xfId="30" applyNumberFormat="1" applyFont="1" applyBorder="1" applyAlignment="1">
      <alignment horizontal="center" vertical="center"/>
    </xf>
    <xf numFmtId="0" fontId="29" fillId="0" borderId="189" xfId="3" quotePrefix="1" applyFont="1" applyBorder="1" applyAlignment="1">
      <alignment vertical="center"/>
    </xf>
    <xf numFmtId="165" fontId="29" fillId="0" borderId="276" xfId="3" applyNumberFormat="1" applyFont="1" applyBorder="1" applyAlignment="1">
      <alignment horizontal="center" vertical="center"/>
    </xf>
    <xf numFmtId="0" fontId="41" fillId="0" borderId="287" xfId="3" applyFont="1" applyBorder="1" applyAlignment="1">
      <alignment vertical="center"/>
    </xf>
    <xf numFmtId="165" fontId="29" fillId="0" borderId="194" xfId="30" applyNumberFormat="1" applyFont="1" applyBorder="1" applyAlignment="1">
      <alignment horizontal="center" vertical="center"/>
    </xf>
    <xf numFmtId="165" fontId="7" fillId="0" borderId="276" xfId="3" applyNumberFormat="1" applyFont="1" applyBorder="1" applyAlignment="1">
      <alignment horizontal="center" vertical="center"/>
    </xf>
    <xf numFmtId="165" fontId="7" fillId="0" borderId="277" xfId="3" applyNumberFormat="1" applyFont="1" applyBorder="1" applyAlignment="1">
      <alignment horizontal="center" vertical="center"/>
    </xf>
    <xf numFmtId="165" fontId="7" fillId="0" borderId="194" xfId="30" applyNumberFormat="1" applyFont="1" applyBorder="1" applyAlignment="1">
      <alignment horizontal="center" vertical="center"/>
    </xf>
    <xf numFmtId="0" fontId="7" fillId="0" borderId="276" xfId="3" applyFont="1" applyBorder="1" applyAlignment="1">
      <alignment horizontal="center" vertical="center"/>
    </xf>
    <xf numFmtId="0" fontId="7" fillId="0" borderId="277" xfId="3" applyFont="1" applyBorder="1" applyAlignment="1">
      <alignment horizontal="center" vertical="center"/>
    </xf>
    <xf numFmtId="0" fontId="7" fillId="0" borderId="194" xfId="26" applyNumberFormat="1" applyFont="1" applyBorder="1" applyAlignment="1">
      <alignment horizontal="center" vertical="center"/>
    </xf>
    <xf numFmtId="0" fontId="7" fillId="0" borderId="278" xfId="26" applyNumberFormat="1" applyFont="1" applyFill="1" applyBorder="1" applyAlignment="1">
      <alignment horizontal="center" vertical="center"/>
    </xf>
    <xf numFmtId="165" fontId="29" fillId="0" borderId="288" xfId="3" applyNumberFormat="1" applyFont="1" applyBorder="1" applyAlignment="1">
      <alignment horizontal="center" vertical="center"/>
    </xf>
    <xf numFmtId="165" fontId="29" fillId="0" borderId="194" xfId="32" applyNumberFormat="1" applyFont="1" applyFill="1" applyBorder="1" applyAlignment="1">
      <alignment vertical="center"/>
    </xf>
    <xf numFmtId="165" fontId="7" fillId="0" borderId="194" xfId="30" applyNumberFormat="1" applyFont="1" applyFill="1" applyBorder="1" applyAlignment="1">
      <alignment vertical="center"/>
    </xf>
    <xf numFmtId="165" fontId="29" fillId="0" borderId="194" xfId="3" applyNumberFormat="1" applyFont="1" applyBorder="1" applyAlignment="1">
      <alignment vertical="center"/>
    </xf>
    <xf numFmtId="165" fontId="29" fillId="0" borderId="281" xfId="3" applyNumberFormat="1" applyFont="1" applyBorder="1" applyAlignment="1">
      <alignment vertical="center"/>
    </xf>
    <xf numFmtId="165" fontId="7" fillId="0" borderId="281" xfId="3" applyNumberFormat="1" applyFont="1" applyBorder="1" applyAlignment="1">
      <alignment vertical="center"/>
    </xf>
    <xf numFmtId="165" fontId="7" fillId="0" borderId="282" xfId="3" applyNumberFormat="1" applyFont="1" applyBorder="1" applyAlignment="1">
      <alignment vertical="center"/>
    </xf>
    <xf numFmtId="165" fontId="29" fillId="0" borderId="285" xfId="3" applyNumberFormat="1" applyFont="1" applyBorder="1" applyAlignment="1">
      <alignment vertical="center"/>
    </xf>
    <xf numFmtId="165" fontId="7" fillId="0" borderId="285" xfId="3" applyNumberFormat="1" applyFont="1" applyBorder="1" applyAlignment="1">
      <alignment vertical="center"/>
    </xf>
    <xf numFmtId="165" fontId="7" fillId="0" borderId="286" xfId="3" applyNumberFormat="1" applyFont="1" applyBorder="1" applyAlignment="1">
      <alignment vertical="center"/>
    </xf>
    <xf numFmtId="0" fontId="29" fillId="0" borderId="274" xfId="30" applyNumberFormat="1" applyFont="1" applyBorder="1" applyAlignment="1">
      <alignment horizontal="center" vertical="center"/>
    </xf>
    <xf numFmtId="0" fontId="7" fillId="0" borderId="274" xfId="30" applyNumberFormat="1" applyFont="1" applyBorder="1" applyAlignment="1">
      <alignment horizontal="center" vertical="center"/>
    </xf>
    <xf numFmtId="0" fontId="29" fillId="0" borderId="276" xfId="3" applyFont="1" applyBorder="1" applyAlignment="1">
      <alignment horizontal="center" vertical="center"/>
    </xf>
    <xf numFmtId="0" fontId="29" fillId="0" borderId="277" xfId="3" applyFont="1" applyBorder="1" applyAlignment="1">
      <alignment horizontal="center" vertical="center"/>
    </xf>
    <xf numFmtId="0" fontId="29" fillId="0" borderId="194" xfId="30" applyNumberFormat="1" applyFont="1" applyBorder="1" applyAlignment="1">
      <alignment horizontal="center" vertical="center"/>
    </xf>
    <xf numFmtId="0" fontId="7" fillId="0" borderId="194" xfId="30" applyNumberFormat="1" applyFont="1" applyBorder="1" applyAlignment="1">
      <alignment horizontal="center" vertical="center"/>
    </xf>
    <xf numFmtId="165" fontId="29" fillId="7" borderId="276" xfId="3" applyNumberFormat="1" applyFont="1" applyFill="1" applyBorder="1" applyAlignment="1">
      <alignment vertical="center"/>
    </xf>
    <xf numFmtId="165" fontId="29" fillId="7" borderId="277" xfId="3" applyNumberFormat="1" applyFont="1" applyFill="1" applyBorder="1" applyAlignment="1">
      <alignment vertical="center"/>
    </xf>
    <xf numFmtId="165" fontId="7" fillId="7" borderId="276" xfId="3" applyNumberFormat="1" applyFont="1" applyFill="1" applyBorder="1" applyAlignment="1">
      <alignment vertical="center"/>
    </xf>
    <xf numFmtId="165" fontId="7" fillId="7" borderId="277" xfId="3" applyNumberFormat="1" applyFont="1" applyFill="1" applyBorder="1" applyAlignment="1">
      <alignment vertical="center"/>
    </xf>
    <xf numFmtId="165" fontId="29" fillId="7" borderId="279" xfId="3" applyNumberFormat="1" applyFont="1" applyFill="1" applyBorder="1" applyAlignment="1">
      <alignment vertical="center"/>
    </xf>
    <xf numFmtId="165" fontId="29" fillId="7" borderId="280" xfId="3" applyNumberFormat="1" applyFont="1" applyFill="1" applyBorder="1" applyAlignment="1">
      <alignment vertical="center"/>
    </xf>
    <xf numFmtId="165" fontId="7" fillId="7" borderId="279" xfId="3" applyNumberFormat="1" applyFont="1" applyFill="1" applyBorder="1" applyAlignment="1">
      <alignment vertical="center"/>
    </xf>
    <xf numFmtId="165" fontId="7" fillId="7" borderId="280" xfId="3" applyNumberFormat="1" applyFont="1" applyFill="1" applyBorder="1" applyAlignment="1">
      <alignment vertical="center"/>
    </xf>
    <xf numFmtId="165" fontId="29" fillId="7" borderId="283" xfId="3" applyNumberFormat="1" applyFont="1" applyFill="1" applyBorder="1" applyAlignment="1">
      <alignment vertical="center"/>
    </xf>
    <xf numFmtId="165" fontId="29" fillId="7" borderId="284" xfId="3" applyNumberFormat="1" applyFont="1" applyFill="1" applyBorder="1" applyAlignment="1">
      <alignment vertical="center"/>
    </xf>
    <xf numFmtId="165" fontId="7" fillId="7" borderId="283" xfId="3" applyNumberFormat="1" applyFont="1" applyFill="1" applyBorder="1" applyAlignment="1">
      <alignment vertical="center"/>
    </xf>
    <xf numFmtId="165" fontId="7" fillId="7" borderId="284" xfId="3" applyNumberFormat="1" applyFont="1" applyFill="1" applyBorder="1" applyAlignment="1">
      <alignment vertical="center"/>
    </xf>
    <xf numFmtId="0" fontId="40" fillId="0" borderId="195" xfId="3" applyFont="1" applyBorder="1"/>
    <xf numFmtId="0" fontId="39" fillId="0" borderId="195" xfId="3" applyFont="1" applyBorder="1" applyAlignment="1">
      <alignment horizontal="center" vertical="center"/>
    </xf>
    <xf numFmtId="0" fontId="72" fillId="0" borderId="0" xfId="3" quotePrefix="1" applyFont="1" applyAlignment="1">
      <alignment horizontal="left"/>
    </xf>
    <xf numFmtId="0" fontId="72" fillId="0" borderId="0" xfId="3" applyFont="1" applyAlignment="1">
      <alignment horizontal="left"/>
    </xf>
    <xf numFmtId="0" fontId="15" fillId="0" borderId="182" xfId="3" applyFont="1" applyBorder="1" applyAlignment="1" applyProtection="1">
      <alignment vertical="center"/>
      <protection locked="0"/>
    </xf>
    <xf numFmtId="0" fontId="3" fillId="0" borderId="183" xfId="3" applyFont="1" applyBorder="1" applyAlignment="1">
      <alignment vertical="center"/>
    </xf>
    <xf numFmtId="0" fontId="3" fillId="0" borderId="181" xfId="3" applyFont="1" applyBorder="1" applyAlignment="1">
      <alignment vertical="center"/>
    </xf>
    <xf numFmtId="15" fontId="60" fillId="0" borderId="182" xfId="3" applyNumberFormat="1" applyFont="1" applyBorder="1" applyAlignment="1">
      <alignment vertical="center" wrapText="1"/>
    </xf>
    <xf numFmtId="0" fontId="60" fillId="0" borderId="182" xfId="3" applyFont="1" applyBorder="1" applyAlignment="1">
      <alignment horizontal="center" vertical="center" wrapText="1"/>
    </xf>
    <xf numFmtId="166" fontId="7" fillId="0" borderId="183" xfId="26" applyNumberFormat="1" applyFont="1" applyFill="1" applyBorder="1" applyAlignment="1">
      <alignment horizontal="right" vertical="center"/>
    </xf>
    <xf numFmtId="0" fontId="29" fillId="0" borderId="181" xfId="3" applyFont="1" applyBorder="1" applyAlignment="1">
      <alignment horizontal="left" vertical="center" indent="1"/>
    </xf>
    <xf numFmtId="41" fontId="29" fillId="0" borderId="181" xfId="3" applyNumberFormat="1" applyFont="1" applyBorder="1" applyAlignment="1">
      <alignment vertical="center"/>
    </xf>
    <xf numFmtId="41" fontId="7" fillId="0" borderId="182" xfId="3" applyNumberFormat="1" applyFont="1" applyBorder="1" applyAlignment="1">
      <alignment vertical="center"/>
    </xf>
    <xf numFmtId="41" fontId="7" fillId="0" borderId="183" xfId="26" applyNumberFormat="1" applyFont="1" applyBorder="1" applyAlignment="1">
      <alignment vertical="center"/>
    </xf>
    <xf numFmtId="41" fontId="7" fillId="0" borderId="181" xfId="26" applyNumberFormat="1" applyFont="1" applyBorder="1" applyAlignment="1">
      <alignment vertical="center"/>
    </xf>
    <xf numFmtId="41" fontId="7" fillId="0" borderId="184" xfId="26" applyNumberFormat="1" applyFont="1" applyBorder="1" applyAlignment="1">
      <alignment vertical="center"/>
    </xf>
    <xf numFmtId="41" fontId="29" fillId="0" borderId="185" xfId="3" applyNumberFormat="1" applyFont="1" applyBorder="1" applyAlignment="1">
      <alignment vertical="center"/>
    </xf>
    <xf numFmtId="41" fontId="7" fillId="0" borderId="187" xfId="26" applyNumberFormat="1" applyFont="1" applyBorder="1" applyAlignment="1">
      <alignment vertical="center"/>
    </xf>
    <xf numFmtId="41" fontId="7" fillId="0" borderId="185" xfId="26" applyNumberFormat="1" applyFont="1" applyBorder="1" applyAlignment="1">
      <alignment vertical="center"/>
    </xf>
    <xf numFmtId="41" fontId="7" fillId="0" borderId="188" xfId="26" applyNumberFormat="1" applyFont="1" applyBorder="1" applyAlignment="1">
      <alignment vertical="center"/>
    </xf>
    <xf numFmtId="0" fontId="7" fillId="0" borderId="189" xfId="3" applyFont="1" applyBorder="1" applyAlignment="1">
      <alignment horizontal="left" vertical="center" indent="4"/>
    </xf>
    <xf numFmtId="165" fontId="29" fillId="0" borderId="190" xfId="3" applyNumberFormat="1" applyFont="1" applyBorder="1" applyAlignment="1">
      <alignment vertical="center"/>
    </xf>
    <xf numFmtId="0" fontId="29" fillId="0" borderId="189" xfId="3" applyFont="1" applyBorder="1" applyAlignment="1">
      <alignment horizontal="left" vertical="center" indent="3"/>
    </xf>
    <xf numFmtId="41" fontId="29" fillId="0" borderId="190" xfId="3" applyNumberFormat="1" applyFont="1" applyBorder="1" applyAlignment="1">
      <alignment vertical="center"/>
    </xf>
    <xf numFmtId="0" fontId="29" fillId="0" borderId="101" xfId="3" applyFont="1" applyBorder="1" applyAlignment="1">
      <alignment horizontal="left" vertical="center" indent="2"/>
    </xf>
    <xf numFmtId="165" fontId="29" fillId="0" borderId="99" xfId="3" applyNumberFormat="1" applyFont="1" applyBorder="1" applyAlignment="1">
      <alignment vertical="center"/>
    </xf>
    <xf numFmtId="165" fontId="7" fillId="0" borderId="100" xfId="26" applyNumberFormat="1" applyFont="1" applyBorder="1" applyAlignment="1">
      <alignment vertical="center"/>
    </xf>
    <xf numFmtId="165" fontId="7" fillId="0" borderId="101" xfId="26" applyNumberFormat="1" applyFont="1" applyBorder="1" applyAlignment="1">
      <alignment vertical="center"/>
    </xf>
    <xf numFmtId="165" fontId="7" fillId="0" borderId="193" xfId="26" applyNumberFormat="1" applyFont="1" applyBorder="1" applyAlignment="1">
      <alignment vertical="center"/>
    </xf>
    <xf numFmtId="165" fontId="7" fillId="0" borderId="183" xfId="3" applyNumberFormat="1" applyFont="1" applyBorder="1" applyAlignment="1">
      <alignment vertical="center"/>
    </xf>
    <xf numFmtId="165" fontId="7" fillId="0" borderId="181" xfId="3" applyNumberFormat="1" applyFont="1" applyBorder="1" applyAlignment="1">
      <alignment vertical="center"/>
    </xf>
    <xf numFmtId="165" fontId="7" fillId="0" borderId="182" xfId="3" applyNumberFormat="1" applyFont="1" applyBorder="1" applyAlignment="1">
      <alignment vertical="center"/>
    </xf>
    <xf numFmtId="165" fontId="7" fillId="0" borderId="184" xfId="3" applyNumberFormat="1" applyFont="1" applyBorder="1" applyAlignment="1">
      <alignment vertical="center"/>
    </xf>
    <xf numFmtId="41" fontId="7" fillId="0" borderId="181" xfId="3" applyNumberFormat="1" applyFont="1" applyBorder="1" applyAlignment="1">
      <alignment vertical="center"/>
    </xf>
    <xf numFmtId="41" fontId="7" fillId="0" borderId="184" xfId="3" applyNumberFormat="1" applyFont="1" applyBorder="1" applyAlignment="1">
      <alignment vertical="center"/>
    </xf>
    <xf numFmtId="41" fontId="29" fillId="0" borderId="99" xfId="3" applyNumberFormat="1" applyFont="1" applyBorder="1" applyAlignment="1">
      <alignment vertical="center"/>
    </xf>
    <xf numFmtId="41" fontId="7" fillId="0" borderId="100" xfId="3" applyNumberFormat="1" applyFont="1" applyBorder="1" applyAlignment="1">
      <alignment vertical="center"/>
    </xf>
    <xf numFmtId="41" fontId="7" fillId="0" borderId="101" xfId="3" applyNumberFormat="1" applyFont="1" applyBorder="1" applyAlignment="1">
      <alignment vertical="center"/>
    </xf>
    <xf numFmtId="41" fontId="7" fillId="0" borderId="99" xfId="3" applyNumberFormat="1" applyFont="1" applyBorder="1" applyAlignment="1">
      <alignment vertical="center"/>
    </xf>
    <xf numFmtId="41" fontId="7" fillId="0" borderId="193" xfId="3" applyNumberFormat="1" applyFont="1" applyBorder="1" applyAlignment="1">
      <alignment vertical="center"/>
    </xf>
    <xf numFmtId="165" fontId="7" fillId="0" borderId="181" xfId="26" applyNumberFormat="1" applyFont="1" applyBorder="1" applyAlignment="1">
      <alignment vertical="center"/>
    </xf>
    <xf numFmtId="0" fontId="39" fillId="0" borderId="195" xfId="3" applyFont="1" applyBorder="1" applyAlignment="1">
      <alignment horizontal="left" vertical="center" indent="2"/>
    </xf>
    <xf numFmtId="41" fontId="39" fillId="0" borderId="195" xfId="26" applyNumberFormat="1" applyFont="1" applyBorder="1" applyAlignment="1">
      <alignment vertical="center"/>
    </xf>
    <xf numFmtId="41" fontId="39" fillId="0" borderId="195" xfId="3" applyNumberFormat="1" applyFont="1" applyBorder="1" applyAlignment="1">
      <alignment horizontal="right" vertical="center" indent="3"/>
    </xf>
    <xf numFmtId="0" fontId="40" fillId="0" borderId="0" xfId="3" quotePrefix="1" applyFont="1" applyAlignment="1">
      <alignment horizontal="left" vertical="top"/>
    </xf>
    <xf numFmtId="0" fontId="40" fillId="0" borderId="0" xfId="3" applyFont="1" applyAlignment="1">
      <alignment horizontal="left" vertical="top"/>
    </xf>
    <xf numFmtId="0" fontId="15" fillId="0" borderId="20" xfId="3" applyFont="1" applyBorder="1" applyAlignment="1" applyProtection="1">
      <alignment vertical="center"/>
      <protection locked="0"/>
    </xf>
    <xf numFmtId="0" fontId="15" fillId="0" borderId="18" xfId="3" applyFont="1" applyBorder="1" applyAlignment="1" applyProtection="1">
      <alignment vertical="center"/>
      <protection locked="0"/>
    </xf>
    <xf numFmtId="0" fontId="15" fillId="0" borderId="19" xfId="3" applyFont="1" applyBorder="1" applyAlignment="1" applyProtection="1">
      <alignment vertical="center"/>
      <protection locked="0"/>
    </xf>
    <xf numFmtId="15" fontId="60" fillId="0" borderId="20" xfId="3" quotePrefix="1" applyNumberFormat="1" applyFont="1" applyBorder="1" applyAlignment="1">
      <alignment vertical="center"/>
    </xf>
    <xf numFmtId="15" fontId="60" fillId="0" borderId="18" xfId="3" quotePrefix="1" applyNumberFormat="1" applyFont="1" applyBorder="1" applyAlignment="1">
      <alignment vertical="center"/>
    </xf>
    <xf numFmtId="15" fontId="60" fillId="0" borderId="289" xfId="3" quotePrefix="1" applyNumberFormat="1" applyFont="1" applyBorder="1" applyAlignment="1">
      <alignment vertical="center"/>
    </xf>
    <xf numFmtId="15" fontId="60" fillId="0" borderId="290" xfId="3" quotePrefix="1" applyNumberFormat="1" applyFont="1" applyBorder="1" applyAlignment="1">
      <alignment vertical="center"/>
    </xf>
    <xf numFmtId="0" fontId="47" fillId="0" borderId="19" xfId="3" applyFont="1" applyBorder="1" applyAlignment="1">
      <alignment horizontal="left" vertical="center"/>
    </xf>
    <xf numFmtId="166" fontId="29" fillId="0" borderId="20" xfId="3" applyNumberFormat="1" applyFont="1" applyBorder="1" applyAlignment="1">
      <alignment horizontal="right" vertical="center"/>
    </xf>
    <xf numFmtId="166" fontId="7" fillId="0" borderId="18" xfId="3" applyNumberFormat="1" applyFont="1" applyBorder="1" applyAlignment="1">
      <alignment horizontal="right" vertical="center"/>
    </xf>
    <xf numFmtId="166" fontId="7" fillId="0" borderId="19" xfId="3" applyNumberFormat="1" applyFont="1" applyBorder="1" applyAlignment="1">
      <alignment horizontal="right" vertical="center"/>
    </xf>
    <xf numFmtId="166" fontId="7" fillId="0" borderId="20" xfId="3" applyNumberFormat="1" applyFont="1" applyBorder="1" applyAlignment="1">
      <alignment horizontal="right" vertical="center"/>
    </xf>
    <xf numFmtId="166" fontId="7" fillId="0" borderId="18" xfId="26" applyNumberFormat="1" applyFont="1" applyFill="1" applyBorder="1" applyAlignment="1">
      <alignment horizontal="right" vertical="center"/>
    </xf>
    <xf numFmtId="166" fontId="7" fillId="0" borderId="289" xfId="3" applyNumberFormat="1" applyFont="1" applyBorder="1" applyAlignment="1">
      <alignment horizontal="right" vertical="center"/>
    </xf>
    <xf numFmtId="166" fontId="7" fillId="0" borderId="290" xfId="3" applyNumberFormat="1" applyFont="1" applyBorder="1" applyAlignment="1">
      <alignment horizontal="right" vertical="center"/>
    </xf>
    <xf numFmtId="0" fontId="29" fillId="0" borderId="291" xfId="3" applyFont="1" applyBorder="1" applyAlignment="1">
      <alignment horizontal="left" vertical="center" wrapText="1"/>
    </xf>
    <xf numFmtId="41" fontId="29" fillId="0" borderId="292" xfId="3" applyNumberFormat="1" applyFont="1" applyBorder="1" applyAlignment="1">
      <alignment horizontal="right" vertical="center"/>
    </xf>
    <xf numFmtId="41" fontId="7" fillId="0" borderId="222" xfId="3" applyNumberFormat="1" applyFont="1" applyBorder="1" applyAlignment="1">
      <alignment horizontal="right" vertical="center"/>
    </xf>
    <xf numFmtId="41" fontId="7" fillId="0" borderId="291" xfId="3" applyNumberFormat="1" applyFont="1" applyBorder="1" applyAlignment="1">
      <alignment horizontal="right" vertical="center"/>
    </xf>
    <xf numFmtId="41" fontId="7" fillId="0" borderId="292" xfId="3" applyNumberFormat="1" applyFont="1" applyBorder="1" applyAlignment="1">
      <alignment horizontal="right" vertical="center"/>
    </xf>
    <xf numFmtId="41" fontId="7" fillId="0" borderId="222" xfId="26" applyNumberFormat="1" applyFont="1" applyBorder="1" applyAlignment="1">
      <alignment horizontal="right" vertical="center"/>
    </xf>
    <xf numFmtId="41" fontId="7" fillId="0" borderId="220" xfId="3" applyNumberFormat="1" applyFont="1" applyBorder="1" applyAlignment="1">
      <alignment horizontal="right" vertical="center"/>
    </xf>
    <xf numFmtId="41" fontId="7" fillId="0" borderId="221" xfId="3" applyNumberFormat="1" applyFont="1" applyBorder="1" applyAlignment="1">
      <alignment horizontal="right" vertical="center"/>
    </xf>
    <xf numFmtId="165" fontId="29" fillId="0" borderId="233" xfId="33" applyNumberFormat="1" applyFont="1" applyBorder="1" applyAlignment="1">
      <alignment vertical="center"/>
    </xf>
    <xf numFmtId="165" fontId="7" fillId="0" borderId="229" xfId="3" applyNumberFormat="1" applyFont="1" applyBorder="1" applyAlignment="1">
      <alignment vertical="center"/>
    </xf>
    <xf numFmtId="165" fontId="7" fillId="0" borderId="233" xfId="3" applyNumberFormat="1" applyFont="1" applyBorder="1" applyAlignment="1">
      <alignment vertical="center"/>
    </xf>
    <xf numFmtId="165" fontId="7" fillId="0" borderId="33" xfId="26" applyNumberFormat="1" applyFont="1" applyBorder="1" applyAlignment="1">
      <alignment vertical="center"/>
    </xf>
    <xf numFmtId="165" fontId="7" fillId="0" borderId="144" xfId="26" applyNumberFormat="1" applyFont="1" applyBorder="1" applyAlignment="1">
      <alignment vertical="center"/>
    </xf>
    <xf numFmtId="165" fontId="7" fillId="0" borderId="216" xfId="26" applyNumberFormat="1" applyFont="1" applyBorder="1" applyAlignment="1">
      <alignment vertical="center"/>
    </xf>
    <xf numFmtId="0" fontId="29" fillId="0" borderId="229" xfId="3" applyFont="1" applyBorder="1" applyAlignment="1">
      <alignment horizontal="left" vertical="center" wrapText="1"/>
    </xf>
    <xf numFmtId="165" fontId="29" fillId="0" borderId="233" xfId="33" applyNumberFormat="1" applyFont="1" applyBorder="1" applyAlignment="1">
      <alignment horizontal="right" vertical="center"/>
    </xf>
    <xf numFmtId="165" fontId="7" fillId="0" borderId="229" xfId="3" applyNumberFormat="1" applyFont="1" applyBorder="1" applyAlignment="1">
      <alignment horizontal="right" vertical="center"/>
    </xf>
    <xf numFmtId="165" fontId="7" fillId="0" borderId="233" xfId="3" applyNumberFormat="1" applyFont="1" applyBorder="1" applyAlignment="1">
      <alignment horizontal="right" vertical="center"/>
    </xf>
    <xf numFmtId="165" fontId="7" fillId="0" borderId="33" xfId="26" applyNumberFormat="1" applyFont="1" applyBorder="1" applyAlignment="1">
      <alignment horizontal="right" vertical="center"/>
    </xf>
    <xf numFmtId="165" fontId="7" fillId="0" borderId="144" xfId="3" applyNumberFormat="1" applyFont="1" applyBorder="1" applyAlignment="1">
      <alignment horizontal="right" vertical="center"/>
    </xf>
    <xf numFmtId="165" fontId="7" fillId="0" borderId="216" xfId="3" applyNumberFormat="1" applyFont="1" applyBorder="1" applyAlignment="1">
      <alignment horizontal="right" vertical="center"/>
    </xf>
    <xf numFmtId="165" fontId="29" fillId="0" borderId="293" xfId="33" applyNumberFormat="1" applyFont="1" applyBorder="1" applyAlignment="1">
      <alignment vertical="center"/>
    </xf>
    <xf numFmtId="165" fontId="7" fillId="0" borderId="38" xfId="3" applyNumberFormat="1" applyFont="1" applyBorder="1" applyAlignment="1">
      <alignment vertical="center"/>
    </xf>
    <xf numFmtId="165" fontId="7" fillId="0" borderId="231" xfId="3" applyNumberFormat="1" applyFont="1" applyBorder="1" applyAlignment="1">
      <alignment vertical="center"/>
    </xf>
    <xf numFmtId="165" fontId="7" fillId="0" borderId="293" xfId="3" applyNumberFormat="1" applyFont="1" applyBorder="1" applyAlignment="1">
      <alignment vertical="center"/>
    </xf>
    <xf numFmtId="165" fontId="7" fillId="0" borderId="38" xfId="26" applyNumberFormat="1" applyFont="1" applyBorder="1" applyAlignment="1">
      <alignment vertical="center"/>
    </xf>
    <xf numFmtId="165" fontId="7" fillId="0" borderId="294" xfId="26" applyNumberFormat="1" applyFont="1" applyBorder="1" applyAlignment="1">
      <alignment vertical="center"/>
    </xf>
    <xf numFmtId="165" fontId="7" fillId="0" borderId="295" xfId="26" applyNumberFormat="1" applyFont="1" applyBorder="1" applyAlignment="1">
      <alignment vertical="center"/>
    </xf>
    <xf numFmtId="0" fontId="29" fillId="0" borderId="296" xfId="3" applyFont="1" applyBorder="1" applyAlignment="1">
      <alignment horizontal="left" vertical="center"/>
    </xf>
    <xf numFmtId="165" fontId="29" fillId="0" borderId="20" xfId="33" applyNumberFormat="1" applyFont="1" applyBorder="1" applyAlignment="1">
      <alignment vertical="center"/>
    </xf>
    <xf numFmtId="165" fontId="7" fillId="0" borderId="297" xfId="3" applyNumberFormat="1" applyFont="1" applyBorder="1" applyAlignment="1">
      <alignment vertical="center"/>
    </xf>
    <xf numFmtId="165" fontId="7" fillId="0" borderId="296" xfId="3" applyNumberFormat="1" applyFont="1" applyBorder="1" applyAlignment="1">
      <alignment vertical="center"/>
    </xf>
    <xf numFmtId="165" fontId="7" fillId="0" borderId="298" xfId="3" applyNumberFormat="1" applyFont="1" applyBorder="1" applyAlignment="1">
      <alignment vertical="center"/>
    </xf>
    <xf numFmtId="165" fontId="7" fillId="0" borderId="299" xfId="3" applyNumberFormat="1" applyFont="1" applyBorder="1" applyAlignment="1">
      <alignment vertical="center"/>
    </xf>
    <xf numFmtId="165" fontId="7" fillId="0" borderId="300" xfId="3" applyNumberFormat="1" applyFont="1" applyBorder="1" applyAlignment="1">
      <alignment vertical="center"/>
    </xf>
    <xf numFmtId="0" fontId="15" fillId="0" borderId="181" xfId="3" applyFont="1" applyBorder="1" applyAlignment="1">
      <alignment horizontal="left" vertical="center"/>
    </xf>
    <xf numFmtId="0" fontId="74" fillId="0" borderId="182" xfId="3" applyFont="1" applyBorder="1" applyAlignment="1">
      <alignment horizontal="center" vertical="center"/>
    </xf>
    <xf numFmtId="171" fontId="47" fillId="0" borderId="181" xfId="26" applyNumberFormat="1" applyFont="1" applyBorder="1" applyAlignment="1">
      <alignment horizontal="left" vertical="center"/>
    </xf>
    <xf numFmtId="0" fontId="27" fillId="0" borderId="301" xfId="3" applyFont="1" applyBorder="1" applyAlignment="1">
      <alignment horizontal="left" vertical="center"/>
    </xf>
    <xf numFmtId="165" fontId="29" fillId="0" borderId="302" xfId="3" applyNumberFormat="1" applyFont="1" applyBorder="1" applyAlignment="1">
      <alignment horizontal="right" vertical="center"/>
    </xf>
    <xf numFmtId="165" fontId="7" fillId="0" borderId="187" xfId="3" applyNumberFormat="1" applyFont="1" applyBorder="1" applyAlignment="1">
      <alignment horizontal="right" vertical="center"/>
    </xf>
    <xf numFmtId="165" fontId="7" fillId="0" borderId="186" xfId="3" applyNumberFormat="1" applyFont="1" applyBorder="1" applyAlignment="1">
      <alignment horizontal="right" vertical="center"/>
    </xf>
    <xf numFmtId="0" fontId="27" fillId="0" borderId="189" xfId="3" applyFont="1" applyBorder="1" applyAlignment="1">
      <alignment horizontal="left" vertical="center"/>
    </xf>
    <xf numFmtId="0" fontId="7" fillId="0" borderId="189" xfId="3" applyFont="1" applyBorder="1" applyAlignment="1">
      <alignment horizontal="left" vertical="center"/>
    </xf>
    <xf numFmtId="41" fontId="7" fillId="0" borderId="190" xfId="3" applyNumberFormat="1" applyFont="1" applyBorder="1" applyAlignment="1">
      <alignment horizontal="right" vertical="center"/>
    </xf>
    <xf numFmtId="168" fontId="29" fillId="0" borderId="190" xfId="3" applyNumberFormat="1" applyFont="1" applyBorder="1" applyAlignment="1">
      <alignment horizontal="right" vertical="center"/>
    </xf>
    <xf numFmtId="168" fontId="7" fillId="0" borderId="189" xfId="3" applyNumberFormat="1" applyFont="1" applyBorder="1" applyAlignment="1">
      <alignment horizontal="right" vertical="center"/>
    </xf>
    <xf numFmtId="168" fontId="7" fillId="0" borderId="190" xfId="3" applyNumberFormat="1" applyFont="1" applyBorder="1" applyAlignment="1">
      <alignment horizontal="right" vertical="center"/>
    </xf>
    <xf numFmtId="0" fontId="28" fillId="0" borderId="189" xfId="3" applyFont="1" applyBorder="1" applyAlignment="1">
      <alignment horizontal="left" vertical="center" indent="1"/>
    </xf>
    <xf numFmtId="169" fontId="29" fillId="0" borderId="190" xfId="3" applyNumberFormat="1" applyFont="1" applyBorder="1" applyAlignment="1">
      <alignment horizontal="right" vertical="center"/>
    </xf>
    <xf numFmtId="169" fontId="7" fillId="0" borderId="189" xfId="3" applyNumberFormat="1" applyFont="1" applyBorder="1" applyAlignment="1">
      <alignment horizontal="right" vertical="center"/>
    </xf>
    <xf numFmtId="169" fontId="7" fillId="0" borderId="190" xfId="3" applyNumberFormat="1" applyFont="1" applyBorder="1" applyAlignment="1">
      <alignment horizontal="right" vertical="center"/>
    </xf>
    <xf numFmtId="165" fontId="19" fillId="0" borderId="191" xfId="26" applyNumberFormat="1" applyFont="1" applyFill="1" applyBorder="1" applyAlignment="1">
      <alignment horizontal="right" vertical="center"/>
    </xf>
    <xf numFmtId="168" fontId="29" fillId="0" borderId="190" xfId="3" applyNumberFormat="1" applyFont="1" applyBorder="1" applyAlignment="1">
      <alignment vertical="center"/>
    </xf>
    <xf numFmtId="167" fontId="29" fillId="0" borderId="190" xfId="3" applyNumberFormat="1" applyFont="1" applyBorder="1" applyAlignment="1">
      <alignment horizontal="right" vertical="center"/>
    </xf>
    <xf numFmtId="167" fontId="7" fillId="0" borderId="191" xfId="3" applyNumberFormat="1" applyFont="1" applyBorder="1" applyAlignment="1">
      <alignment horizontal="right" vertical="center"/>
    </xf>
    <xf numFmtId="167" fontId="7" fillId="0" borderId="189" xfId="3" applyNumberFormat="1" applyFont="1" applyBorder="1" applyAlignment="1">
      <alignment horizontal="right" vertical="center"/>
    </xf>
    <xf numFmtId="167" fontId="7" fillId="0" borderId="190" xfId="3" applyNumberFormat="1" applyFont="1" applyBorder="1" applyAlignment="1">
      <alignment horizontal="right" vertical="center"/>
    </xf>
    <xf numFmtId="0" fontId="7" fillId="0" borderId="101" xfId="3" applyFont="1" applyBorder="1" applyAlignment="1">
      <alignment horizontal="left" vertical="center" indent="1"/>
    </xf>
    <xf numFmtId="0" fontId="7" fillId="0" borderId="0" xfId="3" applyFont="1" applyAlignment="1">
      <alignment horizontal="left" vertical="center" indent="1"/>
    </xf>
    <xf numFmtId="165" fontId="7" fillId="0" borderId="0" xfId="3" applyNumberFormat="1" applyFont="1" applyAlignment="1">
      <alignment horizontal="right" vertical="center"/>
    </xf>
    <xf numFmtId="0" fontId="51" fillId="0" borderId="181" xfId="3" applyFont="1" applyBorder="1" applyAlignment="1">
      <alignment vertical="center"/>
    </xf>
    <xf numFmtId="0" fontId="76" fillId="0" borderId="182" xfId="3" applyFont="1" applyBorder="1" applyAlignment="1">
      <alignment horizontal="center" vertical="center"/>
    </xf>
    <xf numFmtId="166" fontId="7" fillId="0" borderId="184" xfId="26" applyNumberFormat="1" applyFont="1" applyFill="1" applyBorder="1" applyAlignment="1">
      <alignment horizontal="right" vertical="center"/>
    </xf>
    <xf numFmtId="166" fontId="7" fillId="0" borderId="182" xfId="26" applyNumberFormat="1" applyFont="1" applyFill="1" applyBorder="1" applyAlignment="1">
      <alignment vertical="center"/>
    </xf>
    <xf numFmtId="166" fontId="7" fillId="0" borderId="183" xfId="26" applyNumberFormat="1" applyFont="1" applyFill="1" applyBorder="1" applyAlignment="1">
      <alignment vertical="center"/>
    </xf>
    <xf numFmtId="0" fontId="29" fillId="0" borderId="182" xfId="3" applyFont="1" applyBorder="1"/>
    <xf numFmtId="0" fontId="29" fillId="0" borderId="183" xfId="3" applyFont="1" applyBorder="1"/>
    <xf numFmtId="0" fontId="7" fillId="0" borderId="183" xfId="3" applyFont="1" applyBorder="1"/>
    <xf numFmtId="0" fontId="7" fillId="0" borderId="181" xfId="3" applyFont="1" applyBorder="1"/>
    <xf numFmtId="0" fontId="29" fillId="0" borderId="181" xfId="3" applyFont="1" applyBorder="1"/>
    <xf numFmtId="0" fontId="29" fillId="0" borderId="184" xfId="26" applyNumberFormat="1" applyFont="1" applyBorder="1" applyAlignment="1"/>
    <xf numFmtId="0" fontId="29" fillId="0" borderId="182" xfId="26" applyNumberFormat="1" applyFont="1" applyBorder="1" applyAlignment="1"/>
    <xf numFmtId="0" fontId="29" fillId="0" borderId="183" xfId="26" applyNumberFormat="1" applyFont="1" applyBorder="1" applyAlignment="1"/>
    <xf numFmtId="0" fontId="29" fillId="0" borderId="185" xfId="3" applyFont="1" applyBorder="1" applyAlignment="1">
      <alignment horizontal="left" vertical="center" indent="1"/>
    </xf>
    <xf numFmtId="41" fontId="29" fillId="0" borderId="186" xfId="3" applyNumberFormat="1" applyFont="1" applyBorder="1"/>
    <xf numFmtId="41" fontId="29" fillId="0" borderId="187" xfId="3" applyNumberFormat="1" applyFont="1" applyBorder="1"/>
    <xf numFmtId="41" fontId="7" fillId="0" borderId="187" xfId="3" applyNumberFormat="1" applyFont="1" applyBorder="1"/>
    <xf numFmtId="41" fontId="7" fillId="0" borderId="185" xfId="3" applyNumberFormat="1" applyFont="1" applyBorder="1"/>
    <xf numFmtId="41" fontId="7" fillId="0" borderId="186" xfId="3" applyNumberFormat="1" applyFont="1" applyBorder="1"/>
    <xf numFmtId="171" fontId="7" fillId="0" borderId="188" xfId="26" applyNumberFormat="1" applyFont="1" applyBorder="1" applyAlignment="1"/>
    <xf numFmtId="171" fontId="7" fillId="0" borderId="186" xfId="26" applyNumberFormat="1" applyFont="1" applyBorder="1" applyAlignment="1"/>
    <xf numFmtId="171" fontId="7" fillId="0" borderId="187" xfId="26" applyNumberFormat="1" applyFont="1" applyBorder="1" applyAlignment="1"/>
    <xf numFmtId="37" fontId="29" fillId="0" borderId="233" xfId="3" applyNumberFormat="1" applyFont="1" applyBorder="1" applyAlignment="1">
      <alignment vertical="center"/>
    </xf>
    <xf numFmtId="37" fontId="7" fillId="0" borderId="33" xfId="3" applyNumberFormat="1" applyFont="1" applyBorder="1" applyAlignment="1">
      <alignment vertical="center"/>
    </xf>
    <xf numFmtId="37" fontId="7" fillId="0" borderId="229" xfId="3" applyNumberFormat="1" applyFont="1" applyBorder="1" applyAlignment="1">
      <alignment vertical="center"/>
    </xf>
    <xf numFmtId="37" fontId="7" fillId="0" borderId="233" xfId="3" applyNumberFormat="1" applyFont="1" applyBorder="1" applyAlignment="1">
      <alignment vertical="center"/>
    </xf>
    <xf numFmtId="37" fontId="7" fillId="0" borderId="30" xfId="3" applyNumberFormat="1" applyFont="1" applyBorder="1" applyAlignment="1">
      <alignment vertical="center"/>
    </xf>
    <xf numFmtId="165" fontId="29" fillId="0" borderId="190" xfId="3" applyNumberFormat="1" applyFont="1" applyBorder="1" applyAlignment="1">
      <alignment horizontal="right"/>
    </xf>
    <xf numFmtId="165" fontId="7" fillId="0" borderId="191" xfId="3" applyNumberFormat="1" applyFont="1" applyBorder="1" applyAlignment="1">
      <alignment horizontal="right"/>
    </xf>
    <xf numFmtId="165" fontId="7" fillId="0" borderId="189" xfId="3" applyNumberFormat="1" applyFont="1" applyBorder="1" applyAlignment="1">
      <alignment horizontal="right"/>
    </xf>
    <xf numFmtId="165" fontId="7" fillId="0" borderId="190" xfId="3" applyNumberFormat="1" applyFont="1" applyBorder="1"/>
    <xf numFmtId="165" fontId="7" fillId="0" borderId="191" xfId="3" applyNumberFormat="1" applyFont="1" applyBorder="1"/>
    <xf numFmtId="165" fontId="7" fillId="0" borderId="189" xfId="3" applyNumberFormat="1" applyFont="1" applyBorder="1"/>
    <xf numFmtId="165" fontId="7" fillId="0" borderId="192" xfId="26" applyNumberFormat="1" applyFont="1" applyBorder="1" applyAlignment="1"/>
    <xf numFmtId="165" fontId="7" fillId="0" borderId="190" xfId="26" applyNumberFormat="1" applyFont="1" applyBorder="1" applyAlignment="1"/>
    <xf numFmtId="165" fontId="7" fillId="0" borderId="191" xfId="26" applyNumberFormat="1" applyFont="1" applyBorder="1" applyAlignment="1"/>
    <xf numFmtId="0" fontId="29" fillId="0" borderId="182" xfId="3" applyFont="1" applyBorder="1" applyAlignment="1">
      <alignment horizontal="right"/>
    </xf>
    <xf numFmtId="0" fontId="7" fillId="0" borderId="183" xfId="3" applyFont="1" applyBorder="1" applyAlignment="1">
      <alignment horizontal="right"/>
    </xf>
    <xf numFmtId="0" fontId="7" fillId="0" borderId="181" xfId="3" applyFont="1" applyBorder="1" applyAlignment="1">
      <alignment horizontal="right"/>
    </xf>
    <xf numFmtId="165" fontId="29" fillId="0" borderId="182" xfId="26" applyNumberFormat="1" applyFont="1" applyBorder="1" applyAlignment="1"/>
    <xf numFmtId="168" fontId="29" fillId="0" borderId="190" xfId="3" applyNumberFormat="1" applyFont="1" applyBorder="1" applyAlignment="1">
      <alignment horizontal="right"/>
    </xf>
    <xf numFmtId="168" fontId="7" fillId="0" borderId="191" xfId="3" applyNumberFormat="1" applyFont="1" applyBorder="1" applyAlignment="1">
      <alignment horizontal="right"/>
    </xf>
    <xf numFmtId="168" fontId="7" fillId="0" borderId="189" xfId="3" applyNumberFormat="1" applyFont="1" applyBorder="1" applyAlignment="1">
      <alignment horizontal="right"/>
    </xf>
    <xf numFmtId="168" fontId="7" fillId="0" borderId="190" xfId="3" applyNumberFormat="1" applyFont="1" applyBorder="1"/>
    <xf numFmtId="168" fontId="7" fillId="0" borderId="191" xfId="3" applyNumberFormat="1" applyFont="1" applyBorder="1"/>
    <xf numFmtId="168" fontId="7" fillId="0" borderId="189" xfId="3" applyNumberFormat="1" applyFont="1" applyBorder="1"/>
    <xf numFmtId="168" fontId="7" fillId="0" borderId="192" xfId="26" applyNumberFormat="1" applyFont="1" applyBorder="1" applyAlignment="1"/>
    <xf numFmtId="168" fontId="7" fillId="0" borderId="190" xfId="26" applyNumberFormat="1" applyFont="1" applyBorder="1" applyAlignment="1"/>
    <xf numFmtId="168" fontId="7" fillId="0" borderId="191" xfId="26" applyNumberFormat="1" applyFont="1" applyBorder="1" applyAlignment="1"/>
    <xf numFmtId="169" fontId="29" fillId="0" borderId="99" xfId="3" applyNumberFormat="1" applyFont="1" applyBorder="1" applyAlignment="1">
      <alignment horizontal="right"/>
    </xf>
    <xf numFmtId="169" fontId="7" fillId="0" borderId="100" xfId="3" applyNumberFormat="1" applyFont="1" applyBorder="1" applyAlignment="1">
      <alignment horizontal="right"/>
    </xf>
    <xf numFmtId="169" fontId="7" fillId="0" borderId="101" xfId="3" applyNumberFormat="1" applyFont="1" applyBorder="1" applyAlignment="1">
      <alignment horizontal="right"/>
    </xf>
    <xf numFmtId="41" fontId="7" fillId="0" borderId="99" xfId="3" applyNumberFormat="1" applyFont="1" applyBorder="1"/>
    <xf numFmtId="169" fontId="7" fillId="0" borderId="100" xfId="3" applyNumberFormat="1" applyFont="1" applyBorder="1"/>
    <xf numFmtId="169" fontId="7" fillId="0" borderId="101" xfId="3" applyNumberFormat="1" applyFont="1" applyBorder="1"/>
    <xf numFmtId="169" fontId="7" fillId="0" borderId="193" xfId="26" applyNumberFormat="1" applyFont="1" applyBorder="1" applyAlignment="1"/>
    <xf numFmtId="169" fontId="7" fillId="0" borderId="99" xfId="26" applyNumberFormat="1" applyFont="1" applyBorder="1" applyAlignment="1"/>
    <xf numFmtId="169" fontId="7" fillId="0" borderId="100" xfId="26" applyNumberFormat="1" applyFont="1" applyBorder="1" applyAlignment="1"/>
    <xf numFmtId="41" fontId="29" fillId="0" borderId="182" xfId="3" applyNumberFormat="1" applyFont="1" applyBorder="1" applyAlignment="1">
      <alignment horizontal="right"/>
    </xf>
    <xf numFmtId="41" fontId="7" fillId="0" borderId="183" xfId="3" applyNumberFormat="1" applyFont="1" applyBorder="1" applyAlignment="1">
      <alignment horizontal="right"/>
    </xf>
    <xf numFmtId="41" fontId="7" fillId="0" borderId="181" xfId="3" applyNumberFormat="1" applyFont="1" applyBorder="1" applyAlignment="1">
      <alignment horizontal="right"/>
    </xf>
    <xf numFmtId="41" fontId="7" fillId="0" borderId="182" xfId="3" applyNumberFormat="1" applyFont="1" applyBorder="1"/>
    <xf numFmtId="41" fontId="7" fillId="0" borderId="183" xfId="3" applyNumberFormat="1" applyFont="1" applyBorder="1"/>
    <xf numFmtId="41" fontId="7" fillId="0" borderId="181" xfId="3" applyNumberFormat="1" applyFont="1" applyBorder="1"/>
    <xf numFmtId="171" fontId="7" fillId="0" borderId="184" xfId="26" applyNumberFormat="1" applyFont="1" applyBorder="1" applyAlignment="1"/>
    <xf numFmtId="171" fontId="7" fillId="0" borderId="182" xfId="26" applyNumberFormat="1" applyFont="1" applyBorder="1" applyAlignment="1"/>
    <xf numFmtId="171" fontId="7" fillId="0" borderId="183" xfId="26" applyNumberFormat="1" applyFont="1" applyBorder="1" applyAlignment="1"/>
    <xf numFmtId="41" fontId="29" fillId="0" borderId="186" xfId="3" applyNumberFormat="1" applyFont="1" applyBorder="1" applyAlignment="1">
      <alignment horizontal="right"/>
    </xf>
    <xf numFmtId="41" fontId="7" fillId="0" borderId="187" xfId="3" applyNumberFormat="1" applyFont="1" applyBorder="1" applyAlignment="1">
      <alignment horizontal="right"/>
    </xf>
    <xf numFmtId="41" fontId="7" fillId="0" borderId="185" xfId="3" applyNumberFormat="1" applyFont="1" applyBorder="1" applyAlignment="1">
      <alignment horizontal="right"/>
    </xf>
    <xf numFmtId="0" fontId="41" fillId="0" borderId="186" xfId="3" applyFont="1" applyBorder="1" applyAlignment="1">
      <alignment vertical="center"/>
    </xf>
    <xf numFmtId="165" fontId="7" fillId="0" borderId="190" xfId="26" applyNumberFormat="1" applyFont="1" applyBorder="1" applyAlignment="1">
      <alignment horizontal="right"/>
    </xf>
    <xf numFmtId="168" fontId="7" fillId="0" borderId="190" xfId="26" applyNumberFormat="1" applyFont="1" applyFill="1" applyBorder="1" applyAlignment="1"/>
    <xf numFmtId="168" fontId="7" fillId="0" borderId="191" xfId="26" applyNumberFormat="1" applyFont="1" applyFill="1" applyBorder="1" applyAlignment="1"/>
    <xf numFmtId="169" fontId="7" fillId="0" borderId="99" xfId="3" applyNumberFormat="1" applyFont="1" applyBorder="1"/>
    <xf numFmtId="169" fontId="7" fillId="0" borderId="99" xfId="26" applyNumberFormat="1" applyFont="1" applyFill="1" applyBorder="1" applyAlignment="1"/>
    <xf numFmtId="169" fontId="7" fillId="0" borderId="100" xfId="26" applyNumberFormat="1" applyFont="1" applyFill="1" applyBorder="1" applyAlignment="1"/>
    <xf numFmtId="0" fontId="17" fillId="0" borderId="181" xfId="3" applyFont="1" applyBorder="1" applyAlignment="1">
      <alignment horizontal="left" vertical="center"/>
    </xf>
    <xf numFmtId="165" fontId="29" fillId="0" borderId="182" xfId="26" applyNumberFormat="1" applyFont="1" applyBorder="1" applyAlignment="1">
      <alignment horizontal="right"/>
    </xf>
    <xf numFmtId="168" fontId="7" fillId="0" borderId="190" xfId="26" applyNumberFormat="1" applyFont="1" applyBorder="1" applyAlignment="1">
      <alignment horizontal="right"/>
    </xf>
    <xf numFmtId="168" fontId="29" fillId="0" borderId="99" xfId="3" applyNumberFormat="1" applyFont="1" applyBorder="1" applyAlignment="1">
      <alignment horizontal="right"/>
    </xf>
    <xf numFmtId="168" fontId="7" fillId="0" borderId="100" xfId="3" applyNumberFormat="1" applyFont="1" applyBorder="1" applyAlignment="1">
      <alignment horizontal="right"/>
    </xf>
    <xf numFmtId="168" fontId="7" fillId="0" borderId="101" xfId="3" applyNumberFormat="1" applyFont="1" applyBorder="1" applyAlignment="1">
      <alignment horizontal="right"/>
    </xf>
    <xf numFmtId="168" fontId="7" fillId="0" borderId="99" xfId="3" applyNumberFormat="1" applyFont="1" applyBorder="1"/>
    <xf numFmtId="168" fontId="7" fillId="0" borderId="100" xfId="3" applyNumberFormat="1" applyFont="1" applyBorder="1"/>
    <xf numFmtId="168" fontId="7" fillId="0" borderId="101" xfId="3" applyNumberFormat="1" applyFont="1" applyBorder="1"/>
    <xf numFmtId="168" fontId="7" fillId="0" borderId="193" xfId="26" applyNumberFormat="1" applyFont="1" applyBorder="1" applyAlignment="1"/>
    <xf numFmtId="168" fontId="7" fillId="0" borderId="99" xfId="26" applyNumberFormat="1" applyFont="1" applyBorder="1" applyAlignment="1">
      <alignment horizontal="right"/>
    </xf>
    <xf numFmtId="168" fontId="7" fillId="0" borderId="100" xfId="26" applyNumberFormat="1" applyFont="1" applyBorder="1" applyAlignment="1"/>
    <xf numFmtId="0" fontId="39" fillId="0" borderId="195" xfId="3" applyFont="1" applyBorder="1" applyAlignment="1">
      <alignment horizontal="left" vertical="center" indent="1"/>
    </xf>
    <xf numFmtId="169" fontId="40" fillId="0" borderId="195" xfId="3" applyNumberFormat="1" applyFont="1" applyBorder="1" applyAlignment="1">
      <alignment vertical="center"/>
    </xf>
    <xf numFmtId="169" fontId="40" fillId="0" borderId="195" xfId="26" applyNumberFormat="1" applyFont="1" applyBorder="1" applyAlignment="1">
      <alignment vertical="center"/>
    </xf>
    <xf numFmtId="169" fontId="40" fillId="0" borderId="195" xfId="26" applyNumberFormat="1" applyFont="1" applyFill="1" applyBorder="1" applyAlignment="1">
      <alignment vertical="center"/>
    </xf>
    <xf numFmtId="0" fontId="77" fillId="0" borderId="41" xfId="3" applyFont="1" applyBorder="1" applyAlignment="1">
      <alignment horizontal="left" vertical="center"/>
    </xf>
    <xf numFmtId="0" fontId="78" fillId="0" borderId="42" xfId="3" applyFont="1" applyBorder="1" applyAlignment="1">
      <alignment horizontal="center" vertical="center"/>
    </xf>
    <xf numFmtId="0" fontId="47" fillId="0" borderId="41" xfId="3" applyFont="1" applyBorder="1" applyAlignment="1">
      <alignment horizontal="left" vertical="center"/>
    </xf>
    <xf numFmtId="0" fontId="7" fillId="0" borderId="42" xfId="26" applyNumberFormat="1" applyFont="1" applyBorder="1" applyAlignment="1">
      <alignment horizontal="left" vertical="center" indent="2"/>
    </xf>
    <xf numFmtId="0" fontId="7" fillId="0" borderId="43" xfId="26" applyNumberFormat="1" applyFont="1" applyBorder="1" applyAlignment="1">
      <alignment horizontal="left" vertical="center" indent="2"/>
    </xf>
    <xf numFmtId="0" fontId="17" fillId="0" borderId="45" xfId="3" applyFont="1" applyBorder="1" applyAlignment="1">
      <alignment horizontal="left" vertical="center"/>
    </xf>
    <xf numFmtId="0" fontId="29" fillId="0" borderId="46" xfId="3" applyFont="1" applyBorder="1" applyAlignment="1">
      <alignment horizontal="right" vertical="center"/>
    </xf>
    <xf numFmtId="0" fontId="7" fillId="0" borderId="47" xfId="3" applyFont="1" applyBorder="1" applyAlignment="1">
      <alignment horizontal="right" vertical="center"/>
    </xf>
    <xf numFmtId="0" fontId="7" fillId="0" borderId="45" xfId="3" applyFont="1" applyBorder="1" applyAlignment="1">
      <alignment horizontal="right" vertical="center"/>
    </xf>
    <xf numFmtId="0" fontId="7" fillId="0" borderId="46" xfId="26" applyNumberFormat="1" applyFont="1" applyFill="1" applyBorder="1" applyAlignment="1">
      <alignment horizontal="left" vertical="center"/>
    </xf>
    <xf numFmtId="0" fontId="7" fillId="0" borderId="47" xfId="26" applyNumberFormat="1" applyFont="1" applyFill="1" applyBorder="1" applyAlignment="1">
      <alignment horizontal="left" vertical="center"/>
    </xf>
    <xf numFmtId="0" fontId="7" fillId="0" borderId="45" xfId="26" applyNumberFormat="1" applyFont="1" applyFill="1" applyBorder="1" applyAlignment="1">
      <alignment horizontal="left" vertical="center"/>
    </xf>
    <xf numFmtId="0" fontId="7" fillId="0" borderId="48" xfId="26" applyNumberFormat="1" applyFont="1" applyFill="1" applyBorder="1" applyAlignment="1">
      <alignment horizontal="left" vertical="center"/>
    </xf>
    <xf numFmtId="0" fontId="7" fillId="0" borderId="46" xfId="26" applyNumberFormat="1" applyFont="1" applyFill="1" applyBorder="1" applyAlignment="1">
      <alignment vertical="center"/>
    </xf>
    <xf numFmtId="0" fontId="7" fillId="0" borderId="47" xfId="26" applyNumberFormat="1" applyFont="1" applyFill="1" applyBorder="1" applyAlignment="1">
      <alignment vertical="center"/>
    </xf>
    <xf numFmtId="165" fontId="7" fillId="0" borderId="50" xfId="26" applyNumberFormat="1" applyFont="1" applyFill="1" applyBorder="1" applyAlignment="1">
      <alignment vertical="center"/>
    </xf>
    <xf numFmtId="165" fontId="7" fillId="0" borderId="51" xfId="26" applyNumberFormat="1" applyFont="1" applyFill="1" applyBorder="1" applyAlignment="1">
      <alignment vertical="center"/>
    </xf>
    <xf numFmtId="165" fontId="7" fillId="0" borderId="49" xfId="26" applyNumberFormat="1" applyFont="1" applyFill="1" applyBorder="1" applyAlignment="1">
      <alignment vertical="center"/>
    </xf>
    <xf numFmtId="165" fontId="7" fillId="0" borderId="52" xfId="26" applyNumberFormat="1" applyFont="1" applyFill="1" applyBorder="1" applyAlignment="1">
      <alignment vertical="center"/>
    </xf>
    <xf numFmtId="0" fontId="17" fillId="0" borderId="41" xfId="3" applyFont="1" applyBorder="1" applyAlignment="1">
      <alignment horizontal="left" vertical="center"/>
    </xf>
    <xf numFmtId="41" fontId="29" fillId="0" borderId="42" xfId="3" applyNumberFormat="1" applyFont="1" applyBorder="1" applyAlignment="1">
      <alignment horizontal="right" vertical="center"/>
    </xf>
    <xf numFmtId="168" fontId="7" fillId="0" borderId="43" xfId="3" applyNumberFormat="1" applyFont="1" applyBorder="1" applyAlignment="1">
      <alignment horizontal="right" vertical="center"/>
    </xf>
    <xf numFmtId="168" fontId="7" fillId="0" borderId="41" xfId="3" applyNumberFormat="1" applyFont="1" applyBorder="1" applyAlignment="1">
      <alignment horizontal="right" vertical="center"/>
    </xf>
    <xf numFmtId="168" fontId="7" fillId="0" borderId="42" xfId="3" applyNumberFormat="1" applyFont="1" applyBorder="1" applyAlignment="1">
      <alignment vertical="center"/>
    </xf>
    <xf numFmtId="168" fontId="7" fillId="0" borderId="41" xfId="3" applyNumberFormat="1" applyFont="1" applyBorder="1" applyAlignment="1">
      <alignment vertical="center"/>
    </xf>
    <xf numFmtId="168" fontId="7" fillId="0" borderId="44" xfId="3" applyNumberFormat="1" applyFont="1" applyBorder="1" applyAlignment="1">
      <alignment vertical="center"/>
    </xf>
    <xf numFmtId="168" fontId="7" fillId="0" borderId="42" xfId="26" applyNumberFormat="1" applyFont="1" applyFill="1" applyBorder="1" applyAlignment="1">
      <alignment vertical="center"/>
    </xf>
    <xf numFmtId="168" fontId="7" fillId="0" borderId="43" xfId="26" applyNumberFormat="1" applyFont="1" applyFill="1" applyBorder="1" applyAlignment="1">
      <alignment vertical="center"/>
    </xf>
    <xf numFmtId="167" fontId="7" fillId="0" borderId="50" xfId="26" applyNumberFormat="1" applyFont="1" applyFill="1" applyBorder="1" applyAlignment="1">
      <alignment vertical="center"/>
    </xf>
    <xf numFmtId="167" fontId="7" fillId="0" borderId="51" xfId="26" applyNumberFormat="1" applyFont="1" applyFill="1" applyBorder="1" applyAlignment="1">
      <alignment vertical="center"/>
    </xf>
    <xf numFmtId="167" fontId="7" fillId="0" borderId="49" xfId="26" applyNumberFormat="1" applyFont="1" applyFill="1" applyBorder="1" applyAlignment="1">
      <alignment vertical="center"/>
    </xf>
    <xf numFmtId="167" fontId="7" fillId="0" borderId="52" xfId="26" applyNumberFormat="1" applyFont="1" applyFill="1" applyBorder="1" applyAlignment="1">
      <alignment vertical="center"/>
    </xf>
    <xf numFmtId="167" fontId="7" fillId="0" borderId="50" xfId="26" applyNumberFormat="1" applyFont="1" applyFill="1" applyBorder="1" applyAlignment="1">
      <alignment horizontal="right" vertical="center"/>
    </xf>
    <xf numFmtId="167" fontId="7" fillId="0" borderId="51" xfId="26" applyNumberFormat="1" applyFont="1" applyFill="1" applyBorder="1" applyAlignment="1">
      <alignment horizontal="right" vertical="center"/>
    </xf>
    <xf numFmtId="186" fontId="7" fillId="0" borderId="51" xfId="3" applyNumberFormat="1" applyFont="1" applyBorder="1" applyAlignment="1">
      <alignment horizontal="right" vertical="center"/>
    </xf>
    <xf numFmtId="186" fontId="7" fillId="0" borderId="49" xfId="3" applyNumberFormat="1" applyFont="1" applyBorder="1" applyAlignment="1">
      <alignment horizontal="right" vertical="center"/>
    </xf>
    <xf numFmtId="186" fontId="7" fillId="0" borderId="50" xfId="26" applyNumberFormat="1" applyFont="1" applyFill="1" applyBorder="1" applyAlignment="1">
      <alignment vertical="center"/>
    </xf>
    <xf numFmtId="186" fontId="7" fillId="0" borderId="51" xfId="26" applyNumberFormat="1" applyFont="1" applyFill="1" applyBorder="1" applyAlignment="1">
      <alignment vertical="center"/>
    </xf>
    <xf numFmtId="186" fontId="7" fillId="0" borderId="49" xfId="26" applyNumberFormat="1" applyFont="1" applyFill="1" applyBorder="1" applyAlignment="1">
      <alignment vertical="center"/>
    </xf>
    <xf numFmtId="186" fontId="7" fillId="0" borderId="52" xfId="26" applyNumberFormat="1" applyFont="1" applyFill="1" applyBorder="1" applyAlignment="1">
      <alignment vertical="center"/>
    </xf>
    <xf numFmtId="186" fontId="7" fillId="0" borderId="50" xfId="26" applyNumberFormat="1" applyFont="1" applyFill="1" applyBorder="1" applyAlignment="1">
      <alignment horizontal="right" vertical="center"/>
    </xf>
    <xf numFmtId="186" fontId="7" fillId="0" borderId="51" xfId="26" applyNumberFormat="1" applyFont="1" applyFill="1" applyBorder="1" applyAlignment="1">
      <alignment horizontal="right" vertical="center"/>
    </xf>
    <xf numFmtId="167" fontId="19" fillId="0" borderId="49" xfId="26" applyNumberFormat="1" applyFont="1" applyFill="1" applyBorder="1" applyAlignment="1">
      <alignment horizontal="right" vertical="center"/>
    </xf>
    <xf numFmtId="168" fontId="7" fillId="0" borderId="50" xfId="26" applyNumberFormat="1" applyFont="1" applyFill="1" applyBorder="1" applyAlignment="1">
      <alignment vertical="center"/>
    </xf>
    <xf numFmtId="168" fontId="7" fillId="0" borderId="51" xfId="26" applyNumberFormat="1" applyFont="1" applyFill="1" applyBorder="1" applyAlignment="1">
      <alignment vertical="center"/>
    </xf>
    <xf numFmtId="168" fontId="19" fillId="0" borderId="49" xfId="26" applyNumberFormat="1" applyFont="1" applyFill="1" applyBorder="1" applyAlignment="1">
      <alignment vertical="center"/>
    </xf>
    <xf numFmtId="168" fontId="7" fillId="0" borderId="52" xfId="26" applyNumberFormat="1" applyFont="1" applyFill="1" applyBorder="1" applyAlignment="1">
      <alignment vertical="center"/>
    </xf>
    <xf numFmtId="168" fontId="7" fillId="0" borderId="50" xfId="26" applyNumberFormat="1" applyFont="1" applyFill="1" applyBorder="1" applyAlignment="1">
      <alignment horizontal="right" vertical="center"/>
    </xf>
    <xf numFmtId="168" fontId="7" fillId="0" borderId="51" xfId="26" applyNumberFormat="1" applyFont="1" applyFill="1" applyBorder="1" applyAlignment="1">
      <alignment horizontal="right" vertical="center"/>
    </xf>
    <xf numFmtId="168" fontId="7" fillId="0" borderId="49" xfId="26" applyNumberFormat="1" applyFont="1" applyFill="1" applyBorder="1" applyAlignment="1">
      <alignment vertical="center"/>
    </xf>
    <xf numFmtId="0" fontId="29" fillId="0" borderId="56" xfId="3" applyFont="1" applyBorder="1" applyAlignment="1">
      <alignment horizontal="left" vertical="center"/>
    </xf>
    <xf numFmtId="168" fontId="29" fillId="0" borderId="304" xfId="3" applyNumberFormat="1" applyFont="1" applyBorder="1" applyAlignment="1">
      <alignment horizontal="right" vertical="center"/>
    </xf>
    <xf numFmtId="168" fontId="7" fillId="0" borderId="305" xfId="3" applyNumberFormat="1" applyFont="1" applyBorder="1" applyAlignment="1">
      <alignment horizontal="right" vertical="center"/>
    </xf>
    <xf numFmtId="168" fontId="7" fillId="0" borderId="306" xfId="3" applyNumberFormat="1" applyFont="1" applyBorder="1" applyAlignment="1">
      <alignment horizontal="right" vertical="center"/>
    </xf>
    <xf numFmtId="168" fontId="7" fillId="0" borderId="304" xfId="26" applyNumberFormat="1" applyFont="1" applyFill="1" applyBorder="1" applyAlignment="1">
      <alignment vertical="center"/>
    </xf>
    <xf numFmtId="168" fontId="7" fillId="0" borderId="305" xfId="26" applyNumberFormat="1" applyFont="1" applyFill="1" applyBorder="1" applyAlignment="1">
      <alignment vertical="center"/>
    </xf>
    <xf numFmtId="168" fontId="7" fillId="0" borderId="306" xfId="26" applyNumberFormat="1" applyFont="1" applyFill="1" applyBorder="1" applyAlignment="1">
      <alignment vertical="center"/>
    </xf>
    <xf numFmtId="168" fontId="7" fillId="0" borderId="307" xfId="26" applyNumberFormat="1" applyFont="1" applyFill="1" applyBorder="1" applyAlignment="1">
      <alignment vertical="center"/>
    </xf>
    <xf numFmtId="0" fontId="40" fillId="0" borderId="16" xfId="3" applyFont="1" applyBorder="1" applyAlignment="1">
      <alignment vertical="center"/>
    </xf>
    <xf numFmtId="0" fontId="40" fillId="0" borderId="16" xfId="26" applyNumberFormat="1" applyFont="1" applyBorder="1" applyAlignment="1">
      <alignment vertical="center"/>
    </xf>
    <xf numFmtId="166" fontId="7" fillId="0" borderId="42" xfId="26" applyNumberFormat="1" applyFont="1" applyFill="1" applyBorder="1" applyAlignment="1">
      <alignment horizontal="right" vertical="center"/>
    </xf>
    <xf numFmtId="166" fontId="7" fillId="0" borderId="43" xfId="26" applyNumberFormat="1" applyFont="1" applyFill="1" applyBorder="1" applyAlignment="1">
      <alignment horizontal="right" vertical="center"/>
    </xf>
    <xf numFmtId="166" fontId="7" fillId="0" borderId="41" xfId="26" applyNumberFormat="1" applyFont="1" applyFill="1" applyBorder="1" applyAlignment="1">
      <alignment horizontal="right" vertical="center"/>
    </xf>
    <xf numFmtId="166" fontId="7" fillId="0" borderId="44" xfId="26" applyNumberFormat="1" applyFont="1" applyFill="1" applyBorder="1" applyAlignment="1">
      <alignment horizontal="right" vertical="center"/>
    </xf>
    <xf numFmtId="166" fontId="7" fillId="0" borderId="42" xfId="26" applyNumberFormat="1" applyFont="1" applyFill="1" applyBorder="1" applyAlignment="1">
      <alignment vertical="center"/>
    </xf>
    <xf numFmtId="166" fontId="7" fillId="0" borderId="43" xfId="26" applyNumberFormat="1" applyFont="1" applyFill="1" applyBorder="1" applyAlignment="1">
      <alignment vertical="center"/>
    </xf>
    <xf numFmtId="41" fontId="29" fillId="0" borderId="42" xfId="3" applyNumberFormat="1" applyFont="1" applyBorder="1" applyAlignment="1">
      <alignment vertical="center"/>
    </xf>
    <xf numFmtId="41" fontId="7" fillId="0" borderId="43" xfId="3" applyNumberFormat="1" applyFont="1" applyBorder="1" applyAlignment="1">
      <alignment vertical="center"/>
    </xf>
    <xf numFmtId="41" fontId="7" fillId="0" borderId="41" xfId="3" applyNumberFormat="1" applyFont="1" applyBorder="1" applyAlignment="1">
      <alignment vertical="center"/>
    </xf>
    <xf numFmtId="171" fontId="29" fillId="0" borderId="42" xfId="26" applyNumberFormat="1" applyFont="1" applyFill="1" applyBorder="1" applyAlignment="1">
      <alignment vertical="center"/>
    </xf>
    <xf numFmtId="171" fontId="29" fillId="0" borderId="43" xfId="26" applyNumberFormat="1" applyFont="1" applyFill="1" applyBorder="1" applyAlignment="1">
      <alignment vertical="center"/>
    </xf>
    <xf numFmtId="171" fontId="29" fillId="0" borderId="41" xfId="26" applyNumberFormat="1" applyFont="1" applyFill="1" applyBorder="1" applyAlignment="1">
      <alignment vertical="center"/>
    </xf>
    <xf numFmtId="171" fontId="29" fillId="0" borderId="44" xfId="26" applyNumberFormat="1" applyFont="1" applyFill="1" applyBorder="1" applyAlignment="1">
      <alignment vertical="center"/>
    </xf>
    <xf numFmtId="165" fontId="7" fillId="0" borderId="50" xfId="26" applyNumberFormat="1" applyFont="1" applyFill="1" applyBorder="1" applyAlignment="1">
      <alignment horizontal="right" vertical="center"/>
    </xf>
    <xf numFmtId="167" fontId="7" fillId="0" borderId="49" xfId="26" applyNumberFormat="1" applyFont="1" applyFill="1" applyBorder="1" applyAlignment="1">
      <alignment horizontal="right" vertical="center"/>
    </xf>
    <xf numFmtId="168" fontId="7" fillId="0" borderId="51" xfId="3" quotePrefix="1" applyNumberFormat="1" applyFont="1" applyBorder="1" applyAlignment="1">
      <alignment horizontal="right" vertical="center"/>
    </xf>
    <xf numFmtId="168" fontId="7" fillId="0" borderId="49" xfId="26" applyNumberFormat="1" applyFont="1" applyFill="1" applyBorder="1" applyAlignment="1">
      <alignment horizontal="right" vertical="center"/>
    </xf>
    <xf numFmtId="168" fontId="7" fillId="0" borderId="52" xfId="26" applyNumberFormat="1" applyFont="1" applyFill="1" applyBorder="1" applyAlignment="1">
      <alignment horizontal="right" vertical="center"/>
    </xf>
    <xf numFmtId="0" fontId="29" fillId="0" borderId="308" xfId="3" applyFont="1" applyBorder="1" applyAlignment="1">
      <alignment horizontal="left" vertical="center"/>
    </xf>
    <xf numFmtId="168" fontId="29" fillId="0" borderId="309" xfId="3" applyNumberFormat="1" applyFont="1" applyBorder="1" applyAlignment="1">
      <alignment horizontal="right" vertical="center"/>
    </xf>
    <xf numFmtId="168" fontId="7" fillId="0" borderId="310" xfId="3" applyNumberFormat="1" applyFont="1" applyBorder="1" applyAlignment="1">
      <alignment horizontal="right" vertical="center"/>
    </xf>
    <xf numFmtId="168" fontId="7" fillId="0" borderId="308" xfId="3" applyNumberFormat="1" applyFont="1" applyBorder="1" applyAlignment="1">
      <alignment horizontal="right" vertical="center"/>
    </xf>
    <xf numFmtId="168" fontId="7" fillId="0" borderId="309" xfId="26" applyNumberFormat="1" applyFont="1" applyFill="1" applyBorder="1" applyAlignment="1">
      <alignment horizontal="right" vertical="center"/>
    </xf>
    <xf numFmtId="168" fontId="7" fillId="0" borderId="310" xfId="26" applyNumberFormat="1" applyFont="1" applyFill="1" applyBorder="1" applyAlignment="1">
      <alignment horizontal="right" vertical="center"/>
    </xf>
    <xf numFmtId="168" fontId="7" fillId="0" borderId="308" xfId="26" applyNumberFormat="1" applyFont="1" applyFill="1" applyBorder="1" applyAlignment="1">
      <alignment horizontal="right" vertical="center"/>
    </xf>
    <xf numFmtId="168" fontId="7" fillId="0" borderId="311" xfId="26" applyNumberFormat="1" applyFont="1" applyFill="1" applyBorder="1" applyAlignment="1">
      <alignment horizontal="right" vertical="center"/>
    </xf>
    <xf numFmtId="0" fontId="41" fillId="0" borderId="195" xfId="3" applyFont="1" applyBorder="1" applyAlignment="1">
      <alignment horizontal="left" vertical="center" indent="1"/>
    </xf>
    <xf numFmtId="0" fontId="29" fillId="0" borderId="106" xfId="3" applyFont="1" applyBorder="1" applyAlignment="1">
      <alignment vertical="center" wrapText="1"/>
    </xf>
    <xf numFmtId="0" fontId="29" fillId="0" borderId="107" xfId="3" applyFont="1" applyBorder="1" applyAlignment="1">
      <alignment vertical="center"/>
    </xf>
    <xf numFmtId="0" fontId="29" fillId="0" borderId="108" xfId="3" applyFont="1" applyBorder="1" applyAlignment="1">
      <alignment vertical="center"/>
    </xf>
    <xf numFmtId="0" fontId="29" fillId="0" borderId="106" xfId="3" applyFont="1" applyBorder="1" applyAlignment="1">
      <alignment vertical="center"/>
    </xf>
    <xf numFmtId="0" fontId="17" fillId="0" borderId="106" xfId="3" applyFont="1" applyBorder="1" applyAlignment="1">
      <alignment vertical="center" wrapText="1"/>
    </xf>
    <xf numFmtId="166" fontId="29" fillId="0" borderId="107" xfId="3" applyNumberFormat="1" applyFont="1" applyBorder="1" applyAlignment="1">
      <alignment horizontal="right" vertical="center"/>
    </xf>
    <xf numFmtId="166" fontId="7" fillId="0" borderId="107" xfId="3" applyNumberFormat="1" applyFont="1" applyBorder="1" applyAlignment="1">
      <alignment horizontal="right" vertical="center"/>
    </xf>
    <xf numFmtId="166" fontId="7" fillId="0" borderId="109" xfId="3" applyNumberFormat="1" applyFont="1" applyBorder="1" applyAlignment="1">
      <alignment horizontal="right" vertical="center"/>
    </xf>
    <xf numFmtId="166" fontId="7" fillId="0" borderId="107" xfId="3" applyNumberFormat="1" applyFont="1" applyBorder="1" applyAlignment="1">
      <alignment vertical="center"/>
    </xf>
    <xf numFmtId="166" fontId="7" fillId="0" borderId="108" xfId="3" applyNumberFormat="1" applyFont="1" applyBorder="1" applyAlignment="1">
      <alignment vertical="center"/>
    </xf>
    <xf numFmtId="0" fontId="27" fillId="0" borderId="312" xfId="5" applyFont="1" applyBorder="1" applyAlignment="1">
      <alignment vertical="center"/>
    </xf>
    <xf numFmtId="166" fontId="29" fillId="0" borderId="313" xfId="3" applyNumberFormat="1" applyFont="1" applyBorder="1" applyAlignment="1">
      <alignment horizontal="right" vertical="center"/>
    </xf>
    <xf numFmtId="166" fontId="7" fillId="0" borderId="314" xfId="3" applyNumberFormat="1" applyFont="1" applyBorder="1" applyAlignment="1">
      <alignment horizontal="right" vertical="center"/>
    </xf>
    <xf numFmtId="166" fontId="7" fillId="0" borderId="315" xfId="3" applyNumberFormat="1" applyFont="1" applyBorder="1" applyAlignment="1">
      <alignment horizontal="right" vertical="center"/>
    </xf>
    <xf numFmtId="165" fontId="7" fillId="0" borderId="316" xfId="3" applyNumberFormat="1" applyFont="1" applyBorder="1" applyAlignment="1">
      <alignment vertical="center"/>
    </xf>
    <xf numFmtId="165" fontId="7" fillId="0" borderId="317" xfId="3" applyNumberFormat="1" applyFont="1" applyBorder="1" applyAlignment="1">
      <alignment vertical="center"/>
    </xf>
    <xf numFmtId="166" fontId="7" fillId="0" borderId="314" xfId="3" applyNumberFormat="1" applyFont="1" applyBorder="1" applyAlignment="1">
      <alignment vertical="center"/>
    </xf>
    <xf numFmtId="0" fontId="28" fillId="0" borderId="145" xfId="5" applyFont="1" applyBorder="1" applyAlignment="1">
      <alignment horizontal="left" vertical="center" indent="1"/>
    </xf>
    <xf numFmtId="0" fontId="28" fillId="0" borderId="318" xfId="5" applyFont="1" applyBorder="1" applyAlignment="1">
      <alignment horizontal="left" vertical="center" indent="1"/>
    </xf>
    <xf numFmtId="0" fontId="27" fillId="0" borderId="318" xfId="5" applyFont="1" applyBorder="1" applyAlignment="1">
      <alignment horizontal="left" vertical="center" indent="1"/>
    </xf>
    <xf numFmtId="0" fontId="27" fillId="0" borderId="319" xfId="5" applyFont="1" applyBorder="1" applyAlignment="1">
      <alignment horizontal="left" vertical="center" indent="1"/>
    </xf>
    <xf numFmtId="165" fontId="27" fillId="0" borderId="320" xfId="5" applyNumberFormat="1" applyFont="1" applyBorder="1" applyAlignment="1">
      <alignment horizontal="right"/>
    </xf>
    <xf numFmtId="165" fontId="28" fillId="0" borderId="200" xfId="5" applyNumberFormat="1" applyFont="1" applyBorder="1" applyAlignment="1">
      <alignment horizontal="right"/>
    </xf>
    <xf numFmtId="0" fontId="27" fillId="0" borderId="321" xfId="5" applyFont="1" applyBorder="1" applyAlignment="1">
      <alignment horizontal="left" vertical="center" indent="1"/>
    </xf>
    <xf numFmtId="0" fontId="27" fillId="0" borderId="144" xfId="5" applyFont="1" applyBorder="1" applyAlignment="1">
      <alignment vertical="center"/>
    </xf>
    <xf numFmtId="165" fontId="27" fillId="0" borderId="190" xfId="5" applyNumberFormat="1" applyFont="1" applyBorder="1" applyAlignment="1">
      <alignment horizontal="right"/>
    </xf>
    <xf numFmtId="165" fontId="28" fillId="0" borderId="191" xfId="5" applyNumberFormat="1" applyFont="1" applyBorder="1" applyAlignment="1">
      <alignment horizontal="right"/>
    </xf>
    <xf numFmtId="165" fontId="28" fillId="0" borderId="201" xfId="5" applyNumberFormat="1" applyFont="1" applyBorder="1"/>
    <xf numFmtId="165" fontId="28" fillId="0" borderId="191" xfId="5" applyNumberFormat="1" applyFont="1" applyBorder="1"/>
    <xf numFmtId="165" fontId="28" fillId="0" borderId="200" xfId="5" applyNumberFormat="1" applyFont="1" applyBorder="1"/>
    <xf numFmtId="165" fontId="28" fillId="0" borderId="322" xfId="5" applyNumberFormat="1" applyFont="1" applyBorder="1"/>
    <xf numFmtId="0" fontId="27" fillId="0" borderId="323" xfId="5" applyFont="1" applyBorder="1" applyAlignment="1">
      <alignment horizontal="left" vertical="center" indent="1"/>
    </xf>
    <xf numFmtId="0" fontId="17" fillId="0" borderId="106" xfId="5" applyFont="1" applyBorder="1" applyAlignment="1">
      <alignment horizontal="left" vertical="center"/>
    </xf>
    <xf numFmtId="165" fontId="27" fillId="0" borderId="85" xfId="5" applyNumberFormat="1" applyFont="1" applyBorder="1" applyAlignment="1">
      <alignment horizontal="right"/>
    </xf>
    <xf numFmtId="165" fontId="28" fillId="0" borderId="86" xfId="5" applyNumberFormat="1" applyFont="1" applyBorder="1" applyAlignment="1">
      <alignment horizontal="right"/>
    </xf>
    <xf numFmtId="165" fontId="28" fillId="0" borderId="84" xfId="5" applyNumberFormat="1" applyFont="1" applyBorder="1" applyAlignment="1">
      <alignment horizontal="right"/>
    </xf>
    <xf numFmtId="165" fontId="28" fillId="0" borderId="85" xfId="5" applyNumberFormat="1" applyFont="1" applyBorder="1"/>
    <xf numFmtId="165" fontId="28" fillId="0" borderId="86" xfId="5" applyNumberFormat="1" applyFont="1" applyBorder="1"/>
    <xf numFmtId="165" fontId="28" fillId="0" borderId="84" xfId="5" applyNumberFormat="1" applyFont="1" applyBorder="1"/>
    <xf numFmtId="165" fontId="28" fillId="0" borderId="324" xfId="5" applyNumberFormat="1" applyFont="1" applyBorder="1"/>
    <xf numFmtId="165" fontId="7" fillId="0" borderId="325" xfId="3" applyNumberFormat="1" applyFont="1" applyBorder="1" applyAlignment="1">
      <alignment vertical="center"/>
    </xf>
    <xf numFmtId="165" fontId="7" fillId="0" borderId="86" xfId="3" applyNumberFormat="1" applyFont="1" applyBorder="1" applyAlignment="1">
      <alignment vertical="center"/>
    </xf>
    <xf numFmtId="39" fontId="29" fillId="0" borderId="233" xfId="3" applyNumberFormat="1" applyFont="1" applyBorder="1" applyAlignment="1">
      <alignment vertical="center"/>
    </xf>
    <xf numFmtId="39" fontId="7" fillId="0" borderId="33" xfId="3" applyNumberFormat="1" applyFont="1" applyBorder="1" applyAlignment="1">
      <alignment vertical="center"/>
    </xf>
    <xf numFmtId="39" fontId="7" fillId="0" borderId="229" xfId="3" applyNumberFormat="1" applyFont="1" applyBorder="1" applyAlignment="1">
      <alignment vertical="center"/>
    </xf>
    <xf numFmtId="39" fontId="7" fillId="0" borderId="233" xfId="3" applyNumberFormat="1" applyFont="1" applyBorder="1" applyAlignment="1">
      <alignment vertical="center"/>
    </xf>
    <xf numFmtId="39" fontId="7" fillId="0" borderId="30" xfId="3" applyNumberFormat="1" applyFont="1" applyBorder="1" applyAlignment="1">
      <alignment vertical="center"/>
    </xf>
    <xf numFmtId="0" fontId="27" fillId="0" borderId="49" xfId="5" applyFont="1" applyBorder="1" applyAlignment="1">
      <alignment horizontal="left" vertical="center" indent="1"/>
    </xf>
    <xf numFmtId="0" fontId="28" fillId="0" borderId="318" xfId="5" applyFont="1" applyBorder="1" applyAlignment="1">
      <alignment horizontal="left" vertical="center" indent="2"/>
    </xf>
    <xf numFmtId="185" fontId="7" fillId="0" borderId="33" xfId="3" applyNumberFormat="1" applyFont="1" applyBorder="1" applyAlignment="1">
      <alignment vertical="center"/>
    </xf>
    <xf numFmtId="185" fontId="7" fillId="0" borderId="229" xfId="3" applyNumberFormat="1" applyFont="1" applyBorder="1" applyAlignment="1">
      <alignment vertical="center"/>
    </xf>
    <xf numFmtId="185" fontId="7" fillId="0" borderId="30" xfId="3" applyNumberFormat="1" applyFont="1" applyBorder="1" applyAlignment="1">
      <alignment vertical="center"/>
    </xf>
    <xf numFmtId="0" fontId="17" fillId="0" borderId="84" xfId="5" applyFont="1" applyBorder="1" applyAlignment="1">
      <alignment vertical="center"/>
    </xf>
    <xf numFmtId="0" fontId="28" fillId="0" borderId="200" xfId="5" applyFont="1" applyBorder="1" applyAlignment="1">
      <alignment horizontal="left" vertical="center" indent="1"/>
    </xf>
    <xf numFmtId="0" fontId="28" fillId="0" borderId="203" xfId="5" applyFont="1" applyBorder="1" applyAlignment="1">
      <alignment horizontal="left" vertical="center" indent="1"/>
    </xf>
    <xf numFmtId="0" fontId="27" fillId="0" borderId="85" xfId="5" applyFont="1" applyBorder="1"/>
    <xf numFmtId="0" fontId="28" fillId="0" borderId="86" xfId="5" applyFont="1" applyBorder="1"/>
    <xf numFmtId="0" fontId="28" fillId="0" borderId="84" xfId="5" applyFont="1" applyBorder="1"/>
    <xf numFmtId="0" fontId="27" fillId="0" borderId="86" xfId="5" applyFont="1" applyBorder="1"/>
    <xf numFmtId="0" fontId="27" fillId="0" borderId="84" xfId="5" applyFont="1" applyBorder="1"/>
    <xf numFmtId="0" fontId="28" fillId="0" borderId="45" xfId="5" applyFont="1" applyBorder="1" applyAlignment="1">
      <alignment horizontal="left" vertical="center" indent="1"/>
    </xf>
    <xf numFmtId="0" fontId="27" fillId="0" borderId="326" xfId="5" applyFont="1" applyBorder="1" applyAlignment="1">
      <alignment horizontal="left" vertical="center" indent="1"/>
    </xf>
    <xf numFmtId="0" fontId="27" fillId="0" borderId="327" xfId="5" applyFont="1" applyBorder="1" applyAlignment="1">
      <alignment horizontal="left" vertical="center" indent="1"/>
    </xf>
    <xf numFmtId="41" fontId="27" fillId="0" borderId="85" xfId="5" applyNumberFormat="1" applyFont="1" applyBorder="1" applyAlignment="1">
      <alignment horizontal="right"/>
    </xf>
    <xf numFmtId="41" fontId="28" fillId="0" borderId="86" xfId="5" applyNumberFormat="1" applyFont="1" applyBorder="1" applyAlignment="1">
      <alignment horizontal="right"/>
    </xf>
    <xf numFmtId="41" fontId="28" fillId="0" borderId="84" xfId="5" applyNumberFormat="1" applyFont="1" applyBorder="1" applyAlignment="1">
      <alignment horizontal="right"/>
    </xf>
    <xf numFmtId="41" fontId="28" fillId="0" borderId="85" xfId="5" applyNumberFormat="1" applyFont="1" applyBorder="1"/>
    <xf numFmtId="41" fontId="28" fillId="0" borderId="86" xfId="5" applyNumberFormat="1" applyFont="1" applyBorder="1"/>
    <xf numFmtId="41" fontId="28" fillId="0" borderId="84" xfId="5" applyNumberFormat="1" applyFont="1" applyBorder="1"/>
    <xf numFmtId="0" fontId="40" fillId="0" borderId="103" xfId="3" applyFont="1" applyBorder="1"/>
    <xf numFmtId="0" fontId="40" fillId="0" borderId="39" xfId="3" applyFont="1" applyBorder="1"/>
    <xf numFmtId="0" fontId="29" fillId="0" borderId="106" xfId="3" applyFont="1" applyBorder="1" applyAlignment="1" applyProtection="1">
      <alignment horizontal="left" vertical="center"/>
      <protection locked="0"/>
    </xf>
    <xf numFmtId="0" fontId="7" fillId="0" borderId="109" xfId="3" applyFont="1" applyBorder="1" applyAlignment="1" applyProtection="1">
      <alignment vertical="center"/>
      <protection locked="0"/>
    </xf>
    <xf numFmtId="166" fontId="7" fillId="0" borderId="107" xfId="26" applyNumberFormat="1" applyFont="1" applyBorder="1" applyAlignment="1" applyProtection="1">
      <alignment horizontal="right" vertical="center"/>
    </xf>
    <xf numFmtId="166" fontId="7" fillId="0" borderId="108" xfId="26" applyNumberFormat="1" applyFont="1" applyBorder="1" applyAlignment="1" applyProtection="1">
      <alignment horizontal="right" vertical="center"/>
    </xf>
    <xf numFmtId="166" fontId="7" fillId="0" borderId="106" xfId="26" applyNumberFormat="1" applyFont="1" applyBorder="1" applyAlignment="1" applyProtection="1">
      <alignment horizontal="right" vertical="center"/>
    </xf>
    <xf numFmtId="166" fontId="7" fillId="0" borderId="109" xfId="26" applyNumberFormat="1" applyFont="1" applyBorder="1" applyAlignment="1" applyProtection="1">
      <alignment horizontal="right" vertical="center"/>
    </xf>
    <xf numFmtId="166" fontId="7" fillId="0" borderId="107" xfId="26" applyNumberFormat="1" applyFont="1" applyBorder="1" applyAlignment="1" applyProtection="1">
      <alignment vertical="center"/>
      <protection locked="0"/>
    </xf>
    <xf numFmtId="166" fontId="7" fillId="0" borderId="108" xfId="26" applyNumberFormat="1" applyFont="1" applyBorder="1" applyAlignment="1" applyProtection="1">
      <alignment vertical="center"/>
    </xf>
    <xf numFmtId="0" fontId="27" fillId="0" borderId="144" xfId="16" applyFont="1" applyBorder="1" applyAlignment="1">
      <alignment vertical="center"/>
    </xf>
    <xf numFmtId="41" fontId="29" fillId="0" borderId="115" xfId="3" applyNumberFormat="1" applyFont="1" applyBorder="1" applyAlignment="1" applyProtection="1">
      <alignment vertical="center"/>
      <protection locked="0"/>
    </xf>
    <xf numFmtId="41" fontId="7" fillId="0" borderId="116" xfId="3" applyNumberFormat="1" applyFont="1" applyBorder="1" applyAlignment="1">
      <alignment vertical="center"/>
    </xf>
    <xf numFmtId="41" fontId="7" fillId="0" borderId="114" xfId="3" applyNumberFormat="1" applyFont="1" applyBorder="1" applyAlignment="1">
      <alignment horizontal="right" vertical="center"/>
    </xf>
    <xf numFmtId="171" fontId="7" fillId="0" borderId="328" xfId="26" applyNumberFormat="1" applyFont="1" applyFill="1" applyBorder="1" applyAlignment="1" applyProtection="1">
      <alignment horizontal="left" vertical="center"/>
    </xf>
    <xf numFmtId="171" fontId="7" fillId="0" borderId="329" xfId="26" applyNumberFormat="1" applyFont="1" applyFill="1" applyBorder="1" applyAlignment="1" applyProtection="1">
      <alignment horizontal="left" vertical="center"/>
    </xf>
    <xf numFmtId="171" fontId="7" fillId="0" borderId="330" xfId="26" applyNumberFormat="1" applyFont="1" applyFill="1" applyBorder="1" applyAlignment="1" applyProtection="1">
      <alignment horizontal="left" vertical="center"/>
    </xf>
    <xf numFmtId="0" fontId="7" fillId="0" borderId="117" xfId="26" applyNumberFormat="1" applyFont="1" applyFill="1" applyBorder="1" applyAlignment="1" applyProtection="1">
      <alignment horizontal="left" vertical="center"/>
    </xf>
    <xf numFmtId="171" fontId="7" fillId="0" borderId="115" xfId="26" applyNumberFormat="1" applyFont="1" applyFill="1" applyBorder="1" applyAlignment="1" applyProtection="1">
      <alignment vertical="center"/>
      <protection locked="0"/>
    </xf>
    <xf numFmtId="171" fontId="7" fillId="0" borderId="116" xfId="26" applyNumberFormat="1" applyFont="1" applyFill="1" applyBorder="1" applyAlignment="1" applyProtection="1">
      <alignment vertical="center"/>
    </xf>
    <xf numFmtId="0" fontId="28" fillId="0" borderId="331" xfId="16" applyFont="1" applyBorder="1" applyAlignment="1">
      <alignment horizontal="left" vertical="center" indent="1"/>
    </xf>
    <xf numFmtId="165" fontId="27" fillId="0" borderId="332" xfId="16" applyNumberFormat="1" applyFont="1" applyBorder="1" applyAlignment="1">
      <alignment horizontal="right" vertical="center"/>
    </xf>
    <xf numFmtId="165" fontId="28" fillId="0" borderId="191" xfId="16" applyNumberFormat="1" applyFont="1" applyBorder="1" applyAlignment="1">
      <alignment horizontal="right" vertical="center"/>
    </xf>
    <xf numFmtId="165" fontId="28" fillId="0" borderId="333" xfId="16" applyNumberFormat="1" applyFont="1" applyBorder="1" applyAlignment="1">
      <alignment horizontal="right" vertical="center"/>
    </xf>
    <xf numFmtId="165" fontId="28" fillId="0" borderId="320" xfId="16" applyNumberFormat="1" applyFont="1" applyBorder="1" applyAlignment="1">
      <alignment horizontal="right" vertical="center"/>
    </xf>
    <xf numFmtId="165" fontId="28" fillId="0" borderId="334" xfId="16" applyNumberFormat="1" applyFont="1" applyBorder="1" applyAlignment="1">
      <alignment horizontal="right" vertical="center"/>
    </xf>
    <xf numFmtId="0" fontId="28" fillId="0" borderId="318" xfId="16" applyFont="1" applyBorder="1" applyAlignment="1">
      <alignment horizontal="left" vertical="center" indent="1"/>
    </xf>
    <xf numFmtId="165" fontId="27" fillId="0" borderId="320" xfId="16" applyNumberFormat="1" applyFont="1" applyBorder="1" applyAlignment="1">
      <alignment horizontal="right" vertical="center"/>
    </xf>
    <xf numFmtId="0" fontId="27" fillId="0" borderId="318" xfId="16" applyFont="1" applyBorder="1" applyAlignment="1">
      <alignment horizontal="left" vertical="center" indent="1"/>
    </xf>
    <xf numFmtId="0" fontId="27" fillId="0" borderId="335" xfId="16" applyFont="1" applyBorder="1" applyAlignment="1">
      <alignment horizontal="left" vertical="center" indent="1"/>
    </xf>
    <xf numFmtId="165" fontId="27" fillId="0" borderId="190" xfId="16" applyNumberFormat="1" applyFont="1" applyBorder="1" applyAlignment="1">
      <alignment horizontal="right" vertical="center"/>
    </xf>
    <xf numFmtId="0" fontId="27" fillId="0" borderId="336" xfId="16" applyFont="1" applyBorder="1" applyAlignment="1">
      <alignment horizontal="left" vertical="center" indent="1"/>
    </xf>
    <xf numFmtId="165" fontId="28" fillId="0" borderId="337" xfId="16" applyNumberFormat="1" applyFont="1" applyBorder="1" applyAlignment="1">
      <alignment horizontal="right" vertical="center"/>
    </xf>
    <xf numFmtId="0" fontId="7" fillId="0" borderId="338" xfId="3" applyFont="1" applyBorder="1" applyAlignment="1">
      <alignment vertical="center"/>
    </xf>
    <xf numFmtId="41" fontId="7" fillId="0" borderId="107" xfId="26" applyNumberFormat="1" applyFont="1" applyFill="1" applyBorder="1" applyAlignment="1" applyProtection="1">
      <alignment vertical="center"/>
      <protection locked="0"/>
    </xf>
    <xf numFmtId="41" fontId="7" fillId="0" borderId="108" xfId="26" applyNumberFormat="1" applyFont="1" applyFill="1" applyBorder="1" applyAlignment="1" applyProtection="1">
      <alignment vertical="center"/>
    </xf>
    <xf numFmtId="10" fontId="29" fillId="0" borderId="119" xfId="1" applyNumberFormat="1" applyFont="1" applyBorder="1" applyAlignment="1" applyProtection="1">
      <alignment horizontal="right" vertical="center"/>
      <protection locked="0"/>
    </xf>
    <xf numFmtId="10" fontId="7" fillId="0" borderId="120" xfId="1" applyNumberFormat="1" applyFont="1" applyBorder="1" applyAlignment="1">
      <alignment horizontal="right" vertical="center"/>
    </xf>
    <xf numFmtId="10" fontId="7" fillId="0" borderId="118" xfId="1" applyNumberFormat="1" applyFont="1" applyBorder="1" applyAlignment="1">
      <alignment horizontal="right" vertical="center"/>
    </xf>
    <xf numFmtId="10" fontId="7" fillId="0" borderId="119" xfId="1" applyNumberFormat="1" applyFont="1" applyBorder="1" applyAlignment="1">
      <alignment vertical="center"/>
    </xf>
    <xf numFmtId="10" fontId="7" fillId="0" borderId="339" xfId="1" applyNumberFormat="1" applyFont="1" applyBorder="1" applyAlignment="1">
      <alignment vertical="center"/>
    </xf>
    <xf numFmtId="10" fontId="7" fillId="0" borderId="119" xfId="1" applyNumberFormat="1" applyFont="1" applyFill="1" applyBorder="1" applyAlignment="1" applyProtection="1">
      <alignment horizontal="right" vertical="center"/>
      <protection locked="0"/>
    </xf>
    <xf numFmtId="10" fontId="7" fillId="0" borderId="120" xfId="1" applyNumberFormat="1" applyFont="1" applyFill="1" applyBorder="1" applyAlignment="1" applyProtection="1">
      <alignment vertical="center"/>
    </xf>
    <xf numFmtId="165" fontId="27" fillId="0" borderId="320" xfId="16" applyNumberFormat="1" applyFont="1" applyBorder="1" applyAlignment="1">
      <alignment horizontal="right"/>
    </xf>
    <xf numFmtId="165" fontId="28" fillId="0" borderId="191" xfId="16" applyNumberFormat="1" applyFont="1" applyBorder="1" applyAlignment="1">
      <alignment horizontal="right"/>
    </xf>
    <xf numFmtId="165" fontId="28" fillId="0" borderId="200" xfId="16" quotePrefix="1" applyNumberFormat="1" applyFont="1" applyBorder="1" applyAlignment="1">
      <alignment horizontal="right"/>
    </xf>
    <xf numFmtId="165" fontId="28" fillId="0" borderId="201" xfId="16" applyNumberFormat="1" applyFont="1" applyBorder="1"/>
    <xf numFmtId="165" fontId="28" fillId="0" borderId="191" xfId="16" applyNumberFormat="1" applyFont="1" applyBorder="1"/>
    <xf numFmtId="165" fontId="28" fillId="0" borderId="200" xfId="16" applyNumberFormat="1" applyFont="1" applyBorder="1"/>
    <xf numFmtId="165" fontId="28" fillId="0" borderId="340" xfId="16" applyNumberFormat="1" applyFont="1" applyBorder="1"/>
    <xf numFmtId="184" fontId="27" fillId="0" borderId="320" xfId="1" applyNumberFormat="1" applyFont="1" applyBorder="1" applyAlignment="1">
      <alignment horizontal="right"/>
    </xf>
    <xf numFmtId="184" fontId="28" fillId="0" borderId="191" xfId="1" applyNumberFormat="1" applyFont="1" applyBorder="1" applyAlignment="1">
      <alignment horizontal="right"/>
    </xf>
    <xf numFmtId="184" fontId="28" fillId="0" borderId="200" xfId="1" quotePrefix="1" applyNumberFormat="1" applyFont="1" applyBorder="1" applyAlignment="1">
      <alignment horizontal="right"/>
    </xf>
    <xf numFmtId="184" fontId="28" fillId="0" borderId="201" xfId="1" applyNumberFormat="1" applyFont="1" applyBorder="1"/>
    <xf numFmtId="184" fontId="28" fillId="0" borderId="191" xfId="1" applyNumberFormat="1" applyFont="1" applyBorder="1"/>
    <xf numFmtId="184" fontId="28" fillId="0" borderId="200" xfId="1" applyNumberFormat="1" applyFont="1" applyBorder="1"/>
    <xf numFmtId="184" fontId="28" fillId="0" borderId="340" xfId="1" applyNumberFormat="1" applyFont="1" applyBorder="1"/>
    <xf numFmtId="184" fontId="7" fillId="0" borderId="115" xfId="1" applyNumberFormat="1" applyFont="1" applyFill="1" applyBorder="1" applyAlignment="1" applyProtection="1">
      <alignment vertical="center"/>
      <protection locked="0"/>
    </xf>
    <xf numFmtId="184" fontId="7" fillId="0" borderId="116" xfId="1" applyNumberFormat="1" applyFont="1" applyFill="1" applyBorder="1" applyAlignment="1" applyProtection="1">
      <alignment vertical="center"/>
    </xf>
    <xf numFmtId="10" fontId="27" fillId="0" borderId="320" xfId="1" applyNumberFormat="1" applyFont="1" applyBorder="1" applyAlignment="1">
      <alignment horizontal="right"/>
    </xf>
    <xf numFmtId="10" fontId="28" fillId="0" borderId="191" xfId="1" applyNumberFormat="1" applyFont="1" applyBorder="1" applyAlignment="1">
      <alignment horizontal="right"/>
    </xf>
    <xf numFmtId="10" fontId="28" fillId="0" borderId="200" xfId="1" quotePrefix="1" applyNumberFormat="1" applyFont="1" applyBorder="1" applyAlignment="1">
      <alignment horizontal="right"/>
    </xf>
    <xf numFmtId="10" fontId="28" fillId="0" borderId="201" xfId="1" applyNumberFormat="1" applyFont="1" applyBorder="1"/>
    <xf numFmtId="10" fontId="28" fillId="0" borderId="191" xfId="1" applyNumberFormat="1" applyFont="1" applyBorder="1"/>
    <xf numFmtId="10" fontId="28" fillId="0" borderId="200" xfId="1" applyNumberFormat="1" applyFont="1" applyBorder="1"/>
    <xf numFmtId="10" fontId="28" fillId="0" borderId="340" xfId="1" applyNumberFormat="1" applyFont="1" applyBorder="1"/>
    <xf numFmtId="10" fontId="7" fillId="0" borderId="115" xfId="1" applyNumberFormat="1" applyFont="1" applyFill="1" applyBorder="1" applyAlignment="1" applyProtection="1">
      <alignment vertical="center"/>
      <protection locked="0"/>
    </xf>
    <xf numFmtId="10" fontId="7" fillId="0" borderId="116" xfId="1" applyNumberFormat="1" applyFont="1" applyFill="1" applyBorder="1" applyAlignment="1" applyProtection="1">
      <alignment vertical="center"/>
    </xf>
    <xf numFmtId="165" fontId="28" fillId="0" borderId="341" xfId="16" applyNumberFormat="1" applyFont="1" applyBorder="1"/>
    <xf numFmtId="0" fontId="28" fillId="0" borderId="318" xfId="16" applyFont="1" applyBorder="1" applyAlignment="1">
      <alignment horizontal="left" vertical="center" indent="2"/>
    </xf>
    <xf numFmtId="168" fontId="19" fillId="0" borderId="107" xfId="26" applyNumberFormat="1" applyFont="1" applyFill="1" applyBorder="1" applyAlignment="1" applyProtection="1">
      <alignment horizontal="right" vertical="center"/>
      <protection locked="0"/>
    </xf>
    <xf numFmtId="168" fontId="19" fillId="0" borderId="108" xfId="26" applyNumberFormat="1" applyFont="1" applyFill="1" applyBorder="1" applyAlignment="1" applyProtection="1">
      <alignment vertical="center"/>
    </xf>
    <xf numFmtId="0" fontId="7" fillId="0" borderId="122" xfId="3" applyFont="1" applyBorder="1" applyAlignment="1" applyProtection="1">
      <alignment horizontal="left" vertical="center"/>
      <protection locked="0"/>
    </xf>
    <xf numFmtId="168" fontId="29" fillId="0" borderId="123" xfId="3" applyNumberFormat="1" applyFont="1" applyBorder="1" applyAlignment="1" applyProtection="1">
      <alignment horizontal="right" vertical="center"/>
      <protection locked="0"/>
    </xf>
    <xf numFmtId="168" fontId="7" fillId="0" borderId="323" xfId="3" applyNumberFormat="1" applyFont="1" applyBorder="1" applyAlignment="1">
      <alignment horizontal="right" vertical="center"/>
    </xf>
    <xf numFmtId="168" fontId="7" fillId="0" borderId="123" xfId="3" applyNumberFormat="1" applyFont="1" applyBorder="1" applyAlignment="1">
      <alignment vertical="center"/>
    </xf>
    <xf numFmtId="168" fontId="7" fillId="0" borderId="124" xfId="3" applyNumberFormat="1" applyFont="1" applyBorder="1" applyAlignment="1">
      <alignment vertical="center"/>
    </xf>
    <xf numFmtId="168" fontId="7" fillId="0" borderId="122" xfId="3" applyNumberFormat="1" applyFont="1" applyBorder="1" applyAlignment="1">
      <alignment vertical="center"/>
    </xf>
    <xf numFmtId="168" fontId="7" fillId="0" borderId="342" xfId="3" applyNumberFormat="1" applyFont="1" applyBorder="1" applyAlignment="1">
      <alignment vertical="center"/>
    </xf>
    <xf numFmtId="168" fontId="7" fillId="0" borderId="123" xfId="26" applyNumberFormat="1" applyFont="1" applyFill="1" applyBorder="1" applyAlignment="1" applyProtection="1">
      <alignment horizontal="right" vertical="center"/>
      <protection locked="0"/>
    </xf>
    <xf numFmtId="168" fontId="7" fillId="0" borderId="105" xfId="26" applyNumberFormat="1" applyFont="1" applyFill="1" applyBorder="1" applyAlignment="1" applyProtection="1">
      <alignment vertical="center"/>
    </xf>
    <xf numFmtId="0" fontId="39" fillId="0" borderId="343" xfId="3" applyFont="1" applyBorder="1" applyAlignment="1" applyProtection="1">
      <alignment horizontal="left" vertical="center"/>
      <protection locked="0"/>
    </xf>
    <xf numFmtId="169" fontId="39" fillId="0" borderId="343" xfId="3" applyNumberFormat="1" applyFont="1" applyBorder="1" applyAlignment="1" applyProtection="1">
      <alignment vertical="center"/>
      <protection locked="0"/>
    </xf>
    <xf numFmtId="169" fontId="40" fillId="0" borderId="343" xfId="3" applyNumberFormat="1" applyFont="1" applyBorder="1" applyAlignment="1" applyProtection="1">
      <alignment vertical="center"/>
      <protection locked="0"/>
    </xf>
    <xf numFmtId="169" fontId="40" fillId="0" borderId="343" xfId="26" applyNumberFormat="1" applyFont="1" applyBorder="1" applyAlignment="1" applyProtection="1">
      <alignment vertical="center"/>
      <protection locked="0"/>
    </xf>
    <xf numFmtId="0" fontId="20" fillId="0" borderId="84" xfId="34" applyFont="1" applyBorder="1" applyAlignment="1">
      <alignment horizontal="left" vertical="center" wrapText="1"/>
    </xf>
    <xf numFmtId="0" fontId="15" fillId="0" borderId="85" xfId="3" applyFont="1" applyBorder="1" applyAlignment="1">
      <alignment vertical="center"/>
    </xf>
    <xf numFmtId="0" fontId="15" fillId="0" borderId="86" xfId="3" applyFont="1" applyBorder="1" applyAlignment="1">
      <alignment vertical="center"/>
    </xf>
    <xf numFmtId="0" fontId="15" fillId="0" borderId="344" xfId="3" applyFont="1" applyBorder="1" applyAlignment="1">
      <alignment vertical="center"/>
    </xf>
    <xf numFmtId="0" fontId="60" fillId="0" borderId="345" xfId="3" applyFont="1" applyBorder="1" applyAlignment="1">
      <alignment vertical="center"/>
    </xf>
    <xf numFmtId="0" fontId="60" fillId="0" borderId="86" xfId="3" applyFont="1" applyBorder="1" applyAlignment="1">
      <alignment vertical="center"/>
    </xf>
    <xf numFmtId="0" fontId="60" fillId="0" borderId="84" xfId="3" applyFont="1" applyBorder="1" applyAlignment="1">
      <alignment vertical="center"/>
    </xf>
    <xf numFmtId="0" fontId="60" fillId="0" borderId="85" xfId="3" applyFont="1" applyBorder="1" applyAlignment="1">
      <alignment horizontal="center" vertical="center"/>
    </xf>
    <xf numFmtId="0" fontId="47" fillId="0" borderId="84" xfId="34" applyFont="1" applyBorder="1" applyAlignment="1">
      <alignment horizontal="left" vertical="center" wrapText="1"/>
    </xf>
    <xf numFmtId="0" fontId="20" fillId="0" borderId="85" xfId="34" applyFont="1" applyBorder="1" applyAlignment="1">
      <alignment horizontal="right" vertical="center" wrapText="1"/>
    </xf>
    <xf numFmtId="0" fontId="19" fillId="0" borderId="86" xfId="34" applyFont="1" applyBorder="1" applyAlignment="1">
      <alignment horizontal="right" vertical="center" wrapText="1"/>
    </xf>
    <xf numFmtId="183" fontId="19" fillId="0" borderId="86" xfId="34" applyNumberFormat="1" applyFont="1" applyBorder="1" applyAlignment="1">
      <alignment horizontal="right" vertical="center" wrapText="1"/>
    </xf>
    <xf numFmtId="183" fontId="19" fillId="0" borderId="84" xfId="34" applyNumberFormat="1" applyFont="1" applyBorder="1" applyAlignment="1">
      <alignment horizontal="right" vertical="center" wrapText="1"/>
    </xf>
    <xf numFmtId="183" fontId="28" fillId="0" borderId="85" xfId="34" applyNumberFormat="1" applyFont="1" applyBorder="1" applyAlignment="1">
      <alignment horizontal="right" vertical="center" wrapText="1"/>
    </xf>
    <xf numFmtId="183" fontId="28" fillId="0" borderId="103" xfId="34" applyNumberFormat="1" applyFont="1" applyBorder="1" applyAlignment="1">
      <alignment horizontal="right" vertical="center" wrapText="1"/>
    </xf>
    <xf numFmtId="183" fontId="28" fillId="0" borderId="84" xfId="34" applyNumberFormat="1" applyFont="1" applyBorder="1" applyAlignment="1">
      <alignment horizontal="right" vertical="center" wrapText="1"/>
    </xf>
    <xf numFmtId="183" fontId="28" fillId="0" borderId="87" xfId="34" applyNumberFormat="1" applyFont="1" applyBorder="1" applyAlignment="1">
      <alignment horizontal="right" vertical="center" wrapText="1"/>
    </xf>
    <xf numFmtId="0" fontId="28" fillId="0" borderId="85" xfId="34" applyFont="1" applyBorder="1" applyAlignment="1">
      <alignment horizontal="right" vertical="center" wrapText="1"/>
    </xf>
    <xf numFmtId="0" fontId="28" fillId="0" borderId="86" xfId="34" applyFont="1" applyBorder="1" applyAlignment="1">
      <alignment horizontal="right" vertical="center" wrapText="1"/>
    </xf>
    <xf numFmtId="0" fontId="17" fillId="0" borderId="84" xfId="34" applyFont="1" applyBorder="1" applyAlignment="1">
      <alignment horizontal="left" vertical="center" wrapText="1"/>
    </xf>
    <xf numFmtId="0" fontId="17" fillId="0" borderId="85" xfId="34" applyFont="1" applyBorder="1" applyAlignment="1">
      <alignment horizontal="left" vertical="center" wrapText="1"/>
    </xf>
    <xf numFmtId="0" fontId="56" fillId="0" borderId="86" xfId="34" applyFont="1" applyBorder="1" applyAlignment="1">
      <alignment horizontal="left" vertical="center" wrapText="1"/>
    </xf>
    <xf numFmtId="41" fontId="29" fillId="0" borderId="86" xfId="3" applyNumberFormat="1" applyFont="1" applyBorder="1" applyAlignment="1">
      <alignment vertical="center"/>
    </xf>
    <xf numFmtId="41" fontId="7" fillId="0" borderId="84" xfId="3" applyNumberFormat="1" applyFont="1" applyBorder="1" applyAlignment="1">
      <alignment vertical="center"/>
    </xf>
    <xf numFmtId="41" fontId="19" fillId="0" borderId="85" xfId="34" applyNumberFormat="1" applyFont="1" applyBorder="1" applyAlignment="1">
      <alignment horizontal="right" vertical="center" wrapText="1"/>
    </xf>
    <xf numFmtId="41" fontId="19" fillId="0" borderId="183" xfId="34" applyNumberFormat="1" applyFont="1" applyBorder="1" applyAlignment="1">
      <alignment horizontal="right" vertical="center" wrapText="1"/>
    </xf>
    <xf numFmtId="41" fontId="19" fillId="0" borderId="84" xfId="34" applyNumberFormat="1" applyFont="1" applyBorder="1" applyAlignment="1">
      <alignment horizontal="right" vertical="center" wrapText="1"/>
    </xf>
    <xf numFmtId="41" fontId="19" fillId="0" borderId="87" xfId="34" applyNumberFormat="1" applyFont="1" applyBorder="1" applyAlignment="1">
      <alignment horizontal="right" vertical="center" wrapText="1"/>
    </xf>
    <xf numFmtId="41" fontId="28" fillId="0" borderId="85" xfId="34" applyNumberFormat="1" applyFont="1" applyBorder="1" applyAlignment="1">
      <alignment horizontal="right" vertical="center" wrapText="1"/>
    </xf>
    <xf numFmtId="0" fontId="83" fillId="0" borderId="346" xfId="34" applyFont="1" applyBorder="1" applyAlignment="1">
      <alignment horizontal="left" vertical="center" wrapText="1"/>
    </xf>
    <xf numFmtId="0" fontId="28" fillId="0" borderId="347" xfId="34" applyFont="1" applyBorder="1" applyAlignment="1">
      <alignment horizontal="left" vertical="center" wrapText="1"/>
    </xf>
    <xf numFmtId="0" fontId="84" fillId="0" borderId="347" xfId="34" applyFont="1" applyBorder="1" applyAlignment="1">
      <alignment horizontal="left" vertical="center" wrapText="1"/>
    </xf>
    <xf numFmtId="0" fontId="83" fillId="0" borderId="347" xfId="34" applyFont="1" applyBorder="1" applyAlignment="1">
      <alignment horizontal="left" vertical="center" wrapText="1"/>
    </xf>
    <xf numFmtId="0" fontId="19" fillId="0" borderId="347" xfId="34" applyFont="1" applyBorder="1" applyAlignment="1">
      <alignment horizontal="left" vertical="center" wrapText="1"/>
    </xf>
    <xf numFmtId="165" fontId="29" fillId="0" borderId="348" xfId="26" quotePrefix="1" applyNumberFormat="1" applyFont="1" applyFill="1" applyBorder="1" applyAlignment="1">
      <alignment horizontal="right" vertical="center"/>
    </xf>
    <xf numFmtId="165" fontId="7" fillId="0" borderId="347" xfId="26" quotePrefix="1" applyNumberFormat="1" applyFont="1" applyFill="1" applyBorder="1" applyAlignment="1">
      <alignment vertical="center"/>
    </xf>
    <xf numFmtId="165" fontId="7" fillId="0" borderId="348" xfId="26" applyNumberFormat="1" applyFont="1" applyBorder="1" applyAlignment="1">
      <alignment vertical="center"/>
    </xf>
    <xf numFmtId="165" fontId="20" fillId="0" borderId="348" xfId="34" applyNumberFormat="1" applyFont="1" applyBorder="1" applyAlignment="1">
      <alignment horizontal="right" vertical="center" wrapText="1"/>
    </xf>
    <xf numFmtId="41" fontId="7" fillId="0" borderId="33" xfId="3" applyNumberFormat="1" applyFont="1" applyBorder="1" applyAlignment="1">
      <alignment vertical="center" wrapText="1"/>
    </xf>
    <xf numFmtId="41" fontId="7" fillId="0" borderId="347" xfId="3" applyNumberFormat="1" applyFont="1" applyBorder="1" applyAlignment="1">
      <alignment vertical="center" wrapText="1"/>
    </xf>
    <xf numFmtId="41" fontId="7" fillId="0" borderId="348" xfId="3" applyNumberFormat="1" applyFont="1" applyBorder="1" applyAlignment="1">
      <alignment vertical="center"/>
    </xf>
    <xf numFmtId="41" fontId="7" fillId="0" borderId="33" xfId="3" applyNumberFormat="1" applyFont="1" applyBorder="1" applyAlignment="1">
      <alignment vertical="center"/>
    </xf>
    <xf numFmtId="41" fontId="7" fillId="0" borderId="347" xfId="3" applyNumberFormat="1" applyFont="1" applyBorder="1" applyAlignment="1">
      <alignment vertical="center"/>
    </xf>
    <xf numFmtId="41" fontId="7" fillId="0" borderId="349" xfId="3" applyNumberFormat="1" applyFont="1" applyBorder="1" applyAlignment="1">
      <alignment vertical="center"/>
    </xf>
    <xf numFmtId="41" fontId="29" fillId="0" borderId="33" xfId="3" applyNumberFormat="1" applyFont="1" applyBorder="1" applyAlignment="1">
      <alignment vertical="center" wrapText="1"/>
    </xf>
    <xf numFmtId="0" fontId="17" fillId="0" borderId="347" xfId="34" applyFont="1" applyBorder="1" applyAlignment="1">
      <alignment horizontal="left" vertical="center" wrapText="1"/>
    </xf>
    <xf numFmtId="0" fontId="17" fillId="0" borderId="348" xfId="34" applyFont="1" applyBorder="1" applyAlignment="1">
      <alignment horizontal="right" vertical="center" wrapText="1"/>
    </xf>
    <xf numFmtId="41" fontId="7" fillId="0" borderId="348" xfId="3" applyNumberFormat="1" applyFont="1" applyBorder="1" applyAlignment="1">
      <alignment vertical="center" wrapText="1"/>
    </xf>
    <xf numFmtId="41" fontId="7" fillId="0" borderId="349" xfId="3" applyNumberFormat="1" applyFont="1" applyBorder="1" applyAlignment="1">
      <alignment vertical="center" wrapText="1"/>
    </xf>
    <xf numFmtId="0" fontId="84" fillId="0" borderId="348" xfId="34" applyFont="1" applyBorder="1" applyAlignment="1">
      <alignment horizontal="right" vertical="center" wrapText="1"/>
    </xf>
    <xf numFmtId="165" fontId="7" fillId="0" borderId="33" xfId="26" quotePrefix="1" applyNumberFormat="1" applyFont="1" applyFill="1" applyBorder="1" applyAlignment="1">
      <alignment vertical="center"/>
    </xf>
    <xf numFmtId="0" fontId="83" fillId="0" borderId="347" xfId="34" applyFont="1" applyBorder="1" applyAlignment="1">
      <alignment horizontal="left" vertical="center" wrapText="1" indent="1"/>
    </xf>
    <xf numFmtId="165" fontId="7" fillId="0" borderId="347" xfId="26" applyNumberFormat="1" applyFont="1" applyBorder="1" applyAlignment="1">
      <alignment vertical="center"/>
    </xf>
    <xf numFmtId="165" fontId="7" fillId="0" borderId="349" xfId="26" applyNumberFormat="1" applyFont="1" applyBorder="1" applyAlignment="1">
      <alignment vertical="center"/>
    </xf>
    <xf numFmtId="165" fontId="7" fillId="0" borderId="348" xfId="26" quotePrefix="1" applyNumberFormat="1" applyFont="1" applyFill="1" applyBorder="1" applyAlignment="1">
      <alignment horizontal="right" vertical="center"/>
    </xf>
    <xf numFmtId="165" fontId="7" fillId="0" borderId="33" xfId="29" applyNumberFormat="1" applyFont="1" applyFill="1" applyBorder="1" applyAlignment="1">
      <alignment vertical="center"/>
    </xf>
    <xf numFmtId="0" fontId="20" fillId="0" borderId="347" xfId="34" applyFont="1" applyBorder="1" applyAlignment="1">
      <alignment horizontal="left" vertical="center" wrapText="1"/>
    </xf>
    <xf numFmtId="0" fontId="20" fillId="0" borderId="348" xfId="34" applyFont="1" applyBorder="1" applyAlignment="1">
      <alignment horizontal="right" vertical="center" wrapText="1"/>
    </xf>
    <xf numFmtId="165" fontId="7" fillId="0" borderId="347" xfId="3" applyNumberFormat="1" applyFont="1" applyBorder="1" applyAlignment="1">
      <alignment vertical="center"/>
    </xf>
    <xf numFmtId="165" fontId="7" fillId="0" borderId="348" xfId="3" applyNumberFormat="1" applyFont="1" applyBorder="1" applyAlignment="1">
      <alignment vertical="center"/>
    </xf>
    <xf numFmtId="165" fontId="7" fillId="0" borderId="349" xfId="3" applyNumberFormat="1" applyFont="1" applyBorder="1" applyAlignment="1">
      <alignment vertical="center"/>
    </xf>
    <xf numFmtId="41" fontId="19" fillId="0" borderId="348" xfId="34" applyNumberFormat="1" applyFont="1" applyBorder="1" applyAlignment="1">
      <alignment horizontal="right" vertical="center" wrapText="1"/>
    </xf>
    <xf numFmtId="41" fontId="19" fillId="0" borderId="33" xfId="34" applyNumberFormat="1" applyFont="1" applyBorder="1" applyAlignment="1">
      <alignment horizontal="right" vertical="center" wrapText="1"/>
    </xf>
    <xf numFmtId="41" fontId="19" fillId="0" borderId="347" xfId="34" applyNumberFormat="1" applyFont="1" applyBorder="1" applyAlignment="1">
      <alignment horizontal="right" vertical="center" wrapText="1"/>
    </xf>
    <xf numFmtId="41" fontId="19" fillId="0" borderId="349" xfId="34" applyNumberFormat="1" applyFont="1" applyBorder="1" applyAlignment="1">
      <alignment horizontal="right" vertical="center" wrapText="1"/>
    </xf>
    <xf numFmtId="41" fontId="28" fillId="0" borderId="348" xfId="34" applyNumberFormat="1" applyFont="1" applyBorder="1" applyAlignment="1">
      <alignment horizontal="right" vertical="center" wrapText="1"/>
    </xf>
    <xf numFmtId="41" fontId="29" fillId="0" borderId="33" xfId="3" applyNumberFormat="1" applyFont="1" applyBorder="1" applyAlignment="1">
      <alignment vertical="center"/>
    </xf>
    <xf numFmtId="0" fontId="60" fillId="0" borderId="87" xfId="3" applyFont="1" applyBorder="1" applyAlignment="1">
      <alignment vertical="center"/>
    </xf>
    <xf numFmtId="165" fontId="7" fillId="0" borderId="33" xfId="26" quotePrefix="1" applyNumberFormat="1" applyFont="1" applyFill="1" applyBorder="1" applyAlignment="1">
      <alignment horizontal="right" vertical="center"/>
    </xf>
    <xf numFmtId="41" fontId="29" fillId="0" borderId="348" xfId="3" applyNumberFormat="1" applyFont="1" applyBorder="1" applyAlignment="1">
      <alignment vertical="center" wrapText="1"/>
    </xf>
    <xf numFmtId="165" fontId="29" fillId="0" borderId="348" xfId="3" applyNumberFormat="1" applyFont="1" applyBorder="1" applyAlignment="1">
      <alignment horizontal="right" vertical="center"/>
    </xf>
    <xf numFmtId="0" fontId="28" fillId="0" borderId="347" xfId="34" applyFont="1" applyBorder="1" applyAlignment="1">
      <alignment horizontal="left" vertical="center" wrapText="1" indent="1"/>
    </xf>
    <xf numFmtId="0" fontId="84" fillId="0" borderId="350" xfId="34" applyFont="1" applyBorder="1" applyAlignment="1">
      <alignment horizontal="left" vertical="center" wrapText="1"/>
    </xf>
    <xf numFmtId="0" fontId="85" fillId="0" borderId="103" xfId="34" applyFont="1" applyBorder="1" applyAlignment="1">
      <alignment horizontal="left" vertical="center" wrapText="1"/>
    </xf>
    <xf numFmtId="167" fontId="23" fillId="0" borderId="103" xfId="3" applyNumberFormat="1" applyFont="1" applyBorder="1" applyAlignment="1">
      <alignment horizontal="right" vertical="center"/>
    </xf>
    <xf numFmtId="167" fontId="22" fillId="0" borderId="103" xfId="26" quotePrefix="1" applyNumberFormat="1" applyFont="1" applyFill="1" applyBorder="1" applyAlignment="1">
      <alignment horizontal="right" vertical="center"/>
    </xf>
    <xf numFmtId="167" fontId="23" fillId="0" borderId="103" xfId="3" applyNumberFormat="1" applyFont="1" applyBorder="1" applyAlignment="1">
      <alignment vertical="center"/>
    </xf>
    <xf numFmtId="167" fontId="23" fillId="0" borderId="103" xfId="5" applyNumberFormat="1" applyFont="1" applyBorder="1" applyAlignment="1">
      <alignment vertical="center"/>
    </xf>
    <xf numFmtId="0" fontId="42" fillId="0" borderId="0" xfId="34" applyFont="1" applyAlignment="1">
      <alignment vertical="center"/>
    </xf>
    <xf numFmtId="0" fontId="20" fillId="0" borderId="19" xfId="3" applyFont="1" applyBorder="1" applyAlignment="1">
      <alignment horizontal="left" vertical="center"/>
    </xf>
    <xf numFmtId="0" fontId="60" fillId="0" borderId="20" xfId="3" applyFont="1" applyBorder="1" applyAlignment="1">
      <alignment horizontal="center" vertical="center"/>
    </xf>
    <xf numFmtId="0" fontId="47" fillId="0" borderId="227" xfId="3" applyFont="1" applyBorder="1" applyAlignment="1">
      <alignment vertical="center"/>
    </xf>
    <xf numFmtId="0" fontId="29" fillId="0" borderId="351" xfId="3" applyFont="1" applyBorder="1" applyAlignment="1">
      <alignment horizontal="right" vertical="center"/>
    </xf>
    <xf numFmtId="0" fontId="7" fillId="0" borderId="28" xfId="3" applyFont="1" applyBorder="1" applyAlignment="1">
      <alignment horizontal="right" vertical="center"/>
    </xf>
    <xf numFmtId="0" fontId="7" fillId="0" borderId="227" xfId="3" applyFont="1" applyBorder="1" applyAlignment="1">
      <alignment horizontal="right" vertical="center"/>
    </xf>
    <xf numFmtId="0" fontId="7" fillId="0" borderId="351" xfId="3" applyFont="1" applyBorder="1" applyAlignment="1">
      <alignment horizontal="right" vertical="center"/>
    </xf>
    <xf numFmtId="0" fontId="7" fillId="0" borderId="25" xfId="3" applyFont="1" applyBorder="1" applyAlignment="1">
      <alignment horizontal="right" vertical="center"/>
    </xf>
    <xf numFmtId="0" fontId="17" fillId="0" borderId="229" xfId="3" applyFont="1" applyBorder="1" applyAlignment="1">
      <alignment vertical="center"/>
    </xf>
    <xf numFmtId="0" fontId="29" fillId="0" borderId="233" xfId="3" applyFont="1" applyBorder="1" applyAlignment="1">
      <alignment vertical="center"/>
    </xf>
    <xf numFmtId="0" fontId="7" fillId="0" borderId="33" xfId="3" applyFont="1" applyBorder="1" applyAlignment="1">
      <alignment vertical="center"/>
    </xf>
    <xf numFmtId="0" fontId="7" fillId="0" borderId="229" xfId="3" applyFont="1" applyBorder="1" applyAlignment="1">
      <alignment vertical="center"/>
    </xf>
    <xf numFmtId="0" fontId="7" fillId="0" borderId="233" xfId="3" applyFont="1" applyBorder="1" applyAlignment="1">
      <alignment vertical="center"/>
    </xf>
    <xf numFmtId="0" fontId="7" fillId="0" borderId="30" xfId="3" applyFont="1" applyBorder="1" applyAlignment="1">
      <alignment vertical="center"/>
    </xf>
    <xf numFmtId="0" fontId="29" fillId="0" borderId="229" xfId="3" applyFont="1" applyBorder="1" applyAlignment="1">
      <alignment vertical="center"/>
    </xf>
    <xf numFmtId="165" fontId="29" fillId="0" borderId="233" xfId="3" applyNumberFormat="1" applyFont="1" applyBorder="1" applyAlignment="1">
      <alignment vertical="center"/>
    </xf>
    <xf numFmtId="165" fontId="7" fillId="0" borderId="30" xfId="3" applyNumberFormat="1" applyFont="1" applyBorder="1" applyAlignment="1">
      <alignment vertical="center"/>
    </xf>
    <xf numFmtId="187" fontId="29" fillId="0" borderId="233" xfId="3" applyNumberFormat="1" applyFont="1" applyBorder="1" applyAlignment="1">
      <alignment vertical="center"/>
    </xf>
    <xf numFmtId="187" fontId="7" fillId="0" borderId="33" xfId="3" applyNumberFormat="1" applyFont="1" applyBorder="1" applyAlignment="1">
      <alignment vertical="center"/>
    </xf>
    <xf numFmtId="187" fontId="7" fillId="0" borderId="33" xfId="3" applyNumberFormat="1" applyFont="1" applyBorder="1" applyAlignment="1">
      <alignment horizontal="right" vertical="center"/>
    </xf>
    <xf numFmtId="187" fontId="7" fillId="0" borderId="229" xfId="3" applyNumberFormat="1" applyFont="1" applyBorder="1" applyAlignment="1">
      <alignment vertical="center"/>
    </xf>
    <xf numFmtId="187" fontId="7" fillId="0" borderId="233" xfId="3" applyNumberFormat="1" applyFont="1" applyBorder="1" applyAlignment="1">
      <alignment vertical="center"/>
    </xf>
    <xf numFmtId="187" fontId="7" fillId="0" borderId="30" xfId="3" applyNumberFormat="1" applyFont="1" applyBorder="1" applyAlignment="1">
      <alignment vertical="center"/>
    </xf>
    <xf numFmtId="0" fontId="7" fillId="0" borderId="33" xfId="3" applyFont="1" applyBorder="1" applyAlignment="1">
      <alignment horizontal="right" vertical="center"/>
    </xf>
    <xf numFmtId="0" fontId="7" fillId="0" borderId="231" xfId="3" applyFont="1" applyBorder="1" applyAlignment="1">
      <alignment vertical="center"/>
    </xf>
    <xf numFmtId="0" fontId="29" fillId="0" borderId="293" xfId="3" applyFont="1" applyBorder="1" applyAlignment="1">
      <alignment vertical="center"/>
    </xf>
    <xf numFmtId="0" fontId="7" fillId="0" borderId="38" xfId="3" applyFont="1" applyBorder="1" applyAlignment="1">
      <alignment vertical="center"/>
    </xf>
    <xf numFmtId="0" fontId="7" fillId="0" borderId="38" xfId="3" applyFont="1" applyBorder="1" applyAlignment="1">
      <alignment horizontal="right" vertical="center"/>
    </xf>
    <xf numFmtId="0" fontId="7" fillId="0" borderId="293" xfId="3" applyFont="1" applyBorder="1" applyAlignment="1">
      <alignment vertical="center"/>
    </xf>
    <xf numFmtId="0" fontId="7" fillId="0" borderId="35" xfId="3" applyFont="1" applyBorder="1" applyAlignment="1">
      <alignment vertical="center"/>
    </xf>
    <xf numFmtId="0" fontId="7" fillId="0" borderId="19" xfId="3" applyFont="1" applyBorder="1" applyAlignment="1">
      <alignment vertical="center"/>
    </xf>
    <xf numFmtId="0" fontId="29" fillId="0" borderId="20" xfId="3" applyFont="1" applyBorder="1" applyAlignment="1">
      <alignment vertical="center"/>
    </xf>
    <xf numFmtId="0" fontId="7" fillId="0" borderId="18" xfId="3" applyFont="1" applyBorder="1" applyAlignment="1">
      <alignment vertical="center"/>
    </xf>
    <xf numFmtId="0" fontId="7" fillId="0" borderId="18" xfId="3" applyFont="1" applyBorder="1" applyAlignment="1">
      <alignment horizontal="right" vertical="center"/>
    </xf>
    <xf numFmtId="0" fontId="7" fillId="0" borderId="20" xfId="3" applyFont="1" applyBorder="1" applyAlignment="1">
      <alignment vertical="center"/>
    </xf>
    <xf numFmtId="0" fontId="7" fillId="0" borderId="21" xfId="3" applyFont="1" applyBorder="1" applyAlignment="1">
      <alignment vertical="center"/>
    </xf>
    <xf numFmtId="0" fontId="17" fillId="0" borderId="227" xfId="3" applyFont="1" applyBorder="1" applyAlignment="1">
      <alignment vertical="center"/>
    </xf>
    <xf numFmtId="0" fontId="29" fillId="0" borderId="351" xfId="3" applyFont="1" applyBorder="1" applyAlignment="1">
      <alignment vertical="center"/>
    </xf>
    <xf numFmtId="0" fontId="7" fillId="0" borderId="28" xfId="3" applyFont="1" applyBorder="1" applyAlignment="1">
      <alignment vertical="center"/>
    </xf>
    <xf numFmtId="0" fontId="7" fillId="0" borderId="227" xfId="3" applyFont="1" applyBorder="1" applyAlignment="1">
      <alignment vertical="center"/>
    </xf>
    <xf numFmtId="0" fontId="7" fillId="0" borderId="351" xfId="3" applyFont="1" applyBorder="1" applyAlignment="1">
      <alignment vertical="center"/>
    </xf>
    <xf numFmtId="0" fontId="7" fillId="0" borderId="25" xfId="3" applyFont="1" applyBorder="1" applyAlignment="1">
      <alignment vertical="center"/>
    </xf>
    <xf numFmtId="187" fontId="29" fillId="0" borderId="293" xfId="3" applyNumberFormat="1" applyFont="1" applyBorder="1" applyAlignment="1">
      <alignment vertical="center"/>
    </xf>
    <xf numFmtId="187" fontId="7" fillId="0" borderId="38" xfId="3" applyNumberFormat="1" applyFont="1" applyBorder="1" applyAlignment="1">
      <alignment vertical="center"/>
    </xf>
    <xf numFmtId="187" fontId="7" fillId="0" borderId="38" xfId="3" applyNumberFormat="1" applyFont="1" applyBorder="1" applyAlignment="1">
      <alignment horizontal="right" vertical="center"/>
    </xf>
    <xf numFmtId="187" fontId="7" fillId="0" borderId="231" xfId="3" applyNumberFormat="1" applyFont="1" applyBorder="1" applyAlignment="1">
      <alignment vertical="center"/>
    </xf>
    <xf numFmtId="187" fontId="7" fillId="0" borderId="293" xfId="3" applyNumberFormat="1" applyFont="1" applyBorder="1" applyAlignment="1">
      <alignment vertical="center"/>
    </xf>
    <xf numFmtId="187" fontId="7" fillId="0" borderId="35" xfId="3" applyNumberFormat="1" applyFont="1" applyBorder="1" applyAlignment="1">
      <alignment vertical="center"/>
    </xf>
    <xf numFmtId="0" fontId="7" fillId="0" borderId="39" xfId="3" applyFont="1" applyBorder="1" applyAlignment="1">
      <alignment vertical="center"/>
    </xf>
    <xf numFmtId="187" fontId="7" fillId="0" borderId="39" xfId="3" applyNumberFormat="1" applyFont="1" applyBorder="1" applyAlignment="1">
      <alignment vertical="center"/>
    </xf>
    <xf numFmtId="187" fontId="29" fillId="0" borderId="39" xfId="3" applyNumberFormat="1" applyFont="1" applyBorder="1" applyAlignment="1">
      <alignment horizontal="right" vertical="center"/>
    </xf>
    <xf numFmtId="0" fontId="7" fillId="0" borderId="0" xfId="3" applyFont="1" applyAlignment="1">
      <alignment vertical="center"/>
    </xf>
    <xf numFmtId="187" fontId="7" fillId="0" borderId="0" xfId="3" applyNumberFormat="1" applyFont="1" applyAlignment="1">
      <alignment vertical="center"/>
    </xf>
    <xf numFmtId="187" fontId="29" fillId="0" borderId="0" xfId="3" applyNumberFormat="1" applyFont="1" applyAlignment="1">
      <alignment horizontal="right" vertical="center"/>
    </xf>
    <xf numFmtId="0" fontId="27" fillId="0" borderId="4" xfId="35" applyFont="1" applyBorder="1" applyAlignment="1">
      <alignment horizontal="left" vertical="center"/>
    </xf>
    <xf numFmtId="0" fontId="60" fillId="0" borderId="5" xfId="35" applyFont="1" applyBorder="1" applyAlignment="1">
      <alignment horizontal="center" vertical="center"/>
    </xf>
    <xf numFmtId="0" fontId="47" fillId="0" borderId="4" xfId="35" applyFont="1" applyBorder="1" applyAlignment="1">
      <alignment horizontal="left" vertical="center"/>
    </xf>
    <xf numFmtId="0" fontId="27" fillId="0" borderId="5" xfId="36" applyNumberFormat="1" applyFont="1" applyBorder="1" applyAlignment="1">
      <alignment horizontal="right" vertical="center"/>
    </xf>
    <xf numFmtId="0" fontId="28" fillId="0" borderId="6" xfId="36" applyNumberFormat="1" applyFont="1" applyBorder="1" applyAlignment="1">
      <alignment horizontal="right" vertical="center"/>
    </xf>
    <xf numFmtId="0" fontId="28" fillId="0" borderId="4" xfId="36" applyNumberFormat="1" applyFont="1" applyBorder="1" applyAlignment="1">
      <alignment horizontal="right" vertical="center"/>
    </xf>
    <xf numFmtId="0" fontId="28" fillId="0" borderId="5" xfId="36" applyNumberFormat="1" applyFont="1" applyBorder="1" applyAlignment="1">
      <alignment horizontal="right" vertical="center"/>
    </xf>
    <xf numFmtId="166" fontId="28" fillId="0" borderId="7" xfId="36" applyNumberFormat="1" applyFont="1" applyBorder="1" applyAlignment="1">
      <alignment horizontal="right" vertical="center"/>
    </xf>
    <xf numFmtId="0" fontId="28" fillId="0" borderId="6" xfId="36" applyNumberFormat="1" applyFont="1" applyBorder="1" applyAlignment="1">
      <alignment horizontal="left" vertical="center" indent="3"/>
    </xf>
    <xf numFmtId="0" fontId="17" fillId="0" borderId="352" xfId="3" applyFont="1" applyBorder="1" applyAlignment="1">
      <alignment vertical="center"/>
    </xf>
    <xf numFmtId="166" fontId="20" fillId="0" borderId="353" xfId="3" applyNumberFormat="1" applyFont="1" applyBorder="1" applyAlignment="1">
      <alignment horizontal="right" vertical="center"/>
    </xf>
    <xf numFmtId="166" fontId="19" fillId="0" borderId="354" xfId="3" applyNumberFormat="1" applyFont="1" applyBorder="1" applyAlignment="1">
      <alignment horizontal="right" vertical="center"/>
    </xf>
    <xf numFmtId="166" fontId="20" fillId="0" borderId="354" xfId="3" applyNumberFormat="1" applyFont="1" applyBorder="1" applyAlignment="1">
      <alignment horizontal="right" vertical="center"/>
    </xf>
    <xf numFmtId="166" fontId="19" fillId="0" borderId="355" xfId="3" applyNumberFormat="1" applyFont="1" applyBorder="1" applyAlignment="1">
      <alignment horizontal="right" vertical="center"/>
    </xf>
    <xf numFmtId="166" fontId="19" fillId="0" borderId="353" xfId="3" applyNumberFormat="1" applyFont="1" applyBorder="1" applyAlignment="1">
      <alignment horizontal="right" vertical="center"/>
    </xf>
    <xf numFmtId="41" fontId="19" fillId="0" borderId="356" xfId="3" quotePrefix="1" applyNumberFormat="1" applyFont="1" applyBorder="1" applyAlignment="1">
      <alignment horizontal="right" vertical="center"/>
    </xf>
    <xf numFmtId="41" fontId="19" fillId="0" borderId="357" xfId="3" quotePrefix="1" applyNumberFormat="1" applyFont="1" applyBorder="1" applyAlignment="1">
      <alignment horizontal="right" vertical="center"/>
    </xf>
    <xf numFmtId="41" fontId="19" fillId="0" borderId="354" xfId="3" quotePrefix="1" applyNumberFormat="1" applyFont="1" applyBorder="1" applyAlignment="1">
      <alignment horizontal="right" vertical="center"/>
    </xf>
    <xf numFmtId="0" fontId="29" fillId="0" borderId="358" xfId="3" applyFont="1" applyBorder="1" applyAlignment="1">
      <alignment horizontal="left" vertical="center"/>
    </xf>
    <xf numFmtId="0" fontId="7" fillId="0" borderId="347" xfId="3" applyFont="1" applyBorder="1" applyAlignment="1">
      <alignment horizontal="left" vertical="center"/>
    </xf>
    <xf numFmtId="165" fontId="27" fillId="0" borderId="359" xfId="36" applyNumberFormat="1" applyFont="1" applyFill="1" applyBorder="1" applyAlignment="1">
      <alignment horizontal="right" vertical="center"/>
    </xf>
    <xf numFmtId="165" fontId="28" fillId="0" borderId="33" xfId="36" applyNumberFormat="1" applyFont="1" applyFill="1" applyBorder="1" applyAlignment="1">
      <alignment vertical="center"/>
    </xf>
    <xf numFmtId="165" fontId="28" fillId="0" borderId="360" xfId="36" applyNumberFormat="1" applyFont="1" applyFill="1" applyBorder="1" applyAlignment="1">
      <alignment vertical="center"/>
    </xf>
    <xf numFmtId="165" fontId="28" fillId="0" borderId="359" xfId="36" applyNumberFormat="1" applyFont="1" applyFill="1" applyBorder="1" applyAlignment="1">
      <alignment vertical="center"/>
    </xf>
    <xf numFmtId="165" fontId="28" fillId="0" borderId="361" xfId="36" applyNumberFormat="1" applyFont="1" applyFill="1" applyBorder="1" applyAlignment="1">
      <alignment vertical="center"/>
    </xf>
    <xf numFmtId="165" fontId="28" fillId="0" borderId="359" xfId="36" applyNumberFormat="1" applyFont="1" applyFill="1" applyBorder="1" applyAlignment="1">
      <alignment horizontal="right" vertical="center"/>
    </xf>
    <xf numFmtId="0" fontId="7" fillId="0" borderId="347" xfId="3" applyFont="1" applyBorder="1" applyAlignment="1">
      <alignment horizontal="left" vertical="center" indent="1"/>
    </xf>
    <xf numFmtId="0" fontId="29" fillId="0" borderId="347" xfId="3" applyFont="1" applyBorder="1" applyAlignment="1">
      <alignment horizontal="left" vertical="center"/>
    </xf>
    <xf numFmtId="0" fontId="28" fillId="0" borderId="347" xfId="3" applyFont="1" applyBorder="1" applyAlignment="1">
      <alignment horizontal="left" vertical="center"/>
    </xf>
    <xf numFmtId="165" fontId="27" fillId="0" borderId="362" xfId="36" applyNumberFormat="1" applyFont="1" applyFill="1" applyBorder="1" applyAlignment="1">
      <alignment horizontal="right" vertical="center"/>
    </xf>
    <xf numFmtId="165" fontId="28" fillId="0" borderId="28" xfId="36" applyNumberFormat="1" applyFont="1" applyFill="1" applyBorder="1" applyAlignment="1">
      <alignment vertical="center"/>
    </xf>
    <xf numFmtId="165" fontId="28" fillId="0" borderId="363" xfId="36" applyNumberFormat="1" applyFont="1" applyFill="1" applyBorder="1" applyAlignment="1">
      <alignment vertical="center"/>
    </xf>
    <xf numFmtId="165" fontId="28" fillId="0" borderId="362" xfId="36" applyNumberFormat="1" applyFont="1" applyFill="1" applyBorder="1" applyAlignment="1">
      <alignment vertical="center"/>
    </xf>
    <xf numFmtId="165" fontId="28" fillId="0" borderId="361" xfId="17" applyNumberFormat="1" applyFont="1" applyFill="1" applyBorder="1" applyAlignment="1">
      <alignment vertical="center"/>
    </xf>
    <xf numFmtId="165" fontId="28" fillId="0" borderId="364" xfId="36" applyNumberFormat="1" applyFont="1" applyFill="1" applyBorder="1" applyAlignment="1">
      <alignment horizontal="right" vertical="center"/>
    </xf>
    <xf numFmtId="165" fontId="27" fillId="0" borderId="359" xfId="17" applyNumberFormat="1" applyFont="1" applyFill="1" applyBorder="1" applyAlignment="1">
      <alignment horizontal="right" vertical="center"/>
    </xf>
    <xf numFmtId="165" fontId="28" fillId="0" borderId="33" xfId="17" applyNumberFormat="1" applyFont="1" applyFill="1" applyBorder="1" applyAlignment="1">
      <alignment vertical="center"/>
    </xf>
    <xf numFmtId="165" fontId="28" fillId="0" borderId="360" xfId="17" applyNumberFormat="1" applyFont="1" applyFill="1" applyBorder="1" applyAlignment="1">
      <alignment vertical="center"/>
    </xf>
    <xf numFmtId="165" fontId="28" fillId="0" borderId="359" xfId="17" applyNumberFormat="1" applyFont="1" applyFill="1" applyBorder="1" applyAlignment="1">
      <alignment vertical="center"/>
    </xf>
    <xf numFmtId="165" fontId="28" fillId="0" borderId="359" xfId="17" applyNumberFormat="1" applyFont="1" applyFill="1" applyBorder="1" applyAlignment="1">
      <alignment horizontal="right" vertical="center"/>
    </xf>
    <xf numFmtId="167" fontId="27" fillId="0" borderId="359" xfId="36" applyNumberFormat="1" applyFont="1" applyFill="1" applyBorder="1" applyAlignment="1">
      <alignment horizontal="right" vertical="center"/>
    </xf>
    <xf numFmtId="167" fontId="28" fillId="0" borderId="33" xfId="36" applyNumberFormat="1" applyFont="1" applyFill="1" applyBorder="1" applyAlignment="1">
      <alignment vertical="center"/>
    </xf>
    <xf numFmtId="167" fontId="28" fillId="0" borderId="360" xfId="36" applyNumberFormat="1" applyFont="1" applyFill="1" applyBorder="1" applyAlignment="1">
      <alignment vertical="center"/>
    </xf>
    <xf numFmtId="167" fontId="28" fillId="0" borderId="359" xfId="36" applyNumberFormat="1" applyFont="1" applyFill="1" applyBorder="1" applyAlignment="1">
      <alignment vertical="center"/>
    </xf>
    <xf numFmtId="43" fontId="28" fillId="0" borderId="361" xfId="26" applyFont="1" applyFill="1" applyBorder="1" applyAlignment="1">
      <alignment vertical="center"/>
    </xf>
    <xf numFmtId="167" fontId="28" fillId="0" borderId="359" xfId="36" applyNumberFormat="1" applyFont="1" applyFill="1" applyBorder="1" applyAlignment="1">
      <alignment horizontal="right" vertical="center"/>
    </xf>
    <xf numFmtId="165" fontId="27" fillId="0" borderId="365" xfId="36" applyNumberFormat="1" applyFont="1" applyFill="1" applyBorder="1" applyAlignment="1">
      <alignment horizontal="right" vertical="center"/>
    </xf>
    <xf numFmtId="165" fontId="28" fillId="0" borderId="365" xfId="36" applyNumberFormat="1" applyFont="1" applyFill="1" applyBorder="1" applyAlignment="1">
      <alignment vertical="center"/>
    </xf>
    <xf numFmtId="165" fontId="28" fillId="0" borderId="366" xfId="36" applyNumberFormat="1" applyFont="1" applyFill="1" applyBorder="1" applyAlignment="1">
      <alignment vertical="center"/>
    </xf>
    <xf numFmtId="165" fontId="28" fillId="0" borderId="367" xfId="36" applyNumberFormat="1" applyFont="1" applyFill="1" applyBorder="1" applyAlignment="1">
      <alignment horizontal="right" vertical="center"/>
    </xf>
    <xf numFmtId="165" fontId="28" fillId="0" borderId="28" xfId="35" applyNumberFormat="1" applyFont="1" applyBorder="1" applyAlignment="1">
      <alignment vertical="center"/>
    </xf>
    <xf numFmtId="165" fontId="20" fillId="0" borderId="359" xfId="37" applyNumberFormat="1" applyFont="1" applyFill="1" applyBorder="1" applyAlignment="1">
      <alignment vertical="center"/>
    </xf>
    <xf numFmtId="165" fontId="19" fillId="0" borderId="359" xfId="37" applyNumberFormat="1" applyFont="1" applyFill="1" applyBorder="1" applyAlignment="1">
      <alignment vertical="center"/>
    </xf>
    <xf numFmtId="165" fontId="19" fillId="0" borderId="361" xfId="37" applyNumberFormat="1" applyFont="1" applyFill="1" applyBorder="1" applyAlignment="1">
      <alignment vertical="center"/>
    </xf>
    <xf numFmtId="165" fontId="19" fillId="0" borderId="33" xfId="37" applyNumberFormat="1" applyFont="1" applyFill="1" applyBorder="1" applyAlignment="1">
      <alignment vertical="center"/>
    </xf>
    <xf numFmtId="0" fontId="29" fillId="0" borderId="368" xfId="3" applyFont="1" applyBorder="1" applyAlignment="1">
      <alignment horizontal="left" vertical="center"/>
    </xf>
    <xf numFmtId="0" fontId="24" fillId="0" borderId="39" xfId="3" applyBorder="1"/>
    <xf numFmtId="0" fontId="44" fillId="0" borderId="0" xfId="3" applyFont="1" applyAlignment="1">
      <alignment horizontal="left" vertical="center"/>
    </xf>
    <xf numFmtId="0" fontId="17" fillId="0" borderId="267" xfId="3" applyFont="1" applyBorder="1" applyAlignment="1">
      <alignment vertical="center"/>
    </xf>
    <xf numFmtId="166" fontId="20" fillId="0" borderId="369" xfId="3" applyNumberFormat="1" applyFont="1" applyBorder="1" applyAlignment="1">
      <alignment horizontal="right" vertical="center"/>
    </xf>
    <xf numFmtId="166" fontId="19" fillId="0" borderId="370" xfId="3" applyNumberFormat="1" applyFont="1" applyBorder="1" applyAlignment="1">
      <alignment horizontal="right" vertical="center"/>
    </xf>
    <xf numFmtId="166" fontId="20" fillId="0" borderId="370" xfId="3" applyNumberFormat="1" applyFont="1" applyBorder="1" applyAlignment="1">
      <alignment horizontal="right" vertical="center"/>
    </xf>
    <xf numFmtId="166" fontId="19" fillId="0" borderId="371" xfId="3" applyNumberFormat="1" applyFont="1" applyBorder="1" applyAlignment="1">
      <alignment horizontal="right" vertical="center"/>
    </xf>
    <xf numFmtId="166" fontId="19" fillId="0" borderId="372" xfId="3" applyNumberFormat="1" applyFont="1" applyBorder="1" applyAlignment="1">
      <alignment horizontal="right" vertical="center"/>
    </xf>
    <xf numFmtId="166" fontId="19" fillId="0" borderId="180" xfId="3" applyNumberFormat="1" applyFont="1" applyBorder="1" applyAlignment="1">
      <alignment horizontal="right" vertical="center"/>
    </xf>
    <xf numFmtId="166" fontId="19" fillId="0" borderId="373" xfId="3" applyNumberFormat="1" applyFont="1" applyBorder="1" applyAlignment="1">
      <alignment horizontal="right" vertical="center"/>
    </xf>
    <xf numFmtId="41" fontId="19" fillId="0" borderId="374" xfId="3" quotePrefix="1" applyNumberFormat="1" applyFont="1" applyBorder="1" applyAlignment="1">
      <alignment horizontal="right" vertical="center"/>
    </xf>
    <xf numFmtId="41" fontId="19" fillId="0" borderId="375" xfId="3" applyNumberFormat="1" applyFont="1" applyBorder="1" applyAlignment="1">
      <alignment horizontal="right" vertical="center"/>
    </xf>
    <xf numFmtId="41" fontId="19" fillId="0" borderId="180" xfId="3" quotePrefix="1" applyNumberFormat="1" applyFont="1" applyBorder="1" applyAlignment="1">
      <alignment horizontal="right" vertical="center"/>
    </xf>
    <xf numFmtId="165" fontId="27" fillId="0" borderId="214" xfId="36" applyNumberFormat="1" applyFont="1" applyFill="1" applyBorder="1" applyAlignment="1">
      <alignment horizontal="right" vertical="center"/>
    </xf>
    <xf numFmtId="165" fontId="28" fillId="0" borderId="215" xfId="36" applyNumberFormat="1" applyFont="1" applyFill="1" applyBorder="1" applyAlignment="1">
      <alignment horizontal="right" vertical="center"/>
    </xf>
    <xf numFmtId="165" fontId="28" fillId="0" borderId="376" xfId="36" applyNumberFormat="1" applyFont="1" applyFill="1" applyBorder="1" applyAlignment="1">
      <alignment horizontal="right" vertical="center"/>
    </xf>
    <xf numFmtId="165" fontId="28" fillId="0" borderId="367" xfId="36" applyNumberFormat="1" applyFont="1" applyFill="1" applyBorder="1" applyAlignment="1">
      <alignment vertical="center"/>
    </xf>
    <xf numFmtId="165" fontId="28" fillId="0" borderId="215" xfId="36" applyNumberFormat="1" applyFont="1" applyFill="1" applyBorder="1" applyAlignment="1">
      <alignment vertical="center"/>
    </xf>
    <xf numFmtId="165" fontId="28" fillId="0" borderId="376" xfId="36" applyNumberFormat="1" applyFont="1" applyFill="1" applyBorder="1" applyAlignment="1">
      <alignment vertical="center"/>
    </xf>
    <xf numFmtId="165" fontId="28" fillId="0" borderId="377" xfId="36" applyNumberFormat="1" applyFont="1" applyFill="1" applyBorder="1" applyAlignment="1">
      <alignment vertical="center"/>
    </xf>
    <xf numFmtId="165" fontId="28" fillId="0" borderId="215" xfId="35" applyNumberFormat="1" applyFont="1" applyBorder="1" applyAlignment="1">
      <alignment vertical="center"/>
    </xf>
    <xf numFmtId="165" fontId="27" fillId="0" borderId="216" xfId="26" applyNumberFormat="1" applyFont="1" applyFill="1" applyBorder="1" applyAlignment="1">
      <alignment horizontal="right" vertical="center"/>
    </xf>
    <xf numFmtId="165" fontId="28" fillId="0" borderId="33" xfId="26" applyNumberFormat="1" applyFont="1" applyFill="1" applyBorder="1" applyAlignment="1">
      <alignment horizontal="right" vertical="center"/>
    </xf>
    <xf numFmtId="165" fontId="28" fillId="0" borderId="360" xfId="26" applyNumberFormat="1" applyFont="1" applyFill="1" applyBorder="1" applyAlignment="1">
      <alignment horizontal="right" vertical="center"/>
    </xf>
    <xf numFmtId="165" fontId="28" fillId="0" borderId="359" xfId="26" applyNumberFormat="1" applyFont="1" applyFill="1" applyBorder="1" applyAlignment="1">
      <alignment vertical="center"/>
    </xf>
    <xf numFmtId="165" fontId="28" fillId="0" borderId="33" xfId="26" applyNumberFormat="1" applyFont="1" applyFill="1" applyBorder="1" applyAlignment="1">
      <alignment vertical="center"/>
    </xf>
    <xf numFmtId="165" fontId="28" fillId="0" borderId="360" xfId="26" applyNumberFormat="1" applyFont="1" applyFill="1" applyBorder="1" applyAlignment="1">
      <alignment vertical="center"/>
    </xf>
    <xf numFmtId="165" fontId="28" fillId="0" borderId="361" xfId="26" applyNumberFormat="1" applyFont="1" applyFill="1" applyBorder="1" applyAlignment="1">
      <alignment vertical="center"/>
    </xf>
    <xf numFmtId="165" fontId="27" fillId="0" borderId="216" xfId="36" applyNumberFormat="1" applyFont="1" applyFill="1" applyBorder="1" applyAlignment="1">
      <alignment horizontal="right" vertical="center"/>
    </xf>
    <xf numFmtId="165" fontId="28" fillId="0" borderId="33" xfId="36" applyNumberFormat="1" applyFont="1" applyFill="1" applyBorder="1" applyAlignment="1">
      <alignment horizontal="right" vertical="center"/>
    </xf>
    <xf numFmtId="165" fontId="28" fillId="0" borderId="360" xfId="36" applyNumberFormat="1" applyFont="1" applyFill="1" applyBorder="1" applyAlignment="1">
      <alignment horizontal="right" vertical="center"/>
    </xf>
    <xf numFmtId="165" fontId="28" fillId="0" borderId="359" xfId="35" applyNumberFormat="1" applyFont="1" applyBorder="1" applyAlignment="1">
      <alignment vertical="center"/>
    </xf>
    <xf numFmtId="165" fontId="28" fillId="0" borderId="361" xfId="35" applyNumberFormat="1" applyFont="1" applyBorder="1" applyAlignment="1">
      <alignment vertical="center"/>
    </xf>
    <xf numFmtId="165" fontId="28" fillId="0" borderId="33" xfId="35" applyNumberFormat="1" applyFont="1" applyBorder="1" applyAlignment="1">
      <alignment vertical="center"/>
    </xf>
    <xf numFmtId="167" fontId="27" fillId="0" borderId="216" xfId="36" applyNumberFormat="1" applyFont="1" applyFill="1" applyBorder="1" applyAlignment="1">
      <alignment horizontal="right" vertical="center"/>
    </xf>
    <xf numFmtId="167" fontId="28" fillId="0" borderId="33" xfId="36" applyNumberFormat="1" applyFont="1" applyFill="1" applyBorder="1" applyAlignment="1">
      <alignment horizontal="right" vertical="center"/>
    </xf>
    <xf numFmtId="167" fontId="28" fillId="0" borderId="360" xfId="36" applyNumberFormat="1" applyFont="1" applyFill="1" applyBorder="1" applyAlignment="1">
      <alignment horizontal="right" vertical="center"/>
    </xf>
    <xf numFmtId="167" fontId="28" fillId="0" borderId="361" xfId="36" applyNumberFormat="1" applyFont="1" applyFill="1" applyBorder="1" applyAlignment="1">
      <alignment vertical="center"/>
    </xf>
    <xf numFmtId="0" fontId="29" fillId="0" borderId="378" xfId="3" applyFont="1" applyBorder="1" applyAlignment="1">
      <alignment horizontal="left" vertical="center" indent="2"/>
    </xf>
    <xf numFmtId="41" fontId="29" fillId="0" borderId="379" xfId="3" applyNumberFormat="1" applyFont="1" applyBorder="1" applyAlignment="1">
      <alignment horizontal="right" vertical="center"/>
    </xf>
    <xf numFmtId="41" fontId="7" fillId="0" borderId="219" xfId="3" applyNumberFormat="1" applyFont="1" applyBorder="1" applyAlignment="1">
      <alignment horizontal="right" vertical="center"/>
    </xf>
    <xf numFmtId="41" fontId="7" fillId="0" borderId="380" xfId="3" applyNumberFormat="1" applyFont="1" applyBorder="1" applyAlignment="1">
      <alignment horizontal="right" vertical="center"/>
    </xf>
    <xf numFmtId="41" fontId="7" fillId="0" borderId="381" xfId="3" applyNumberFormat="1" applyFont="1" applyBorder="1" applyAlignment="1">
      <alignment vertical="center"/>
    </xf>
    <xf numFmtId="41" fontId="7" fillId="0" borderId="380" xfId="3" applyNumberFormat="1" applyFont="1" applyBorder="1" applyAlignment="1">
      <alignment vertical="center"/>
    </xf>
    <xf numFmtId="41" fontId="7" fillId="0" borderId="382" xfId="3" applyNumberFormat="1" applyFont="1" applyBorder="1" applyAlignment="1">
      <alignment vertical="center"/>
    </xf>
    <xf numFmtId="166" fontId="19" fillId="0" borderId="383" xfId="3" applyNumberFormat="1" applyFont="1" applyBorder="1" applyAlignment="1">
      <alignment horizontal="right" vertical="center"/>
    </xf>
    <xf numFmtId="166" fontId="19" fillId="0" borderId="384" xfId="3" applyNumberFormat="1" applyFont="1" applyBorder="1" applyAlignment="1">
      <alignment horizontal="right" vertical="center"/>
    </xf>
    <xf numFmtId="41" fontId="19" fillId="0" borderId="385" xfId="3" quotePrefix="1" applyNumberFormat="1" applyFont="1" applyBorder="1" applyAlignment="1">
      <alignment horizontal="right" vertical="center"/>
    </xf>
    <xf numFmtId="41" fontId="19" fillId="0" borderId="384" xfId="3" applyNumberFormat="1" applyFont="1" applyBorder="1" applyAlignment="1">
      <alignment horizontal="right" vertical="center"/>
    </xf>
    <xf numFmtId="41" fontId="19" fillId="0" borderId="183" xfId="3" quotePrefix="1" applyNumberFormat="1" applyFont="1" applyBorder="1" applyAlignment="1">
      <alignment horizontal="right" vertical="center"/>
    </xf>
    <xf numFmtId="165" fontId="27" fillId="0" borderId="33" xfId="36" applyNumberFormat="1" applyFont="1" applyFill="1" applyBorder="1" applyAlignment="1">
      <alignment horizontal="right" vertical="center"/>
    </xf>
    <xf numFmtId="0" fontId="27" fillId="0" borderId="380" xfId="3" applyFont="1" applyBorder="1" applyAlignment="1">
      <alignment horizontal="left" vertical="center"/>
    </xf>
    <xf numFmtId="167" fontId="27" fillId="0" borderId="381" xfId="36" applyNumberFormat="1" applyFont="1" applyFill="1" applyBorder="1" applyAlignment="1">
      <alignment horizontal="right" vertical="center"/>
    </xf>
    <xf numFmtId="167" fontId="28" fillId="0" borderId="219" xfId="36" applyNumberFormat="1" applyFont="1" applyFill="1" applyBorder="1" applyAlignment="1">
      <alignment horizontal="right" vertical="center"/>
    </xf>
    <xf numFmtId="167" fontId="28" fillId="0" borderId="380" xfId="36" applyNumberFormat="1" applyFont="1" applyFill="1" applyBorder="1" applyAlignment="1">
      <alignment horizontal="right" vertical="center"/>
    </xf>
    <xf numFmtId="167" fontId="28" fillId="0" borderId="381" xfId="26" applyNumberFormat="1" applyFont="1" applyFill="1" applyBorder="1" applyAlignment="1">
      <alignment vertical="center"/>
    </xf>
    <xf numFmtId="167" fontId="28" fillId="0" borderId="219" xfId="26" applyNumberFormat="1" applyFont="1" applyFill="1" applyBorder="1" applyAlignment="1">
      <alignment vertical="center"/>
    </xf>
    <xf numFmtId="167" fontId="28" fillId="0" borderId="380" xfId="26" applyNumberFormat="1" applyFont="1" applyFill="1" applyBorder="1" applyAlignment="1">
      <alignment vertical="center"/>
    </xf>
    <xf numFmtId="167" fontId="28" fillId="0" borderId="382" xfId="26" applyNumberFormat="1" applyFont="1" applyFill="1" applyBorder="1" applyAlignment="1">
      <alignment vertical="center"/>
    </xf>
    <xf numFmtId="0" fontId="1" fillId="0" borderId="195" xfId="35" applyBorder="1"/>
    <xf numFmtId="0" fontId="1" fillId="0" borderId="195" xfId="35" applyBorder="1" applyAlignment="1">
      <alignment horizontal="right"/>
    </xf>
    <xf numFmtId="0" fontId="2" fillId="0" borderId="195" xfId="35" applyFont="1" applyBorder="1"/>
    <xf numFmtId="0" fontId="44" fillId="0" borderId="0" xfId="3" quotePrefix="1" applyFont="1" applyAlignment="1">
      <alignment horizontal="left" vertical="center"/>
    </xf>
    <xf numFmtId="165" fontId="24" fillId="0" borderId="0" xfId="3" applyNumberFormat="1"/>
    <xf numFmtId="0" fontId="20" fillId="0" borderId="19" xfId="3" applyFont="1" applyBorder="1" applyAlignment="1">
      <alignment vertical="center"/>
    </xf>
    <xf numFmtId="0" fontId="89" fillId="0" borderId="20" xfId="3" applyFont="1" applyBorder="1" applyAlignment="1">
      <alignment vertical="center"/>
    </xf>
    <xf numFmtId="0" fontId="89" fillId="0" borderId="18" xfId="3" applyFont="1" applyBorder="1" applyAlignment="1">
      <alignment vertical="center"/>
    </xf>
    <xf numFmtId="0" fontId="89" fillId="0" borderId="19" xfId="3" applyFont="1" applyBorder="1" applyAlignment="1">
      <alignment vertical="center"/>
    </xf>
    <xf numFmtId="0" fontId="90" fillId="0" borderId="20" xfId="3" applyFont="1" applyBorder="1" applyAlignment="1">
      <alignment vertical="center"/>
    </xf>
    <xf numFmtId="0" fontId="90" fillId="0" borderId="18" xfId="3" applyFont="1" applyBorder="1" applyAlignment="1">
      <alignment vertical="center"/>
    </xf>
    <xf numFmtId="0" fontId="90" fillId="0" borderId="19" xfId="3" applyFont="1" applyBorder="1" applyAlignment="1">
      <alignment vertical="center"/>
    </xf>
    <xf numFmtId="0" fontId="90" fillId="0" borderId="20" xfId="3" applyFont="1" applyBorder="1" applyAlignment="1">
      <alignment horizontal="center" vertical="center"/>
    </xf>
    <xf numFmtId="0" fontId="28" fillId="0" borderId="200" xfId="16" applyFont="1" applyBorder="1" applyAlignment="1">
      <alignment horizontal="left" vertical="center" wrapText="1" indent="1"/>
    </xf>
    <xf numFmtId="0" fontId="28" fillId="0" borderId="200" xfId="16" applyFont="1" applyBorder="1" applyAlignment="1">
      <alignment horizontal="left" vertical="center" wrapText="1" indent="2"/>
    </xf>
    <xf numFmtId="188" fontId="7" fillId="0" borderId="33" xfId="3" applyNumberFormat="1" applyFont="1" applyBorder="1" applyAlignment="1">
      <alignment vertical="center"/>
    </xf>
    <xf numFmtId="188" fontId="7" fillId="0" borderId="230" xfId="3" applyNumberFormat="1" applyFont="1" applyBorder="1" applyAlignment="1">
      <alignment vertical="center"/>
    </xf>
    <xf numFmtId="3" fontId="7" fillId="0" borderId="33" xfId="3" applyNumberFormat="1" applyFont="1" applyBorder="1" applyAlignment="1">
      <alignment vertical="center"/>
    </xf>
    <xf numFmtId="3" fontId="7" fillId="0" borderId="229" xfId="3" applyNumberFormat="1" applyFont="1" applyBorder="1" applyAlignment="1">
      <alignment vertical="center"/>
    </xf>
    <xf numFmtId="3" fontId="7" fillId="0" borderId="30" xfId="3" applyNumberFormat="1" applyFont="1" applyBorder="1" applyAlignment="1">
      <alignment vertical="center"/>
    </xf>
    <xf numFmtId="3" fontId="7" fillId="0" borderId="233" xfId="3" applyNumberFormat="1" applyFont="1" applyBorder="1" applyAlignment="1">
      <alignment vertical="center"/>
    </xf>
    <xf numFmtId="0" fontId="28" fillId="0" borderId="200" xfId="16" applyFont="1" applyBorder="1" applyAlignment="1">
      <alignment horizontal="left" vertical="center" indent="1"/>
    </xf>
    <xf numFmtId="0" fontId="27" fillId="0" borderId="200" xfId="16" applyFont="1" applyBorder="1" applyAlignment="1">
      <alignment horizontal="left" vertical="center" indent="1"/>
    </xf>
    <xf numFmtId="184" fontId="29" fillId="0" borderId="233" xfId="1" applyNumberFormat="1" applyFont="1" applyBorder="1" applyAlignment="1">
      <alignment horizontal="right" vertical="center"/>
    </xf>
    <xf numFmtId="184" fontId="7" fillId="0" borderId="33" xfId="3" applyNumberFormat="1" applyFont="1" applyBorder="1" applyAlignment="1">
      <alignment horizontal="right" vertical="center"/>
    </xf>
    <xf numFmtId="184" fontId="7" fillId="0" borderId="229" xfId="3" applyNumberFormat="1" applyFont="1" applyBorder="1" applyAlignment="1">
      <alignment horizontal="right" vertical="center"/>
    </xf>
    <xf numFmtId="184" fontId="7" fillId="0" borderId="233" xfId="3" applyNumberFormat="1" applyFont="1" applyBorder="1" applyAlignment="1">
      <alignment horizontal="right" vertical="center"/>
    </xf>
    <xf numFmtId="184" fontId="7" fillId="0" borderId="30" xfId="3" applyNumberFormat="1" applyFont="1" applyBorder="1" applyAlignment="1">
      <alignment horizontal="right" vertical="center"/>
    </xf>
    <xf numFmtId="0" fontId="28" fillId="0" borderId="229" xfId="3" applyFont="1" applyBorder="1" applyAlignment="1">
      <alignment vertical="center" wrapText="1"/>
    </xf>
    <xf numFmtId="0" fontId="27" fillId="0" borderId="229" xfId="3" applyFont="1" applyBorder="1" applyAlignment="1">
      <alignment vertical="center" wrapText="1"/>
    </xf>
    <xf numFmtId="0" fontId="28" fillId="0" borderId="229" xfId="3" applyFont="1" applyBorder="1" applyAlignment="1">
      <alignment vertical="center"/>
    </xf>
    <xf numFmtId="3" fontId="29" fillId="0" borderId="233" xfId="3" applyNumberFormat="1" applyFont="1" applyBorder="1" applyAlignment="1">
      <alignment vertical="center"/>
    </xf>
    <xf numFmtId="184" fontId="29" fillId="0" borderId="233" xfId="3" applyNumberFormat="1" applyFont="1" applyBorder="1" applyAlignment="1">
      <alignment vertical="center"/>
    </xf>
    <xf numFmtId="184" fontId="7" fillId="0" borderId="33" xfId="3" applyNumberFormat="1" applyFont="1" applyBorder="1" applyAlignment="1">
      <alignment vertical="center"/>
    </xf>
    <xf numFmtId="184" fontId="7" fillId="0" borderId="229" xfId="3" applyNumberFormat="1" applyFont="1" applyBorder="1" applyAlignment="1">
      <alignment vertical="center"/>
    </xf>
    <xf numFmtId="184" fontId="7" fillId="0" borderId="233" xfId="3" applyNumberFormat="1" applyFont="1" applyBorder="1" applyAlignment="1">
      <alignment vertical="center"/>
    </xf>
    <xf numFmtId="184" fontId="7" fillId="0" borderId="30" xfId="3" applyNumberFormat="1" applyFont="1" applyBorder="1" applyAlignment="1">
      <alignment vertical="center"/>
    </xf>
    <xf numFmtId="0" fontId="29" fillId="0" borderId="0" xfId="3" applyFont="1" applyAlignment="1">
      <alignment vertical="center"/>
    </xf>
    <xf numFmtId="0" fontId="91" fillId="0" borderId="5" xfId="35" applyFont="1" applyBorder="1" applyAlignment="1">
      <alignment vertical="center"/>
    </xf>
    <xf numFmtId="0" fontId="91" fillId="0" borderId="6" xfId="35" applyFont="1" applyBorder="1" applyAlignment="1">
      <alignment vertical="center"/>
    </xf>
    <xf numFmtId="0" fontId="91" fillId="0" borderId="4" xfId="35" applyFont="1" applyBorder="1" applyAlignment="1">
      <alignment vertical="center"/>
    </xf>
    <xf numFmtId="0" fontId="92" fillId="0" borderId="5" xfId="35" applyFont="1" applyBorder="1" applyAlignment="1">
      <alignment vertical="center"/>
    </xf>
    <xf numFmtId="0" fontId="92" fillId="0" borderId="6" xfId="35" applyFont="1" applyBorder="1" applyAlignment="1">
      <alignment vertical="center"/>
    </xf>
    <xf numFmtId="0" fontId="92" fillId="0" borderId="4" xfId="35" applyFont="1" applyBorder="1" applyAlignment="1">
      <alignment vertical="center"/>
    </xf>
    <xf numFmtId="0" fontId="92" fillId="0" borderId="5" xfId="35" applyFont="1" applyBorder="1" applyAlignment="1">
      <alignment horizontal="center" vertical="center"/>
    </xf>
    <xf numFmtId="0" fontId="28" fillId="0" borderId="358" xfId="16" applyFont="1" applyBorder="1" applyAlignment="1">
      <alignment horizontal="left" vertical="center"/>
    </xf>
    <xf numFmtId="165" fontId="20" fillId="0" borderId="359" xfId="38" applyNumberFormat="1" applyFont="1" applyFill="1" applyBorder="1" applyAlignment="1">
      <alignment vertical="center"/>
    </xf>
    <xf numFmtId="165" fontId="28" fillId="0" borderId="33" xfId="38" applyNumberFormat="1" applyFont="1" applyFill="1" applyBorder="1" applyAlignment="1">
      <alignment vertical="center"/>
    </xf>
    <xf numFmtId="165" fontId="28" fillId="0" borderId="360" xfId="38" applyNumberFormat="1" applyFont="1" applyFill="1" applyBorder="1" applyAlignment="1">
      <alignment vertical="center"/>
    </xf>
    <xf numFmtId="165" fontId="28" fillId="0" borderId="359" xfId="38" applyNumberFormat="1" applyFont="1" applyFill="1" applyBorder="1" applyAlignment="1">
      <alignment vertical="center"/>
    </xf>
    <xf numFmtId="165" fontId="28" fillId="0" borderId="361" xfId="38" applyNumberFormat="1" applyFont="1" applyFill="1" applyBorder="1" applyAlignment="1">
      <alignment vertical="center"/>
    </xf>
    <xf numFmtId="165" fontId="19" fillId="0" borderId="359" xfId="38" applyNumberFormat="1" applyFont="1" applyFill="1" applyBorder="1" applyAlignment="1">
      <alignment vertical="center"/>
    </xf>
    <xf numFmtId="0" fontId="28" fillId="0" borderId="347" xfId="16" applyFont="1" applyBorder="1" applyAlignment="1">
      <alignment horizontal="left" vertical="center" indent="1"/>
    </xf>
    <xf numFmtId="0" fontId="28" fillId="0" borderId="347" xfId="16" applyFont="1" applyBorder="1" applyAlignment="1">
      <alignment horizontal="left" vertical="center"/>
    </xf>
    <xf numFmtId="0" fontId="27" fillId="0" borderId="347" xfId="16" applyFont="1" applyBorder="1" applyAlignment="1">
      <alignment horizontal="left" vertical="center"/>
    </xf>
    <xf numFmtId="167" fontId="20" fillId="0" borderId="359" xfId="38" applyNumberFormat="1" applyFont="1" applyFill="1" applyBorder="1" applyAlignment="1">
      <alignment vertical="center"/>
    </xf>
    <xf numFmtId="167" fontId="28" fillId="0" borderId="33" xfId="38" applyNumberFormat="1" applyFont="1" applyFill="1" applyBorder="1" applyAlignment="1">
      <alignment vertical="center"/>
    </xf>
    <xf numFmtId="167" fontId="28" fillId="0" borderId="360" xfId="38" applyNumberFormat="1" applyFont="1" applyFill="1" applyBorder="1" applyAlignment="1">
      <alignment vertical="center"/>
    </xf>
    <xf numFmtId="167" fontId="28" fillId="0" borderId="359" xfId="38" applyNumberFormat="1" applyFont="1" applyFill="1" applyBorder="1" applyAlignment="1">
      <alignment vertical="center"/>
    </xf>
    <xf numFmtId="167" fontId="28" fillId="0" borderId="361" xfId="38" applyNumberFormat="1" applyFont="1" applyFill="1" applyBorder="1" applyAlignment="1">
      <alignment vertical="center"/>
    </xf>
    <xf numFmtId="167" fontId="19" fillId="0" borderId="359" xfId="38" applyNumberFormat="1" applyFont="1" applyFill="1" applyBorder="1" applyAlignment="1">
      <alignment vertical="center"/>
    </xf>
    <xf numFmtId="0" fontId="7" fillId="0" borderId="386" xfId="3" applyFont="1" applyBorder="1" applyAlignment="1">
      <alignment horizontal="left" vertical="center" indent="1"/>
    </xf>
    <xf numFmtId="165" fontId="27" fillId="0" borderId="387" xfId="36" applyNumberFormat="1" applyFont="1" applyFill="1" applyBorder="1" applyAlignment="1">
      <alignment horizontal="right" vertical="center"/>
    </xf>
    <xf numFmtId="165" fontId="28" fillId="0" borderId="191" xfId="36" applyNumberFormat="1" applyFont="1" applyFill="1" applyBorder="1" applyAlignment="1">
      <alignment vertical="center"/>
    </xf>
    <xf numFmtId="165" fontId="28" fillId="0" borderId="388" xfId="36" applyNumberFormat="1" applyFont="1" applyFill="1" applyBorder="1" applyAlignment="1">
      <alignment vertical="center"/>
    </xf>
    <xf numFmtId="165" fontId="28" fillId="0" borderId="387" xfId="36" applyNumberFormat="1" applyFont="1" applyFill="1" applyBorder="1" applyAlignment="1">
      <alignment vertical="center"/>
    </xf>
    <xf numFmtId="165" fontId="28" fillId="0" borderId="389" xfId="36" applyNumberFormat="1" applyFont="1" applyFill="1" applyBorder="1" applyAlignment="1">
      <alignment vertical="center"/>
    </xf>
    <xf numFmtId="165" fontId="28" fillId="0" borderId="387" xfId="36" applyNumberFormat="1" applyFont="1" applyFill="1" applyBorder="1" applyAlignment="1">
      <alignment horizontal="right" vertical="center"/>
    </xf>
    <xf numFmtId="165" fontId="27" fillId="0" borderId="387" xfId="17" applyNumberFormat="1" applyFont="1" applyFill="1" applyBorder="1" applyAlignment="1">
      <alignment horizontal="right" vertical="center"/>
    </xf>
    <xf numFmtId="165" fontId="28" fillId="0" borderId="191" xfId="17" applyNumberFormat="1" applyFont="1" applyFill="1" applyBorder="1" applyAlignment="1">
      <alignment vertical="center"/>
    </xf>
    <xf numFmtId="165" fontId="28" fillId="0" borderId="388" xfId="17" applyNumberFormat="1" applyFont="1" applyFill="1" applyBorder="1" applyAlignment="1">
      <alignment vertical="center"/>
    </xf>
    <xf numFmtId="165" fontId="28" fillId="0" borderId="387" xfId="17" applyNumberFormat="1" applyFont="1" applyFill="1" applyBorder="1" applyAlignment="1">
      <alignment vertical="center"/>
    </xf>
    <xf numFmtId="165" fontId="28" fillId="0" borderId="389" xfId="17" applyNumberFormat="1" applyFont="1" applyFill="1" applyBorder="1" applyAlignment="1">
      <alignment vertical="center"/>
    </xf>
    <xf numFmtId="165" fontId="28" fillId="0" borderId="387" xfId="17" applyNumberFormat="1" applyFont="1" applyFill="1" applyBorder="1" applyAlignment="1">
      <alignment horizontal="right" vertical="center"/>
    </xf>
    <xf numFmtId="0" fontId="29" fillId="0" borderId="390" xfId="3" applyFont="1" applyBorder="1" applyAlignment="1">
      <alignment horizontal="left" vertical="center"/>
    </xf>
    <xf numFmtId="43" fontId="27" fillId="0" borderId="391" xfId="26" applyFont="1" applyFill="1" applyBorder="1" applyAlignment="1">
      <alignment horizontal="right" vertical="center"/>
    </xf>
    <xf numFmtId="43" fontId="28" fillId="0" borderId="100" xfId="26" applyFont="1" applyFill="1" applyBorder="1" applyAlignment="1">
      <alignment vertical="center"/>
    </xf>
    <xf numFmtId="43" fontId="28" fillId="0" borderId="392" xfId="26" applyFont="1" applyFill="1" applyBorder="1" applyAlignment="1">
      <alignment vertical="center"/>
    </xf>
    <xf numFmtId="43" fontId="28" fillId="0" borderId="391" xfId="26" applyFont="1" applyFill="1" applyBorder="1" applyAlignment="1">
      <alignment horizontal="right" vertical="center"/>
    </xf>
    <xf numFmtId="43" fontId="28" fillId="0" borderId="393" xfId="26" applyFont="1" applyFill="1" applyBorder="1" applyAlignment="1">
      <alignment horizontal="right" vertical="center"/>
    </xf>
    <xf numFmtId="0" fontId="24" fillId="0" borderId="195" xfId="3" applyBorder="1"/>
    <xf numFmtId="0" fontId="44" fillId="0" borderId="0" xfId="16" applyFont="1" applyAlignment="1">
      <alignment horizontal="left" vertical="center"/>
    </xf>
    <xf numFmtId="0" fontId="55" fillId="0" borderId="0" xfId="16"/>
    <xf numFmtId="0" fontId="94" fillId="0" borderId="5" xfId="35" applyFont="1" applyBorder="1" applyAlignment="1">
      <alignment horizontal="center" vertical="center"/>
    </xf>
    <xf numFmtId="0" fontId="27" fillId="0" borderId="229" xfId="3" applyFont="1" applyBorder="1" applyAlignment="1">
      <alignment vertical="center"/>
    </xf>
    <xf numFmtId="165" fontId="28" fillId="0" borderId="28" xfId="36" quotePrefix="1" applyNumberFormat="1" applyFont="1" applyFill="1" applyBorder="1" applyAlignment="1">
      <alignment vertical="center"/>
    </xf>
    <xf numFmtId="0" fontId="28" fillId="0" borderId="347" xfId="16" applyFont="1" applyBorder="1" applyAlignment="1">
      <alignment horizontal="left" vertical="center" wrapText="1" indent="1"/>
    </xf>
    <xf numFmtId="165" fontId="27" fillId="0" borderId="359" xfId="38" applyNumberFormat="1" applyFont="1" applyFill="1" applyBorder="1" applyAlignment="1">
      <alignment horizontal="right" vertical="center"/>
    </xf>
    <xf numFmtId="165" fontId="28" fillId="0" borderId="359" xfId="38" applyNumberFormat="1" applyFont="1" applyFill="1" applyBorder="1" applyAlignment="1">
      <alignment horizontal="right" vertical="center"/>
    </xf>
    <xf numFmtId="0" fontId="28" fillId="0" borderId="347" xfId="16" applyFont="1" applyBorder="1" applyAlignment="1">
      <alignment horizontal="left" vertical="center" wrapText="1" indent="2"/>
    </xf>
    <xf numFmtId="0" fontId="28" fillId="0" borderId="347" xfId="16" applyFont="1" applyBorder="1" applyAlignment="1">
      <alignment horizontal="left" vertical="center" indent="2"/>
    </xf>
    <xf numFmtId="0" fontId="28" fillId="0" borderId="360" xfId="16" applyFont="1" applyBorder="1" applyAlignment="1">
      <alignment horizontal="left" vertical="center" indent="1"/>
    </xf>
    <xf numFmtId="10" fontId="27" fillId="0" borderId="359" xfId="1" applyNumberFormat="1" applyFont="1" applyFill="1" applyBorder="1" applyAlignment="1">
      <alignment horizontal="right" vertical="center"/>
    </xf>
    <xf numFmtId="10" fontId="28" fillId="0" borderId="33" xfId="1" applyNumberFormat="1" applyFont="1" applyFill="1" applyBorder="1" applyAlignment="1">
      <alignment vertical="center"/>
    </xf>
    <xf numFmtId="10" fontId="28" fillId="0" borderId="360" xfId="1" applyNumberFormat="1" applyFont="1" applyFill="1" applyBorder="1" applyAlignment="1">
      <alignment vertical="center"/>
    </xf>
    <xf numFmtId="10" fontId="28" fillId="0" borderId="359" xfId="1" applyNumberFormat="1" applyFont="1" applyFill="1" applyBorder="1" applyAlignment="1">
      <alignment vertical="center"/>
    </xf>
    <xf numFmtId="10" fontId="28" fillId="0" borderId="361" xfId="1" applyNumberFormat="1" applyFont="1" applyFill="1" applyBorder="1" applyAlignment="1">
      <alignment vertical="center"/>
    </xf>
    <xf numFmtId="0" fontId="27" fillId="0" borderId="360" xfId="16" applyFont="1" applyBorder="1" applyAlignment="1">
      <alignment horizontal="left" vertical="center"/>
    </xf>
    <xf numFmtId="10" fontId="27" fillId="0" borderId="394" xfId="1" applyNumberFormat="1" applyFont="1" applyFill="1" applyBorder="1" applyAlignment="1">
      <alignment horizontal="right" vertical="center"/>
    </xf>
    <xf numFmtId="10" fontId="28" fillId="0" borderId="38" xfId="1" applyNumberFormat="1" applyFont="1" applyFill="1" applyBorder="1" applyAlignment="1">
      <alignment vertical="center"/>
    </xf>
    <xf numFmtId="10" fontId="28" fillId="0" borderId="395" xfId="1" applyNumberFormat="1" applyFont="1" applyFill="1" applyBorder="1" applyAlignment="1">
      <alignment vertical="center"/>
    </xf>
    <xf numFmtId="10" fontId="28" fillId="0" borderId="394" xfId="1" applyNumberFormat="1" applyFont="1" applyFill="1" applyBorder="1" applyAlignment="1">
      <alignment vertical="center"/>
    </xf>
    <xf numFmtId="10" fontId="28" fillId="0" borderId="396" xfId="1" applyNumberFormat="1" applyFont="1" applyFill="1" applyBorder="1" applyAlignment="1">
      <alignment vertical="center"/>
    </xf>
    <xf numFmtId="10" fontId="28" fillId="0" borderId="359" xfId="1" applyNumberFormat="1" applyFont="1" applyFill="1" applyBorder="1" applyAlignment="1">
      <alignment horizontal="right" vertical="center"/>
    </xf>
    <xf numFmtId="0" fontId="27" fillId="0" borderId="368" xfId="3" applyFont="1" applyBorder="1" applyAlignment="1">
      <alignment horizontal="left" vertical="center"/>
    </xf>
    <xf numFmtId="10" fontId="28" fillId="0" borderId="394" xfId="1" applyNumberFormat="1" applyFont="1" applyFill="1" applyBorder="1" applyAlignment="1">
      <alignment horizontal="right" vertical="center"/>
    </xf>
    <xf numFmtId="0" fontId="13" fillId="0" borderId="0" xfId="0" applyFont="1" applyAlignment="1">
      <alignment horizontal="right"/>
    </xf>
    <xf numFmtId="0" fontId="14" fillId="0" borderId="0" xfId="2" applyFont="1" applyBorder="1" applyAlignment="1">
      <alignment horizontal="right" vertical="center"/>
    </xf>
    <xf numFmtId="0" fontId="12"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right" vertical="center"/>
    </xf>
    <xf numFmtId="0" fontId="11" fillId="0" borderId="0" xfId="0" applyFont="1" applyAlignment="1">
      <alignment horizontal="right" vertical="center"/>
    </xf>
    <xf numFmtId="0" fontId="22" fillId="0" borderId="0" xfId="0" applyFont="1" applyAlignment="1">
      <alignment horizontal="left" vertical="top" wrapText="1"/>
    </xf>
    <xf numFmtId="0" fontId="7" fillId="0" borderId="0" xfId="3" applyFont="1" applyAlignment="1">
      <alignment horizontal="left" vertical="top" wrapText="1" indent="2"/>
    </xf>
    <xf numFmtId="0" fontId="29" fillId="0" borderId="0" xfId="3" applyFont="1" applyAlignment="1">
      <alignment vertical="top" wrapText="1"/>
    </xf>
    <xf numFmtId="0" fontId="7" fillId="3" borderId="0" xfId="3" applyFont="1" applyFill="1" applyAlignment="1">
      <alignment horizontal="left" vertical="top" wrapText="1" indent="1"/>
    </xf>
    <xf numFmtId="0" fontId="7" fillId="0" borderId="0" xfId="3" applyFont="1" applyAlignment="1">
      <alignment horizontal="left" vertical="top" wrapText="1" indent="1"/>
    </xf>
    <xf numFmtId="0" fontId="7" fillId="0" borderId="0" xfId="3" applyFont="1" applyAlignment="1">
      <alignment horizontal="left" vertical="top" indent="1"/>
    </xf>
    <xf numFmtId="0" fontId="20" fillId="0" borderId="0" xfId="3" applyFont="1" applyAlignment="1">
      <alignment horizontal="left"/>
    </xf>
    <xf numFmtId="0" fontId="7" fillId="0" borderId="0" xfId="3" applyFont="1" applyAlignment="1">
      <alignment horizontal="left" vertical="top" wrapText="1"/>
    </xf>
    <xf numFmtId="0" fontId="41" fillId="0" borderId="0" xfId="3" quotePrefix="1" applyFont="1" applyAlignment="1">
      <alignment horizontal="left" vertical="center" wrapText="1"/>
    </xf>
    <xf numFmtId="0" fontId="41" fillId="0" borderId="0" xfId="3" quotePrefix="1" applyFont="1" applyAlignment="1">
      <alignment horizontal="left" vertical="center"/>
    </xf>
    <xf numFmtId="0" fontId="41" fillId="0" borderId="0" xfId="3" applyFont="1" applyAlignment="1">
      <alignment horizontal="left" vertical="center"/>
    </xf>
    <xf numFmtId="0" fontId="25" fillId="2" borderId="0" xfId="3" applyFont="1" applyFill="1" applyAlignment="1">
      <alignment vertical="center"/>
    </xf>
    <xf numFmtId="0" fontId="1" fillId="0" borderId="0" xfId="3" applyFont="1" applyAlignment="1">
      <alignment vertical="center"/>
    </xf>
    <xf numFmtId="0" fontId="7" fillId="0" borderId="0" xfId="3" applyFont="1" applyAlignment="1">
      <alignment horizontal="left" vertical="top"/>
    </xf>
    <xf numFmtId="0" fontId="30" fillId="0" borderId="3" xfId="3" applyFont="1" applyBorder="1" applyAlignment="1">
      <alignment horizontal="left" vertical="top"/>
    </xf>
    <xf numFmtId="0" fontId="36" fillId="0" borderId="5" xfId="3" applyFont="1" applyBorder="1" applyAlignment="1">
      <alignment horizontal="center" vertical="center"/>
    </xf>
    <xf numFmtId="0" fontId="36" fillId="0" borderId="6" xfId="3" applyFont="1" applyBorder="1" applyAlignment="1">
      <alignment horizontal="center" vertical="center"/>
    </xf>
    <xf numFmtId="0" fontId="20" fillId="0" borderId="0" xfId="3" applyFont="1" applyAlignment="1">
      <alignment horizontal="left" vertical="center"/>
    </xf>
    <xf numFmtId="0" fontId="19" fillId="0" borderId="0" xfId="3" applyFont="1" applyAlignment="1">
      <alignment horizontal="left" vertical="center" wrapText="1"/>
    </xf>
    <xf numFmtId="0" fontId="42" fillId="4" borderId="24" xfId="3" applyFont="1" applyFill="1" applyBorder="1" applyAlignment="1">
      <alignment horizontal="left" vertical="center" wrapText="1"/>
    </xf>
    <xf numFmtId="0" fontId="42" fillId="4" borderId="29" xfId="3" applyFont="1" applyFill="1" applyBorder="1" applyAlignment="1">
      <alignment horizontal="left" vertical="center" wrapText="1"/>
    </xf>
    <xf numFmtId="0" fontId="40" fillId="0" borderId="39" xfId="3" applyFont="1" applyBorder="1" applyAlignment="1">
      <alignment horizontal="left" vertical="center"/>
    </xf>
    <xf numFmtId="0" fontId="25" fillId="2" borderId="0" xfId="3" applyFont="1" applyFill="1" applyAlignment="1">
      <alignment horizontal="left" vertical="center"/>
    </xf>
    <xf numFmtId="0" fontId="23" fillId="0" borderId="0" xfId="3" applyFont="1" applyAlignment="1">
      <alignment horizontal="left" vertical="center" wrapText="1"/>
    </xf>
    <xf numFmtId="0" fontId="45" fillId="4" borderId="17" xfId="3" applyFont="1" applyFill="1" applyBorder="1" applyAlignment="1">
      <alignment horizontal="left" vertical="center" wrapText="1"/>
    </xf>
    <xf numFmtId="0" fontId="45" fillId="4" borderId="18" xfId="3" applyFont="1" applyFill="1" applyBorder="1" applyAlignment="1">
      <alignment horizontal="left" vertical="center" wrapText="1"/>
    </xf>
    <xf numFmtId="0" fontId="45" fillId="4" borderId="19" xfId="3" applyFont="1" applyFill="1" applyBorder="1" applyAlignment="1">
      <alignment horizontal="left" vertical="center" wrapText="1"/>
    </xf>
    <xf numFmtId="0" fontId="46" fillId="4" borderId="20" xfId="3" applyFont="1" applyFill="1" applyBorder="1" applyAlignment="1">
      <alignment horizontal="center" vertical="center"/>
    </xf>
    <xf numFmtId="0" fontId="46" fillId="4" borderId="18" xfId="3" applyFont="1" applyFill="1" applyBorder="1" applyAlignment="1">
      <alignment horizontal="center" vertical="center"/>
    </xf>
    <xf numFmtId="0" fontId="40" fillId="0" borderId="0" xfId="3" applyFont="1" applyAlignment="1">
      <alignment horizontal="left" vertical="center"/>
    </xf>
    <xf numFmtId="0" fontId="25" fillId="2" borderId="40" xfId="3" applyFont="1" applyFill="1" applyBorder="1" applyAlignment="1">
      <alignment horizontal="left" vertical="center"/>
    </xf>
    <xf numFmtId="0" fontId="7" fillId="0" borderId="42" xfId="3" applyFont="1" applyBorder="1" applyAlignment="1">
      <alignment horizontal="center" vertical="center"/>
    </xf>
    <xf numFmtId="0" fontId="7" fillId="0" borderId="43" xfId="3" applyFont="1" applyBorder="1" applyAlignment="1">
      <alignment horizontal="center" vertical="center"/>
    </xf>
    <xf numFmtId="0" fontId="40" fillId="0" borderId="54" xfId="3" applyFont="1" applyBorder="1" applyAlignment="1">
      <alignment horizontal="left" vertical="center"/>
    </xf>
    <xf numFmtId="0" fontId="40" fillId="0" borderId="0" xfId="3" applyFont="1" applyAlignment="1">
      <alignment horizontal="left" vertical="center" wrapText="1"/>
    </xf>
    <xf numFmtId="0" fontId="25" fillId="2" borderId="65" xfId="3" applyFont="1" applyFill="1" applyBorder="1" applyAlignment="1">
      <alignment horizontal="left" vertical="center"/>
    </xf>
    <xf numFmtId="0" fontId="7" fillId="0" borderId="69" xfId="3" applyFont="1" applyBorder="1" applyAlignment="1">
      <alignment horizontal="center" vertical="center"/>
    </xf>
    <xf numFmtId="0" fontId="7" fillId="0" borderId="67" xfId="3" applyFont="1" applyBorder="1" applyAlignment="1">
      <alignment horizontal="center" vertical="center"/>
    </xf>
    <xf numFmtId="3" fontId="25" fillId="2" borderId="83" xfId="4" applyNumberFormat="1" applyFont="1" applyFill="1" applyBorder="1" applyAlignment="1" applyProtection="1">
      <alignment horizontal="left" vertical="center" wrapText="1"/>
      <protection locked="0"/>
    </xf>
    <xf numFmtId="0" fontId="7" fillId="0" borderId="85" xfId="3" applyFont="1" applyBorder="1" applyAlignment="1" applyProtection="1">
      <alignment horizontal="center" vertical="center"/>
      <protection locked="0"/>
    </xf>
    <xf numFmtId="0" fontId="7" fillId="0" borderId="86" xfId="3" applyFont="1" applyBorder="1" applyAlignment="1" applyProtection="1">
      <alignment horizontal="center" vertical="center"/>
      <protection locked="0"/>
    </xf>
    <xf numFmtId="0" fontId="41" fillId="0" borderId="0" xfId="3" quotePrefix="1" applyFont="1" applyAlignment="1" applyProtection="1">
      <alignment horizontal="left" vertical="center"/>
      <protection locked="0"/>
    </xf>
    <xf numFmtId="0" fontId="41" fillId="0" borderId="0" xfId="3" quotePrefix="1" applyFont="1" applyAlignment="1" applyProtection="1">
      <alignment horizontal="left" vertical="center" wrapText="1"/>
      <protection locked="0"/>
    </xf>
    <xf numFmtId="0" fontId="1" fillId="0" borderId="0" xfId="3" applyFont="1" applyAlignment="1">
      <alignment horizontal="left" vertical="center" wrapText="1"/>
    </xf>
    <xf numFmtId="0" fontId="23" fillId="0" borderId="0" xfId="3" quotePrefix="1" applyFont="1" applyAlignment="1" applyProtection="1">
      <alignment horizontal="left" vertical="center" wrapText="1"/>
      <protection locked="0"/>
    </xf>
    <xf numFmtId="0" fontId="40" fillId="0" borderId="0" xfId="3" quotePrefix="1" applyFont="1" applyAlignment="1" applyProtection="1">
      <alignment horizontal="left" vertical="center"/>
      <protection locked="0"/>
    </xf>
    <xf numFmtId="0" fontId="25" fillId="2" borderId="105" xfId="3" applyFont="1" applyFill="1" applyBorder="1" applyAlignment="1" applyProtection="1">
      <alignment horizontal="left" vertical="center"/>
      <protection locked="0"/>
    </xf>
    <xf numFmtId="0" fontId="52" fillId="0" borderId="105" xfId="3" applyFont="1" applyBorder="1" applyAlignment="1" applyProtection="1">
      <alignment horizontal="left" vertical="center"/>
      <protection locked="0"/>
    </xf>
    <xf numFmtId="0" fontId="53" fillId="0" borderId="107" xfId="3" applyFont="1" applyBorder="1" applyAlignment="1" applyProtection="1">
      <alignment horizontal="center" vertical="center"/>
      <protection locked="0"/>
    </xf>
    <xf numFmtId="0" fontId="53" fillId="0" borderId="108" xfId="3" applyFont="1" applyBorder="1" applyAlignment="1" applyProtection="1">
      <alignment horizontal="center" vertical="center"/>
      <protection locked="0"/>
    </xf>
    <xf numFmtId="0" fontId="53" fillId="0" borderId="106" xfId="3" applyFont="1" applyBorder="1" applyAlignment="1" applyProtection="1">
      <alignment horizontal="center" vertical="center"/>
      <protection locked="0"/>
    </xf>
    <xf numFmtId="0" fontId="54" fillId="0" borderId="107" xfId="3" applyFont="1" applyBorder="1" applyAlignment="1" applyProtection="1">
      <alignment horizontal="center" vertical="center"/>
      <protection locked="0"/>
    </xf>
    <xf numFmtId="0" fontId="54" fillId="0" borderId="108" xfId="3" applyFont="1" applyBorder="1" applyAlignment="1" applyProtection="1">
      <alignment horizontal="center" vertical="center"/>
      <protection locked="0"/>
    </xf>
    <xf numFmtId="0" fontId="54" fillId="0" borderId="106" xfId="3" applyFont="1" applyBorder="1" applyAlignment="1" applyProtection="1">
      <alignment horizontal="center" vertical="center"/>
      <protection locked="0"/>
    </xf>
    <xf numFmtId="0" fontId="19" fillId="0" borderId="107" xfId="3" applyFont="1" applyBorder="1" applyAlignment="1" applyProtection="1">
      <alignment horizontal="center" vertical="center"/>
      <protection locked="0"/>
    </xf>
    <xf numFmtId="0" fontId="19" fillId="0" borderId="108" xfId="3" applyFont="1" applyBorder="1" applyAlignment="1" applyProtection="1">
      <alignment horizontal="center" vertical="center"/>
      <protection locked="0"/>
    </xf>
    <xf numFmtId="0" fontId="23" fillId="0" borderId="0" xfId="3" quotePrefix="1" applyFont="1" applyAlignment="1" applyProtection="1">
      <alignment horizontal="left" vertical="center"/>
      <protection locked="0"/>
    </xf>
    <xf numFmtId="0" fontId="23" fillId="0" borderId="0" xfId="3" quotePrefix="1" applyFont="1" applyAlignment="1">
      <alignment horizontal="left" vertical="center"/>
    </xf>
    <xf numFmtId="0" fontId="25" fillId="2" borderId="105" xfId="3" applyFont="1" applyFill="1" applyBorder="1" applyAlignment="1">
      <alignment horizontal="left" vertical="center"/>
    </xf>
    <xf numFmtId="0" fontId="52" fillId="0" borderId="105" xfId="3" applyFont="1" applyBorder="1" applyAlignment="1">
      <alignment horizontal="left" vertical="center"/>
    </xf>
    <xf numFmtId="0" fontId="53" fillId="0" borderId="107" xfId="3" applyFont="1" applyBorder="1" applyAlignment="1">
      <alignment horizontal="center" vertical="center"/>
    </xf>
    <xf numFmtId="0" fontId="53" fillId="0" borderId="108" xfId="3" applyFont="1" applyBorder="1" applyAlignment="1">
      <alignment horizontal="center" vertical="center"/>
    </xf>
    <xf numFmtId="0" fontId="53" fillId="0" borderId="106" xfId="3" applyFont="1" applyBorder="1" applyAlignment="1">
      <alignment horizontal="center" vertical="center"/>
    </xf>
    <xf numFmtId="0" fontId="54" fillId="0" borderId="107" xfId="3" applyFont="1" applyBorder="1" applyAlignment="1">
      <alignment horizontal="center" vertical="center"/>
    </xf>
    <xf numFmtId="0" fontId="54" fillId="0" borderId="108" xfId="3" applyFont="1" applyBorder="1" applyAlignment="1">
      <alignment horizontal="center" vertical="center"/>
    </xf>
    <xf numFmtId="0" fontId="54" fillId="0" borderId="106" xfId="3" applyFont="1" applyBorder="1" applyAlignment="1">
      <alignment horizontal="center" vertical="center"/>
    </xf>
    <xf numFmtId="0" fontId="19" fillId="0" borderId="107" xfId="3" applyFont="1" applyBorder="1" applyAlignment="1">
      <alignment horizontal="center" vertical="center"/>
    </xf>
    <xf numFmtId="0" fontId="19" fillId="0" borderId="108" xfId="3" applyFont="1" applyBorder="1" applyAlignment="1">
      <alignment horizontal="center" vertical="center"/>
    </xf>
    <xf numFmtId="0" fontId="23" fillId="0" borderId="0" xfId="3" quotePrefix="1" applyFont="1" applyAlignment="1">
      <alignment horizontal="left" vertical="center" wrapText="1"/>
    </xf>
    <xf numFmtId="3" fontId="25" fillId="2" borderId="83" xfId="4" applyNumberFormat="1" applyFont="1" applyFill="1" applyBorder="1" applyAlignment="1" applyProtection="1">
      <alignment horizontal="left" vertical="center"/>
      <protection locked="0"/>
    </xf>
    <xf numFmtId="0" fontId="7" fillId="0" borderId="85" xfId="3" applyFont="1" applyBorder="1" applyAlignment="1">
      <alignment horizontal="center" vertical="center"/>
    </xf>
    <xf numFmtId="0" fontId="7" fillId="0" borderId="86" xfId="3" applyFont="1" applyBorder="1" applyAlignment="1">
      <alignment horizontal="center" vertical="center"/>
    </xf>
    <xf numFmtId="0" fontId="29" fillId="0" borderId="42" xfId="3" applyFont="1" applyBorder="1" applyAlignment="1">
      <alignment horizontal="center" vertical="center"/>
    </xf>
    <xf numFmtId="0" fontId="29" fillId="0" borderId="43" xfId="3" applyFont="1" applyBorder="1" applyAlignment="1">
      <alignment horizontal="center" vertical="center"/>
    </xf>
    <xf numFmtId="0" fontId="29" fillId="0" borderId="41" xfId="3" applyFont="1" applyBorder="1" applyAlignment="1">
      <alignment horizontal="center" vertical="center"/>
    </xf>
    <xf numFmtId="0" fontId="7" fillId="0" borderId="41" xfId="3" applyFont="1" applyBorder="1" applyAlignment="1">
      <alignment horizontal="center" vertical="center"/>
    </xf>
    <xf numFmtId="0" fontId="40" fillId="0" borderId="0" xfId="3" quotePrefix="1" applyFont="1" applyAlignment="1">
      <alignment horizontal="left" vertical="center"/>
    </xf>
    <xf numFmtId="0" fontId="25" fillId="2" borderId="180" xfId="3" applyFont="1" applyFill="1" applyBorder="1" applyAlignment="1">
      <alignment horizontal="left" vertical="center" wrapText="1"/>
    </xf>
    <xf numFmtId="0" fontId="7" fillId="0" borderId="182" xfId="3" applyFont="1" applyBorder="1" applyAlignment="1">
      <alignment horizontal="center" vertical="center"/>
    </xf>
    <xf numFmtId="0" fontId="7" fillId="0" borderId="183" xfId="3" applyFont="1" applyBorder="1" applyAlignment="1">
      <alignment horizontal="center" vertical="center"/>
    </xf>
    <xf numFmtId="0" fontId="25" fillId="2" borderId="180" xfId="3" applyFont="1" applyFill="1" applyBorder="1" applyAlignment="1">
      <alignment horizontal="left" vertical="center"/>
    </xf>
    <xf numFmtId="0" fontId="25" fillId="2" borderId="83" xfId="3" applyFont="1" applyFill="1" applyBorder="1" applyAlignment="1">
      <alignment horizontal="left" vertical="center"/>
    </xf>
    <xf numFmtId="0" fontId="41" fillId="0" borderId="0" xfId="3" quotePrefix="1" applyFont="1" applyAlignment="1">
      <alignment horizontal="left" vertical="top" wrapText="1"/>
    </xf>
    <xf numFmtId="0" fontId="41" fillId="0" borderId="0" xfId="3" applyFont="1" applyAlignment="1">
      <alignment horizontal="left" vertical="top" wrapText="1"/>
    </xf>
    <xf numFmtId="0" fontId="23" fillId="0" borderId="0" xfId="3" quotePrefix="1" applyFont="1" applyAlignment="1">
      <alignment horizontal="left" vertical="top" wrapText="1"/>
    </xf>
    <xf numFmtId="0" fontId="23" fillId="0" borderId="0" xfId="3" quotePrefix="1" applyFont="1" applyAlignment="1">
      <alignment horizontal="left" vertical="top"/>
    </xf>
    <xf numFmtId="0" fontId="20" fillId="0" borderId="182" xfId="3" applyFont="1" applyBorder="1" applyAlignment="1">
      <alignment horizontal="center" vertical="center"/>
    </xf>
    <xf numFmtId="0" fontId="20" fillId="0" borderId="183" xfId="3" applyFont="1" applyBorder="1" applyAlignment="1">
      <alignment horizontal="center" vertical="center"/>
    </xf>
    <xf numFmtId="0" fontId="20" fillId="0" borderId="181" xfId="3" applyFont="1" applyBorder="1" applyAlignment="1">
      <alignment horizontal="center" vertical="center"/>
    </xf>
    <xf numFmtId="0" fontId="19" fillId="0" borderId="182" xfId="3" applyFont="1" applyBorder="1" applyAlignment="1">
      <alignment horizontal="center" vertical="center"/>
    </xf>
    <xf numFmtId="0" fontId="19" fillId="0" borderId="183" xfId="3" applyFont="1" applyBorder="1" applyAlignment="1">
      <alignment horizontal="center" vertical="center"/>
    </xf>
    <xf numFmtId="0" fontId="19" fillId="0" borderId="181" xfId="3" applyFont="1" applyBorder="1" applyAlignment="1">
      <alignment horizontal="center" vertical="center"/>
    </xf>
    <xf numFmtId="0" fontId="57" fillId="0" borderId="0" xfId="3" applyFont="1" applyAlignment="1">
      <alignment horizontal="left" vertical="center"/>
    </xf>
    <xf numFmtId="0" fontId="57" fillId="0" borderId="0" xfId="3" quotePrefix="1" applyFont="1" applyAlignment="1" applyProtection="1">
      <alignment horizontal="left" vertical="center"/>
      <protection locked="0"/>
    </xf>
    <xf numFmtId="0" fontId="25" fillId="2" borderId="83" xfId="3" applyFont="1" applyFill="1" applyBorder="1" applyAlignment="1" applyProtection="1">
      <alignment horizontal="left" vertical="center"/>
      <protection locked="0"/>
    </xf>
    <xf numFmtId="0" fontId="59" fillId="0" borderId="85" xfId="3" applyFont="1" applyBorder="1" applyAlignment="1" applyProtection="1">
      <alignment horizontal="center" vertical="center"/>
      <protection locked="0"/>
    </xf>
    <xf numFmtId="0" fontId="59" fillId="0" borderId="86" xfId="3" applyFont="1" applyBorder="1" applyAlignment="1" applyProtection="1">
      <alignment horizontal="center" vertical="center"/>
      <protection locked="0"/>
    </xf>
    <xf numFmtId="0" fontId="59" fillId="0" borderId="84" xfId="3" applyFont="1" applyBorder="1" applyAlignment="1" applyProtection="1">
      <alignment horizontal="center" vertical="center"/>
      <protection locked="0"/>
    </xf>
    <xf numFmtId="0" fontId="19" fillId="0" borderId="85" xfId="3" applyFont="1" applyBorder="1" applyAlignment="1" applyProtection="1">
      <alignment horizontal="center" vertical="center"/>
      <protection locked="0"/>
    </xf>
    <xf numFmtId="0" fontId="19" fillId="0" borderId="86" xfId="3" applyFont="1" applyBorder="1" applyAlignment="1" applyProtection="1">
      <alignment horizontal="center" vertical="center"/>
      <protection locked="0"/>
    </xf>
    <xf numFmtId="0" fontId="62" fillId="0" borderId="0" xfId="3" quotePrefix="1" applyFont="1" applyAlignment="1" applyProtection="1">
      <alignment horizontal="left" vertical="center" wrapText="1"/>
      <protection locked="0"/>
    </xf>
    <xf numFmtId="0" fontId="63" fillId="0" borderId="182" xfId="3" applyFont="1" applyBorder="1" applyAlignment="1">
      <alignment horizontal="center" vertical="center"/>
    </xf>
    <xf numFmtId="0" fontId="63" fillId="0" borderId="183" xfId="3" applyFont="1" applyBorder="1" applyAlignment="1">
      <alignment horizontal="center" vertical="center"/>
    </xf>
    <xf numFmtId="0" fontId="63" fillId="0" borderId="181" xfId="3" applyFont="1" applyBorder="1" applyAlignment="1">
      <alignment horizontal="center" vertical="center"/>
    </xf>
    <xf numFmtId="0" fontId="64" fillId="0" borderId="182" xfId="3" applyFont="1" applyBorder="1" applyAlignment="1">
      <alignment horizontal="center" vertical="center"/>
    </xf>
    <xf numFmtId="0" fontId="64" fillId="0" borderId="183" xfId="3" applyFont="1" applyBorder="1" applyAlignment="1">
      <alignment horizontal="center" vertical="center"/>
    </xf>
    <xf numFmtId="0" fontId="64" fillId="0" borderId="181" xfId="3" applyFont="1" applyBorder="1" applyAlignment="1">
      <alignment horizontal="center" vertical="center"/>
    </xf>
    <xf numFmtId="0" fontId="25" fillId="2" borderId="17" xfId="3" applyFont="1" applyFill="1" applyBorder="1" applyAlignment="1">
      <alignment horizontal="left" vertical="center"/>
    </xf>
    <xf numFmtId="183" fontId="29" fillId="0" borderId="20" xfId="3" applyNumberFormat="1" applyFont="1" applyBorder="1" applyAlignment="1">
      <alignment horizontal="center" vertical="center"/>
    </xf>
    <xf numFmtId="183" fontId="29" fillId="0" borderId="19" xfId="3" applyNumberFormat="1" applyFont="1" applyBorder="1" applyAlignment="1">
      <alignment horizontal="center" vertical="center"/>
    </xf>
    <xf numFmtId="183" fontId="7" fillId="0" borderId="20" xfId="3" applyNumberFormat="1" applyFont="1" applyBorder="1" applyAlignment="1">
      <alignment horizontal="center" vertical="center"/>
    </xf>
    <xf numFmtId="183" fontId="7" fillId="0" borderId="19" xfId="3" applyNumberFormat="1" applyFont="1" applyBorder="1" applyAlignment="1">
      <alignment horizontal="center" vertical="center"/>
    </xf>
    <xf numFmtId="183" fontId="7" fillId="0" borderId="18" xfId="3" applyNumberFormat="1" applyFont="1" applyBorder="1" applyAlignment="1">
      <alignment horizontal="center" vertical="center"/>
    </xf>
    <xf numFmtId="0" fontId="41" fillId="0" borderId="0" xfId="3" applyFont="1" applyAlignment="1">
      <alignment horizontal="left" vertical="center" wrapText="1"/>
    </xf>
    <xf numFmtId="0" fontId="66" fillId="0" borderId="182" xfId="3" applyFont="1" applyBorder="1" applyAlignment="1">
      <alignment horizontal="center" vertical="center"/>
    </xf>
    <xf numFmtId="0" fontId="66" fillId="0" borderId="183" xfId="3" applyFont="1" applyBorder="1" applyAlignment="1">
      <alignment horizontal="center" vertical="center"/>
    </xf>
    <xf numFmtId="0" fontId="66" fillId="0" borderId="181" xfId="3" applyFont="1" applyBorder="1" applyAlignment="1">
      <alignment horizontal="center" vertical="center"/>
    </xf>
    <xf numFmtId="0" fontId="67" fillId="0" borderId="182" xfId="3" applyFont="1" applyBorder="1" applyAlignment="1">
      <alignment horizontal="center" vertical="center"/>
    </xf>
    <xf numFmtId="0" fontId="67" fillId="0" borderId="183" xfId="3" applyFont="1" applyBorder="1" applyAlignment="1">
      <alignment horizontal="center" vertical="center"/>
    </xf>
    <xf numFmtId="0" fontId="67" fillId="0" borderId="181" xfId="3" applyFont="1" applyBorder="1" applyAlignment="1">
      <alignment horizontal="center" vertical="center"/>
    </xf>
    <xf numFmtId="0" fontId="23" fillId="0" borderId="0" xfId="3" applyFont="1" applyAlignment="1">
      <alignment horizontal="left" vertical="center"/>
    </xf>
    <xf numFmtId="0" fontId="69" fillId="0" borderId="182" xfId="3" applyFont="1" applyBorder="1" applyAlignment="1">
      <alignment horizontal="center" vertical="center"/>
    </xf>
    <xf numFmtId="0" fontId="69" fillId="0" borderId="183" xfId="3" applyFont="1" applyBorder="1" applyAlignment="1">
      <alignment horizontal="center" vertical="center"/>
    </xf>
    <xf numFmtId="0" fontId="69" fillId="0" borderId="181" xfId="3" applyFont="1" applyBorder="1" applyAlignment="1">
      <alignment horizontal="center" vertical="center"/>
    </xf>
    <xf numFmtId="0" fontId="70" fillId="0" borderId="182" xfId="3" applyFont="1" applyBorder="1" applyAlignment="1">
      <alignment horizontal="center" vertical="center"/>
    </xf>
    <xf numFmtId="0" fontId="70" fillId="0" borderId="183" xfId="3" applyFont="1" applyBorder="1" applyAlignment="1">
      <alignment horizontal="center" vertical="center"/>
    </xf>
    <xf numFmtId="0" fontId="70" fillId="0" borderId="181" xfId="3" applyFont="1" applyBorder="1" applyAlignment="1">
      <alignment horizontal="center" vertical="center"/>
    </xf>
    <xf numFmtId="183" fontId="29" fillId="0" borderId="182" xfId="3" applyNumberFormat="1" applyFont="1" applyBorder="1" applyAlignment="1">
      <alignment horizontal="center" vertical="center" wrapText="1"/>
    </xf>
    <xf numFmtId="183" fontId="29" fillId="0" borderId="183" xfId="3" applyNumberFormat="1" applyFont="1" applyBorder="1" applyAlignment="1">
      <alignment horizontal="center" vertical="center" wrapText="1"/>
    </xf>
    <xf numFmtId="183" fontId="29" fillId="0" borderId="181" xfId="3" applyNumberFormat="1" applyFont="1" applyBorder="1" applyAlignment="1">
      <alignment horizontal="center" vertical="center" wrapText="1"/>
    </xf>
    <xf numFmtId="183" fontId="7" fillId="0" borderId="182" xfId="3" applyNumberFormat="1" applyFont="1" applyBorder="1" applyAlignment="1">
      <alignment horizontal="center" vertical="center" wrapText="1"/>
    </xf>
    <xf numFmtId="183" fontId="7" fillId="0" borderId="183" xfId="3" applyNumberFormat="1" applyFont="1" applyBorder="1" applyAlignment="1">
      <alignment horizontal="center" vertical="center" wrapText="1"/>
    </xf>
    <xf numFmtId="183" fontId="7" fillId="0" borderId="181" xfId="3" applyNumberFormat="1" applyFont="1" applyBorder="1" applyAlignment="1">
      <alignment horizontal="center" vertical="center" wrapText="1"/>
    </xf>
    <xf numFmtId="0" fontId="73" fillId="0" borderId="182" xfId="3" applyFont="1" applyBorder="1" applyAlignment="1">
      <alignment horizontal="center" vertical="center"/>
    </xf>
    <xf numFmtId="0" fontId="73" fillId="0" borderId="183" xfId="3" applyFont="1" applyBorder="1" applyAlignment="1">
      <alignment horizontal="center" vertical="center"/>
    </xf>
    <xf numFmtId="0" fontId="73" fillId="0" borderId="181" xfId="3" applyFont="1" applyBorder="1" applyAlignment="1">
      <alignment horizontal="center" vertical="center"/>
    </xf>
    <xf numFmtId="0" fontId="74" fillId="0" borderId="182" xfId="3" applyFont="1" applyBorder="1" applyAlignment="1">
      <alignment horizontal="center" vertical="center"/>
    </xf>
    <xf numFmtId="0" fontId="74" fillId="0" borderId="183" xfId="3" applyFont="1" applyBorder="1" applyAlignment="1">
      <alignment horizontal="center" vertical="center"/>
    </xf>
    <xf numFmtId="0" fontId="74" fillId="0" borderId="181" xfId="3" applyFont="1" applyBorder="1" applyAlignment="1">
      <alignment horizontal="center" vertical="center"/>
    </xf>
    <xf numFmtId="0" fontId="40" fillId="0" borderId="0" xfId="3" applyFont="1" applyAlignment="1">
      <alignment horizontal="left" wrapText="1"/>
    </xf>
    <xf numFmtId="0" fontId="75" fillId="0" borderId="182" xfId="3" applyFont="1" applyBorder="1" applyAlignment="1">
      <alignment horizontal="center" vertical="center"/>
    </xf>
    <xf numFmtId="0" fontId="75" fillId="0" borderId="183" xfId="3" applyFont="1" applyBorder="1" applyAlignment="1">
      <alignment horizontal="center" vertical="center"/>
    </xf>
    <xf numFmtId="0" fontId="75" fillId="0" borderId="181" xfId="3" applyFont="1" applyBorder="1" applyAlignment="1">
      <alignment horizontal="center" vertical="center"/>
    </xf>
    <xf numFmtId="0" fontId="76" fillId="0" borderId="182" xfId="3" applyFont="1" applyBorder="1" applyAlignment="1">
      <alignment horizontal="center" vertical="center"/>
    </xf>
    <xf numFmtId="0" fontId="76" fillId="0" borderId="183" xfId="3" applyFont="1" applyBorder="1" applyAlignment="1">
      <alignment horizontal="center" vertical="center"/>
    </xf>
    <xf numFmtId="0" fontId="76" fillId="0" borderId="181" xfId="3" applyFont="1" applyBorder="1" applyAlignment="1">
      <alignment horizontal="center" vertical="center"/>
    </xf>
    <xf numFmtId="0" fontId="7" fillId="0" borderId="303" xfId="3" applyFont="1" applyBorder="1" applyAlignment="1">
      <alignment horizontal="center" vertical="center"/>
    </xf>
    <xf numFmtId="0" fontId="77" fillId="0" borderId="42" xfId="3" applyFont="1" applyBorder="1" applyAlignment="1">
      <alignment horizontal="center" vertical="center"/>
    </xf>
    <xf numFmtId="0" fontId="77" fillId="0" borderId="43" xfId="3" applyFont="1" applyBorder="1" applyAlignment="1">
      <alignment horizontal="center" vertical="center"/>
    </xf>
    <xf numFmtId="0" fontId="77" fillId="0" borderId="41" xfId="3" applyFont="1" applyBorder="1" applyAlignment="1">
      <alignment horizontal="center" vertical="center"/>
    </xf>
    <xf numFmtId="0" fontId="78" fillId="0" borderId="42" xfId="3" applyFont="1" applyBorder="1" applyAlignment="1">
      <alignment horizontal="center" vertical="center"/>
    </xf>
    <xf numFmtId="0" fontId="78" fillId="0" borderId="43" xfId="3" applyFont="1" applyBorder="1" applyAlignment="1">
      <alignment horizontal="center" vertical="center"/>
    </xf>
    <xf numFmtId="0" fontId="78" fillId="0" borderId="41" xfId="3" applyFont="1" applyBorder="1" applyAlignment="1">
      <alignment horizontal="center" vertical="center"/>
    </xf>
    <xf numFmtId="0" fontId="1" fillId="0" borderId="0" xfId="3" applyFont="1" applyAlignment="1">
      <alignment horizontal="left" vertical="center"/>
    </xf>
    <xf numFmtId="0" fontId="19" fillId="0" borderId="42" xfId="3" applyFont="1" applyBorder="1" applyAlignment="1">
      <alignment horizontal="center" vertical="center"/>
    </xf>
    <xf numFmtId="0" fontId="19" fillId="0" borderId="43" xfId="3" applyFont="1" applyBorder="1" applyAlignment="1">
      <alignment horizontal="center" vertical="center"/>
    </xf>
    <xf numFmtId="0" fontId="7" fillId="0" borderId="107" xfId="3" applyFont="1" applyBorder="1" applyAlignment="1">
      <alignment horizontal="center" vertical="center"/>
    </xf>
    <xf numFmtId="0" fontId="7" fillId="0" borderId="108" xfId="3" applyFont="1" applyBorder="1" applyAlignment="1">
      <alignment horizontal="center" vertical="center"/>
    </xf>
    <xf numFmtId="0" fontId="29" fillId="0" borderId="107" xfId="3" applyFont="1" applyBorder="1" applyAlignment="1" applyProtection="1">
      <alignment horizontal="center" vertical="center"/>
      <protection locked="0"/>
    </xf>
    <xf numFmtId="0" fontId="29" fillId="0" borderId="108" xfId="3" applyFont="1" applyBorder="1" applyAlignment="1" applyProtection="1">
      <alignment horizontal="center" vertical="center"/>
      <protection locked="0"/>
    </xf>
    <xf numFmtId="0" fontId="29" fillId="0" borderId="106" xfId="3" applyFont="1" applyBorder="1" applyAlignment="1" applyProtection="1">
      <alignment horizontal="center" vertical="center"/>
      <protection locked="0"/>
    </xf>
    <xf numFmtId="0" fontId="7" fillId="0" borderId="107" xfId="3" applyFont="1" applyBorder="1" applyAlignment="1" applyProtection="1">
      <alignment horizontal="center" vertical="center"/>
      <protection locked="0"/>
    </xf>
    <xf numFmtId="0" fontId="7" fillId="0" borderId="108" xfId="3" applyFont="1" applyBorder="1" applyAlignment="1" applyProtection="1">
      <alignment horizontal="center" vertical="center"/>
      <protection locked="0"/>
    </xf>
    <xf numFmtId="0" fontId="7" fillId="0" borderId="106" xfId="3" applyFont="1" applyBorder="1" applyAlignment="1" applyProtection="1">
      <alignment horizontal="center" vertical="center"/>
      <protection locked="0"/>
    </xf>
    <xf numFmtId="0" fontId="42" fillId="0" borderId="0" xfId="34" quotePrefix="1" applyFont="1" applyAlignment="1">
      <alignment vertical="center"/>
    </xf>
    <xf numFmtId="0" fontId="42" fillId="0" borderId="0" xfId="34" applyFont="1" applyAlignment="1">
      <alignment vertical="center"/>
    </xf>
    <xf numFmtId="0" fontId="7" fillId="0" borderId="0" xfId="3" applyFont="1" applyAlignment="1">
      <alignment horizontal="left" vertical="center"/>
    </xf>
    <xf numFmtId="0" fontId="15" fillId="0" borderId="20" xfId="3" applyFont="1" applyBorder="1" applyAlignment="1">
      <alignment horizontal="center" vertical="center"/>
    </xf>
    <xf numFmtId="0" fontId="15" fillId="0" borderId="18" xfId="3" applyFont="1" applyBorder="1" applyAlignment="1">
      <alignment horizontal="center" vertical="center"/>
    </xf>
    <xf numFmtId="0" fontId="15" fillId="0" borderId="19" xfId="3" applyFont="1" applyBorder="1" applyAlignment="1">
      <alignment horizontal="center" vertical="center"/>
    </xf>
    <xf numFmtId="0" fontId="60" fillId="0" borderId="20" xfId="3" applyFont="1" applyBorder="1" applyAlignment="1">
      <alignment horizontal="center" vertical="center"/>
    </xf>
    <xf numFmtId="0" fontId="60" fillId="0" borderId="18" xfId="3" applyFont="1" applyBorder="1" applyAlignment="1">
      <alignment horizontal="center" vertical="center"/>
    </xf>
    <xf numFmtId="0" fontId="60" fillId="0" borderId="19" xfId="3" applyFont="1" applyBorder="1" applyAlignment="1">
      <alignment horizontal="center" vertical="center"/>
    </xf>
    <xf numFmtId="0" fontId="19" fillId="0" borderId="20" xfId="3" applyFont="1" applyBorder="1" applyAlignment="1">
      <alignment horizontal="center" vertical="center"/>
    </xf>
    <xf numFmtId="0" fontId="19" fillId="0" borderId="18" xfId="3" applyFont="1" applyBorder="1" applyAlignment="1">
      <alignment horizontal="center" vertical="center"/>
    </xf>
    <xf numFmtId="0" fontId="26" fillId="2" borderId="3" xfId="35" applyFont="1" applyFill="1" applyBorder="1" applyAlignment="1">
      <alignment horizontal="left" vertical="center"/>
    </xf>
    <xf numFmtId="0" fontId="15" fillId="0" borderId="5" xfId="35" applyFont="1" applyBorder="1" applyAlignment="1">
      <alignment horizontal="center" vertical="center"/>
    </xf>
    <xf numFmtId="0" fontId="15" fillId="0" borderId="6" xfId="35" applyFont="1" applyBorder="1" applyAlignment="1">
      <alignment horizontal="center" vertical="center"/>
    </xf>
    <xf numFmtId="0" fontId="15" fillId="0" borderId="4" xfId="35" applyFont="1" applyBorder="1" applyAlignment="1">
      <alignment horizontal="center" vertical="center"/>
    </xf>
    <xf numFmtId="0" fontId="60" fillId="0" borderId="5" xfId="35" applyFont="1" applyBorder="1" applyAlignment="1">
      <alignment horizontal="center" vertical="center"/>
    </xf>
    <xf numFmtId="0" fontId="60" fillId="0" borderId="6" xfId="35" applyFont="1" applyBorder="1" applyAlignment="1">
      <alignment horizontal="center" vertical="center"/>
    </xf>
    <xf numFmtId="0" fontId="60" fillId="0" borderId="4" xfId="35" applyFont="1" applyBorder="1" applyAlignment="1">
      <alignment horizontal="center" vertical="center"/>
    </xf>
    <xf numFmtId="0" fontId="28" fillId="0" borderId="5" xfId="35" applyFont="1" applyBorder="1" applyAlignment="1">
      <alignment horizontal="center" vertical="center"/>
    </xf>
    <xf numFmtId="0" fontId="28" fillId="0" borderId="6" xfId="35" applyFont="1" applyBorder="1" applyAlignment="1">
      <alignment horizontal="center" vertical="center"/>
    </xf>
    <xf numFmtId="0" fontId="44" fillId="0" borderId="0" xfId="16" applyFont="1" applyAlignment="1">
      <alignment horizontal="left" vertical="center"/>
    </xf>
    <xf numFmtId="0" fontId="93" fillId="0" borderId="5" xfId="35" applyFont="1" applyBorder="1" applyAlignment="1">
      <alignment horizontal="center" vertical="center"/>
    </xf>
    <xf numFmtId="0" fontId="93" fillId="0" borderId="6" xfId="35" applyFont="1" applyBorder="1" applyAlignment="1">
      <alignment horizontal="center" vertical="center"/>
    </xf>
    <xf numFmtId="0" fontId="93" fillId="0" borderId="4" xfId="35" applyFont="1" applyBorder="1" applyAlignment="1">
      <alignment horizontal="center" vertical="center"/>
    </xf>
    <xf numFmtId="0" fontId="94" fillId="0" borderId="5" xfId="35" applyFont="1" applyBorder="1" applyAlignment="1">
      <alignment horizontal="center" vertical="center"/>
    </xf>
    <xf numFmtId="0" fontId="94" fillId="0" borderId="6" xfId="35" applyFont="1" applyBorder="1" applyAlignment="1">
      <alignment horizontal="center" vertical="center"/>
    </xf>
    <xf numFmtId="0" fontId="94" fillId="0" borderId="4" xfId="35" applyFont="1" applyBorder="1" applyAlignment="1">
      <alignment horizontal="center" vertical="center"/>
    </xf>
  </cellXfs>
  <cellStyles count="39">
    <cellStyle name="Comma 10 10" xfId="26" xr:uid="{930B8548-DC81-47CA-A97E-A8E0C63E98E2}"/>
    <cellStyle name="Comma 106" xfId="4" xr:uid="{23827542-1968-4FAD-9E6B-5644F1795F01}"/>
    <cellStyle name="Comma 106 2" xfId="17" xr:uid="{18E2733E-75F0-4ACD-B687-DE90E7AD08F3}"/>
    <cellStyle name="Comma 106 2 3" xfId="38" xr:uid="{3C1A0643-4672-4BBE-947C-AA9C69086C76}"/>
    <cellStyle name="Comma 106 3 2" xfId="29" xr:uid="{FC56CD09-251C-4C0C-B3A3-A0DAA34E47DC}"/>
    <cellStyle name="Comma 106 6" xfId="20" xr:uid="{3C346C05-8EF8-4DAF-8475-DAE15DB5C2EE}"/>
    <cellStyle name="Comma 11 6" xfId="23" xr:uid="{8F2659BE-725A-44A5-8859-B95D6B9FAB78}"/>
    <cellStyle name="Comma 17 4" xfId="19" xr:uid="{E2532525-EC3E-4DC0-8664-8D43BCB0307B}"/>
    <cellStyle name="Comma 2 3 5" xfId="22" xr:uid="{B153215C-E3F4-4C8B-80D0-FB56E83A91E8}"/>
    <cellStyle name="Comma 2 5 2 2" xfId="32" xr:uid="{99F5FB2A-B110-462D-8B6B-4C329BD398E9}"/>
    <cellStyle name="Comma 2 5 4" xfId="30" xr:uid="{16FEAB23-286F-44F5-B4E4-B0F6B3747926}"/>
    <cellStyle name="Comma 2 60" xfId="36" xr:uid="{F3326091-483F-4076-AD38-12BA090D8787}"/>
    <cellStyle name="Comma 2 60 4" xfId="37" xr:uid="{F4EA83D4-FAAB-4952-8838-AB69680E5F6C}"/>
    <cellStyle name="Comma 21 4" xfId="31" xr:uid="{8AEC9250-E123-4306-8D47-804C050C9774}"/>
    <cellStyle name="Comma 5 6" xfId="27" xr:uid="{9F22FD78-01D9-4917-A3E6-E215ECF3D136}"/>
    <cellStyle name="Comma 7 6" xfId="24" xr:uid="{553DDFED-1219-4915-A813-9C9495FEE8D9}"/>
    <cellStyle name="Comma 8 2 4" xfId="28" xr:uid="{64D31F49-F69A-4109-B248-F63CA8F86D9F}"/>
    <cellStyle name="Comma 8 7" xfId="21" xr:uid="{9A3C7744-348B-4D62-8486-DB43C4515865}"/>
    <cellStyle name="Comma 9 9" xfId="25" xr:uid="{CDB78B6B-832B-4EC6-A2F1-B95BFADA4419}"/>
    <cellStyle name="Hyperlink" xfId="2" builtinId="8"/>
    <cellStyle name="Normal" xfId="0" builtinId="0"/>
    <cellStyle name="Normal 13" xfId="3" xr:uid="{A883A2C8-1B39-458F-9A8C-EE8D35C6F3D3}"/>
    <cellStyle name="Normal 13 10" xfId="16" xr:uid="{5050C3D5-59F9-4ED8-9AC3-CC835244EB89}"/>
    <cellStyle name="Normal 13 11" xfId="33" xr:uid="{B8393FC5-8897-419C-BBDA-9F85A1B87101}"/>
    <cellStyle name="Normal 13 6" xfId="5" xr:uid="{F3EB6860-7B62-419A-A6FC-899054FB074D}"/>
    <cellStyle name="Normal 13 7" xfId="18" xr:uid="{83CFE4C7-0CD3-40D0-A45F-720E96FB5AA8}"/>
    <cellStyle name="Normal 13 8" xfId="15" xr:uid="{CC671F03-4CCD-4792-9D66-B1AECA4609F7}"/>
    <cellStyle name="Normal 2 3" xfId="35" xr:uid="{E4B422DD-9789-48C5-9139-C7698C9ECA4F}"/>
    <cellStyle name="Normal 50" xfId="34" xr:uid="{1B2AA202-6AE0-4CC6-9961-4E3A48C5DB54}"/>
    <cellStyle name="Normal 51" xfId="6" xr:uid="{E98F58EE-7ADB-4340-BD17-4181DA01627F}"/>
    <cellStyle name="Normal 52" xfId="7" xr:uid="{2EFAA7E4-279B-494B-9E26-4D7F5213C928}"/>
    <cellStyle name="Normal 53" xfId="8" xr:uid="{30714A04-4675-4A5E-BC1A-6357E7A7D0CF}"/>
    <cellStyle name="Normal 54" xfId="9" xr:uid="{8A5040BC-464D-4081-8CB2-E708DEEE3F9E}"/>
    <cellStyle name="Normal 55" xfId="10" xr:uid="{638D98D9-D295-4A70-A2E9-1D13DBD33914}"/>
    <cellStyle name="Normal 56" xfId="12" xr:uid="{54BED889-D06E-40AB-9570-55C275E6E089}"/>
    <cellStyle name="Normal 57" xfId="11" xr:uid="{1EFDE954-B294-4A3D-9F1D-D29AD2EF49BB}"/>
    <cellStyle name="Normal 58" xfId="13" xr:uid="{3D95B04C-CD72-43A7-95EE-220D3891C226}"/>
    <cellStyle name="Normal 59" xfId="14" xr:uid="{D5A6AB07-F813-4817-AFE5-E2723A980DE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632923</xdr:colOff>
      <xdr:row>2</xdr:row>
      <xdr:rowOff>129269</xdr:rowOff>
    </xdr:from>
    <xdr:to>
      <xdr:col>7</xdr:col>
      <xdr:colOff>78465</xdr:colOff>
      <xdr:row>7</xdr:row>
      <xdr:rowOff>84819</xdr:rowOff>
    </xdr:to>
    <xdr:pic>
      <xdr:nvPicPr>
        <xdr:cNvPr id="2" name="Picture 1">
          <a:extLst>
            <a:ext uri="{FF2B5EF4-FFF2-40B4-BE49-F238E27FC236}">
              <a16:creationId xmlns:a16="http://schemas.microsoft.com/office/drawing/2014/main" id="{37FECE96-7836-4391-B599-81F8FAEDBA26}"/>
            </a:ext>
          </a:extLst>
        </xdr:cNvPr>
        <xdr:cNvPicPr>
          <a:picLocks noChangeAspect="1"/>
        </xdr:cNvPicPr>
      </xdr:nvPicPr>
      <xdr:blipFill>
        <a:blip xmlns:r="http://schemas.openxmlformats.org/officeDocument/2006/relationships" r:embed="rId1"/>
        <a:stretch>
          <a:fillRect/>
        </a:stretch>
      </xdr:blipFill>
      <xdr:spPr>
        <a:xfrm>
          <a:off x="636098" y="497569"/>
          <a:ext cx="4481092" cy="914400"/>
        </a:xfrm>
        <a:prstGeom prst="rect">
          <a:avLst/>
        </a:prstGeom>
      </xdr:spPr>
    </xdr:pic>
    <xdr:clientData/>
  </xdr:twoCellAnchor>
  <xdr:twoCellAnchor>
    <xdr:from>
      <xdr:col>0</xdr:col>
      <xdr:colOff>27214</xdr:colOff>
      <xdr:row>0</xdr:row>
      <xdr:rowOff>27214</xdr:rowOff>
    </xdr:from>
    <xdr:to>
      <xdr:col>17</xdr:col>
      <xdr:colOff>0</xdr:colOff>
      <xdr:row>34</xdr:row>
      <xdr:rowOff>163286</xdr:rowOff>
    </xdr:to>
    <xdr:sp macro="" textlink="" fLocksText="0">
      <xdr:nvSpPr>
        <xdr:cNvPr id="3" name="Rectangle 2">
          <a:extLst>
            <a:ext uri="{FF2B5EF4-FFF2-40B4-BE49-F238E27FC236}">
              <a16:creationId xmlns:a16="http://schemas.microsoft.com/office/drawing/2014/main" id="{9B0B72E2-CD79-4EE3-8411-A382E03716A8}"/>
            </a:ext>
          </a:extLst>
        </xdr:cNvPr>
        <xdr:cNvSpPr/>
      </xdr:nvSpPr>
      <xdr:spPr>
        <a:xfrm>
          <a:off x="30389" y="30389"/>
          <a:ext cx="11390086" cy="8854622"/>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CA"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2025%20SFI%20template\SFI_Template_v5.0_Newpages.xlsm" TargetMode="External"/><Relationship Id="rId1" Type="http://schemas.openxmlformats.org/officeDocument/2006/relationships/externalLinkPath" Target="file:///\\nappgse02.bns.bns\Finance\2025%20SFI%20template\SFI_Template_v5.0_Newpag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ver"/>
      <sheetName val="ToC"/>
      <sheetName val="Notes_1"/>
      <sheetName val="Notes_2"/>
      <sheetName val="Notes_3"/>
      <sheetName val="EDTF"/>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s>
    <sheetDataSet>
      <sheetData sheetId="0">
        <row r="7">
          <cell r="D7" t="str">
            <v>FY2025</v>
          </cell>
        </row>
        <row r="8">
          <cell r="D8" t="str">
            <v>Q4 2025</v>
          </cell>
        </row>
        <row r="20">
          <cell r="I20" t="str">
            <v>ENGLISH</v>
          </cell>
        </row>
        <row r="21">
          <cell r="I21" t="str">
            <v>FRENCH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Office Theme 2007 - 2010">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eny.grauman@scotiabank.com"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278D-FA05-4DDC-870A-918A92E9227E}">
  <sheetPr codeName="Sheet5">
    <pageSetUpPr fitToPage="1"/>
  </sheetPr>
  <dimension ref="B1:P34"/>
  <sheetViews>
    <sheetView showGridLines="0" tabSelected="1" topLeftCell="A12" zoomScale="90" zoomScaleNormal="90" workbookViewId="0">
      <selection activeCell="X26" sqref="X26"/>
    </sheetView>
  </sheetViews>
  <sheetFormatPr defaultColWidth="9.21875" defaultRowHeight="15" customHeight="1" x14ac:dyDescent="0.3"/>
  <cols>
    <col min="1" max="1" width="20.77734375" customWidth="1"/>
    <col min="2" max="2" width="5.77734375" customWidth="1"/>
    <col min="3" max="17" width="9.21875" customWidth="1"/>
    <col min="18" max="18" width="3" customWidth="1"/>
  </cols>
  <sheetData>
    <row r="1" spans="2:16" ht="14.4" x14ac:dyDescent="0.3"/>
    <row r="2" spans="2:16" ht="15" customHeight="1" x14ac:dyDescent="0.3">
      <c r="B2" s="1"/>
      <c r="C2" s="2"/>
      <c r="D2" s="2"/>
      <c r="E2" s="3"/>
      <c r="F2" s="3"/>
      <c r="G2" s="3"/>
      <c r="H2" s="3"/>
      <c r="I2" s="3"/>
      <c r="J2" s="3"/>
      <c r="K2" s="3"/>
      <c r="L2" s="3"/>
      <c r="M2" s="3"/>
      <c r="N2" s="3"/>
      <c r="O2" s="3"/>
      <c r="P2" s="3"/>
    </row>
    <row r="3" spans="2:16" ht="15" customHeight="1" x14ac:dyDescent="0.3">
      <c r="B3" s="1"/>
      <c r="C3" s="2"/>
      <c r="D3" s="2"/>
      <c r="E3" s="3"/>
      <c r="F3" s="3"/>
      <c r="G3" s="3"/>
      <c r="H3" s="3"/>
      <c r="I3" s="3"/>
      <c r="J3" s="3"/>
      <c r="K3" s="3"/>
      <c r="L3" s="3"/>
      <c r="M3" s="3"/>
      <c r="N3" s="3"/>
      <c r="O3" s="3"/>
      <c r="P3" s="3"/>
    </row>
    <row r="4" spans="2:16" ht="15" customHeight="1" x14ac:dyDescent="0.3">
      <c r="B4" s="1"/>
      <c r="C4" s="2"/>
      <c r="D4" s="2"/>
      <c r="E4" s="3"/>
      <c r="F4" s="3"/>
      <c r="G4" s="3"/>
      <c r="H4" s="3"/>
      <c r="I4" s="3"/>
      <c r="J4" s="3"/>
      <c r="K4" s="3"/>
      <c r="L4" s="3"/>
      <c r="M4" s="3"/>
      <c r="N4" s="3"/>
      <c r="O4" s="3"/>
      <c r="P4" s="3"/>
    </row>
    <row r="5" spans="2:16" ht="15" customHeight="1" x14ac:dyDescent="0.3">
      <c r="B5" s="1"/>
      <c r="C5" s="2"/>
      <c r="D5" s="2"/>
      <c r="E5" s="3"/>
      <c r="F5" s="3"/>
      <c r="G5" s="3"/>
      <c r="H5" s="3"/>
      <c r="I5" s="3"/>
      <c r="J5" s="3"/>
      <c r="K5" s="3"/>
      <c r="L5" s="3"/>
      <c r="M5" s="3"/>
      <c r="N5" s="3"/>
      <c r="O5" s="3"/>
      <c r="P5" s="3"/>
    </row>
    <row r="6" spans="2:16" ht="15" customHeight="1" x14ac:dyDescent="0.3">
      <c r="B6" s="1"/>
      <c r="C6" s="2"/>
      <c r="D6" s="2"/>
      <c r="E6" s="3"/>
      <c r="F6" s="3"/>
      <c r="G6" s="3"/>
      <c r="H6" s="3"/>
      <c r="I6" s="3"/>
      <c r="J6" s="3"/>
      <c r="K6" s="3"/>
      <c r="L6" s="3"/>
      <c r="M6" s="3"/>
      <c r="N6" s="3"/>
      <c r="O6" s="3"/>
      <c r="P6" s="3"/>
    </row>
    <row r="7" spans="2:16" ht="15" customHeight="1" x14ac:dyDescent="0.3">
      <c r="B7" s="1"/>
      <c r="C7" s="2"/>
      <c r="D7" s="2"/>
      <c r="E7" s="3"/>
      <c r="F7" s="3"/>
      <c r="G7" s="3"/>
      <c r="H7" s="3"/>
      <c r="I7" s="3"/>
      <c r="J7" s="3"/>
      <c r="K7" s="3"/>
      <c r="L7" s="3"/>
      <c r="M7" s="3"/>
      <c r="N7" s="3"/>
      <c r="O7" s="3"/>
      <c r="P7" s="3"/>
    </row>
    <row r="8" spans="2:16" ht="15" customHeight="1" x14ac:dyDescent="0.3">
      <c r="B8" s="1"/>
      <c r="C8" s="2"/>
      <c r="D8" s="2"/>
      <c r="E8" s="3"/>
      <c r="F8" s="3"/>
      <c r="G8" s="3"/>
      <c r="H8" s="3"/>
      <c r="I8" s="3"/>
      <c r="J8" s="3"/>
      <c r="K8" s="3"/>
      <c r="L8" s="3"/>
      <c r="M8" s="3"/>
      <c r="N8" s="3"/>
      <c r="O8" s="3"/>
      <c r="P8" s="3"/>
    </row>
    <row r="9" spans="2:16" ht="15" customHeight="1" x14ac:dyDescent="0.3">
      <c r="B9" s="1"/>
      <c r="C9" s="2"/>
      <c r="D9" s="2"/>
      <c r="E9" s="3"/>
      <c r="F9" s="3"/>
      <c r="G9" s="3"/>
      <c r="H9" s="3"/>
      <c r="I9" s="3"/>
      <c r="J9" s="3"/>
      <c r="K9" s="3"/>
      <c r="L9" s="3"/>
      <c r="M9" s="3"/>
      <c r="N9" s="3"/>
      <c r="O9" s="3"/>
      <c r="P9" s="3"/>
    </row>
    <row r="10" spans="2:16" ht="15" customHeight="1" x14ac:dyDescent="0.3">
      <c r="B10" s="1"/>
      <c r="C10" s="2"/>
      <c r="D10" s="2"/>
      <c r="E10" s="3"/>
      <c r="F10" s="3"/>
      <c r="G10" s="3"/>
      <c r="H10" s="3"/>
      <c r="I10" s="3"/>
      <c r="J10" s="3"/>
      <c r="K10" s="3"/>
      <c r="L10" s="3"/>
      <c r="M10" s="3"/>
      <c r="N10" s="3"/>
      <c r="O10" s="3"/>
      <c r="P10" s="3"/>
    </row>
    <row r="11" spans="2:16" ht="15" customHeight="1" x14ac:dyDescent="0.3">
      <c r="B11" s="1"/>
      <c r="C11" s="2"/>
      <c r="D11" s="2"/>
      <c r="E11" s="3"/>
      <c r="F11" s="3"/>
      <c r="G11" s="3"/>
      <c r="H11" s="3"/>
      <c r="I11" s="3"/>
      <c r="J11" s="3"/>
      <c r="K11" s="3"/>
      <c r="L11" s="3"/>
      <c r="M11" s="3"/>
      <c r="N11" s="3"/>
      <c r="O11" s="3"/>
      <c r="P11" s="3"/>
    </row>
    <row r="12" spans="2:16" ht="15" customHeight="1" x14ac:dyDescent="0.3">
      <c r="B12" s="1"/>
      <c r="C12" s="2"/>
      <c r="D12" s="2"/>
      <c r="E12" s="3"/>
      <c r="F12" s="3"/>
      <c r="G12" s="3"/>
      <c r="H12" s="3"/>
      <c r="I12" s="3"/>
      <c r="J12" s="3"/>
      <c r="K12" s="3"/>
      <c r="L12" s="3"/>
      <c r="M12" s="3"/>
      <c r="N12" s="3"/>
      <c r="O12" s="3"/>
      <c r="P12" s="3"/>
    </row>
    <row r="13" spans="2:16" ht="15" customHeight="1" x14ac:dyDescent="0.3">
      <c r="B13" s="1"/>
      <c r="C13" s="2"/>
      <c r="D13" s="2"/>
      <c r="E13" s="3"/>
      <c r="F13" s="3"/>
      <c r="G13" s="3"/>
      <c r="H13" s="3"/>
      <c r="I13" s="3"/>
      <c r="J13" s="3"/>
      <c r="K13" s="3"/>
      <c r="L13" s="3"/>
      <c r="M13" s="3"/>
      <c r="N13" s="3"/>
      <c r="O13" s="3"/>
      <c r="P13" s="3"/>
    </row>
    <row r="14" spans="2:16" ht="15" customHeight="1" x14ac:dyDescent="0.3">
      <c r="B14" s="2"/>
      <c r="C14" s="3"/>
      <c r="D14" s="3"/>
      <c r="E14" s="3"/>
      <c r="F14" s="3"/>
      <c r="G14" s="3"/>
      <c r="H14" s="3"/>
      <c r="I14" s="3"/>
      <c r="J14" s="3"/>
      <c r="K14" s="3"/>
      <c r="L14" s="3"/>
      <c r="M14" s="3"/>
      <c r="N14" s="3"/>
      <c r="O14" s="3"/>
      <c r="P14" s="3"/>
    </row>
    <row r="15" spans="2:16" ht="15" customHeight="1" x14ac:dyDescent="0.3">
      <c r="B15" s="2"/>
      <c r="C15" s="3"/>
      <c r="D15" s="3"/>
      <c r="E15" s="3"/>
      <c r="F15" s="3"/>
      <c r="G15" s="3"/>
      <c r="H15" s="3"/>
      <c r="I15" s="3"/>
      <c r="J15" s="3"/>
      <c r="K15" s="3"/>
      <c r="L15" s="3"/>
      <c r="M15" s="3"/>
      <c r="N15" s="3"/>
      <c r="O15" s="3"/>
      <c r="P15" s="3"/>
    </row>
    <row r="16" spans="2:16" ht="15" customHeight="1" x14ac:dyDescent="0.3">
      <c r="B16" s="2"/>
      <c r="C16" s="3"/>
      <c r="D16" s="3"/>
      <c r="E16" s="3"/>
      <c r="F16" s="3"/>
      <c r="G16" s="3"/>
      <c r="H16" s="3"/>
      <c r="I16" s="3"/>
      <c r="J16" s="3"/>
      <c r="K16" s="3"/>
      <c r="L16" s="3"/>
      <c r="M16" s="3"/>
      <c r="N16" s="3"/>
      <c r="O16" s="3"/>
      <c r="P16" s="3"/>
    </row>
    <row r="17" spans="2:16" ht="79.5" customHeight="1" x14ac:dyDescent="0.3">
      <c r="B17" s="1"/>
      <c r="C17" s="2788" t="s">
        <v>0</v>
      </c>
      <c r="D17" s="2788"/>
      <c r="E17" s="2788"/>
      <c r="F17" s="2788"/>
      <c r="G17" s="2788"/>
      <c r="H17" s="2788"/>
      <c r="I17" s="2788"/>
      <c r="J17" s="2788"/>
      <c r="K17" s="2788"/>
      <c r="L17" s="2788"/>
      <c r="M17" s="2788"/>
      <c r="N17" s="2788"/>
      <c r="O17" s="2788"/>
      <c r="P17" s="2788"/>
    </row>
    <row r="18" spans="2:16" ht="79.5" customHeight="1" x14ac:dyDescent="1.4">
      <c r="B18" s="1"/>
      <c r="C18" s="2789" t="s">
        <v>1</v>
      </c>
      <c r="D18" s="2789"/>
      <c r="E18" s="2789"/>
      <c r="F18" s="2789"/>
      <c r="G18" s="2789"/>
      <c r="H18" s="2789"/>
      <c r="I18" s="2789"/>
      <c r="J18" s="2789"/>
      <c r="K18" s="2789"/>
      <c r="L18" s="2789"/>
      <c r="M18" s="2789"/>
      <c r="N18" s="2789"/>
      <c r="O18" s="2789"/>
      <c r="P18" s="2789"/>
    </row>
    <row r="19" spans="2:16" ht="15" customHeight="1" x14ac:dyDescent="1.1499999999999999">
      <c r="B19" s="1"/>
      <c r="C19" s="2790"/>
      <c r="D19" s="2790"/>
      <c r="E19" s="2790"/>
      <c r="F19" s="2790"/>
      <c r="G19" s="2790"/>
      <c r="H19" s="2790"/>
      <c r="I19" s="2790"/>
      <c r="J19" s="2790"/>
      <c r="K19" s="2790"/>
      <c r="L19" s="2790"/>
      <c r="M19" s="2790"/>
      <c r="N19" s="2790"/>
      <c r="O19" s="2790"/>
      <c r="P19" s="2790"/>
    </row>
    <row r="20" spans="2:16" ht="36" customHeight="1" x14ac:dyDescent="0.3">
      <c r="B20" s="1"/>
      <c r="C20" s="2791" t="s">
        <v>2</v>
      </c>
      <c r="D20" s="2791"/>
      <c r="E20" s="2791"/>
      <c r="F20" s="2791"/>
      <c r="G20" s="2791"/>
      <c r="H20" s="2791"/>
      <c r="I20" s="2791"/>
      <c r="J20" s="2791"/>
      <c r="K20" s="2791"/>
      <c r="L20" s="2791"/>
      <c r="M20" s="2791"/>
      <c r="N20" s="2791"/>
      <c r="O20" s="2791"/>
      <c r="P20" s="2791"/>
    </row>
    <row r="21" spans="2:16" ht="32.1" customHeight="1" x14ac:dyDescent="0.3">
      <c r="B21" s="1"/>
      <c r="C21" s="2792" t="s">
        <v>3</v>
      </c>
      <c r="D21" s="2792"/>
      <c r="E21" s="2792"/>
      <c r="F21" s="2792"/>
      <c r="G21" s="2792"/>
      <c r="H21" s="2792"/>
      <c r="I21" s="2792"/>
      <c r="J21" s="2792"/>
      <c r="K21" s="2792"/>
      <c r="L21" s="2792"/>
      <c r="M21" s="2792"/>
      <c r="N21" s="2792"/>
      <c r="O21" s="2792"/>
      <c r="P21" s="2792"/>
    </row>
    <row r="22" spans="2:16" ht="15" customHeight="1" x14ac:dyDescent="0.3">
      <c r="B22" s="1"/>
      <c r="C22" s="3"/>
      <c r="D22" s="3"/>
      <c r="E22" s="3"/>
      <c r="F22" s="3"/>
      <c r="G22" s="3"/>
      <c r="H22" s="3"/>
      <c r="I22" s="3"/>
      <c r="J22" s="3"/>
      <c r="K22" s="3"/>
      <c r="L22" s="3"/>
      <c r="M22" s="3"/>
      <c r="N22" s="3"/>
      <c r="O22" s="3"/>
      <c r="P22" s="3"/>
    </row>
    <row r="23" spans="2:16" ht="15" customHeight="1" x14ac:dyDescent="0.3">
      <c r="B23" s="1"/>
      <c r="C23" s="3"/>
      <c r="D23" s="3"/>
      <c r="E23" s="3"/>
      <c r="F23" s="3"/>
      <c r="G23" s="3"/>
      <c r="H23" s="3"/>
      <c r="I23" s="3"/>
      <c r="J23" s="3"/>
      <c r="K23" s="3"/>
      <c r="L23" s="3"/>
      <c r="M23" s="3"/>
      <c r="N23" s="3"/>
      <c r="O23" s="3"/>
      <c r="P23" s="3"/>
    </row>
    <row r="24" spans="2:16" ht="15" customHeight="1" x14ac:dyDescent="0.3">
      <c r="B24" s="1"/>
      <c r="C24" s="3"/>
      <c r="D24" s="3"/>
      <c r="E24" s="3"/>
      <c r="F24" s="3"/>
      <c r="G24" s="3"/>
      <c r="H24" s="3"/>
      <c r="I24" s="3"/>
      <c r="J24" s="3"/>
      <c r="K24" s="3"/>
      <c r="L24" s="3"/>
      <c r="M24" s="3"/>
      <c r="N24" s="3"/>
      <c r="O24" s="3"/>
      <c r="P24" s="3"/>
    </row>
    <row r="25" spans="2:16" ht="15" customHeight="1" x14ac:dyDescent="0.3">
      <c r="B25" s="1"/>
      <c r="C25" s="3"/>
      <c r="D25" s="3"/>
      <c r="E25" s="3"/>
      <c r="F25" s="3"/>
      <c r="G25" s="3"/>
      <c r="H25" s="3"/>
      <c r="I25" s="3"/>
      <c r="J25" s="3"/>
      <c r="K25" s="3"/>
      <c r="L25" s="3"/>
      <c r="M25" s="3"/>
      <c r="N25" s="3"/>
      <c r="O25" s="3"/>
      <c r="P25" s="3"/>
    </row>
    <row r="26" spans="2:16" ht="15" customHeight="1" x14ac:dyDescent="0.3">
      <c r="B26" s="1"/>
      <c r="C26" s="3"/>
      <c r="D26" s="3"/>
      <c r="E26" s="3"/>
      <c r="F26" s="3"/>
      <c r="G26" s="3"/>
      <c r="H26" s="3"/>
      <c r="I26" s="3"/>
      <c r="J26" s="3"/>
      <c r="K26" s="3"/>
      <c r="L26" s="3"/>
      <c r="M26" s="3"/>
      <c r="N26" s="3"/>
      <c r="O26" s="3"/>
      <c r="P26" s="3"/>
    </row>
    <row r="27" spans="2:16" ht="15" customHeight="1" x14ac:dyDescent="0.3">
      <c r="B27" s="1"/>
      <c r="C27" s="3"/>
      <c r="D27" s="3"/>
      <c r="E27" s="3"/>
      <c r="F27" s="3"/>
      <c r="G27" s="3"/>
      <c r="H27" s="3"/>
      <c r="I27" s="3"/>
      <c r="J27" s="3"/>
      <c r="K27" s="3"/>
      <c r="L27" s="3"/>
      <c r="M27" s="3"/>
      <c r="N27" s="3"/>
      <c r="O27" s="3"/>
      <c r="P27" s="3"/>
    </row>
    <row r="28" spans="2:16" ht="15" customHeight="1" x14ac:dyDescent="0.3">
      <c r="B28" s="1"/>
      <c r="C28" s="3"/>
      <c r="D28" s="3"/>
      <c r="E28" s="3"/>
      <c r="F28" s="3"/>
      <c r="G28" s="3"/>
      <c r="H28" s="3"/>
      <c r="I28" s="3"/>
      <c r="J28" s="3"/>
      <c r="K28" s="3"/>
      <c r="L28" s="3"/>
      <c r="M28" s="3"/>
      <c r="N28" s="3"/>
      <c r="O28" s="3"/>
      <c r="P28" s="3"/>
    </row>
    <row r="29" spans="2:16" ht="20.100000000000001" customHeight="1" x14ac:dyDescent="0.3">
      <c r="B29" s="1"/>
      <c r="C29" s="2787"/>
      <c r="D29" s="2787"/>
      <c r="E29" s="2787"/>
      <c r="F29" s="2787"/>
      <c r="G29" s="2787"/>
      <c r="H29" s="2787"/>
      <c r="I29" s="2787"/>
      <c r="J29" s="2787"/>
      <c r="K29" s="2787"/>
      <c r="L29" s="2787"/>
      <c r="M29" s="2787"/>
      <c r="N29" s="2787"/>
      <c r="O29" s="2787"/>
      <c r="P29" s="2787"/>
    </row>
    <row r="30" spans="2:16" ht="20.100000000000001" customHeight="1" x14ac:dyDescent="0.45">
      <c r="B30" s="1"/>
      <c r="C30" s="2785" t="s">
        <v>4</v>
      </c>
      <c r="D30" s="2785"/>
      <c r="E30" s="2785"/>
      <c r="F30" s="2785"/>
      <c r="G30" s="2785"/>
      <c r="H30" s="2785"/>
      <c r="I30" s="2785"/>
      <c r="J30" s="2785"/>
      <c r="K30" s="2785"/>
      <c r="L30" s="2785"/>
      <c r="M30" s="2785"/>
      <c r="N30" s="2785"/>
      <c r="O30" s="2785"/>
      <c r="P30" s="2785"/>
    </row>
    <row r="31" spans="2:16" ht="15" customHeight="1" x14ac:dyDescent="0.3">
      <c r="B31" s="1"/>
      <c r="C31" s="2786"/>
      <c r="D31" s="2786"/>
      <c r="E31" s="2786"/>
      <c r="F31" s="2786"/>
      <c r="G31" s="2786"/>
      <c r="H31" s="2786"/>
      <c r="I31" s="2786"/>
      <c r="J31" s="2786"/>
      <c r="K31" s="2786"/>
      <c r="L31" s="2786"/>
      <c r="M31" s="2786"/>
      <c r="N31" s="2786"/>
      <c r="O31" s="2786"/>
      <c r="P31" s="2786"/>
    </row>
    <row r="32" spans="2:16" ht="15" customHeight="1" x14ac:dyDescent="0.3">
      <c r="B32" s="1"/>
      <c r="C32" s="2786" t="s">
        <v>5</v>
      </c>
      <c r="D32" s="2786"/>
      <c r="E32" s="2786"/>
      <c r="F32" s="2786"/>
      <c r="G32" s="2786"/>
      <c r="H32" s="2786"/>
      <c r="I32" s="2786"/>
      <c r="J32" s="2786"/>
      <c r="K32" s="2786"/>
      <c r="L32" s="2786"/>
      <c r="M32" s="2786"/>
      <c r="N32" s="2786"/>
      <c r="O32" s="2786"/>
      <c r="P32" s="2786"/>
    </row>
    <row r="33" spans="2:16" ht="15" customHeight="1" x14ac:dyDescent="0.3">
      <c r="B33" s="1"/>
      <c r="C33" s="2786" t="s">
        <v>6</v>
      </c>
      <c r="D33" s="2786"/>
      <c r="E33" s="2786"/>
      <c r="F33" s="2786"/>
      <c r="G33" s="2786"/>
      <c r="H33" s="2786"/>
      <c r="I33" s="2786"/>
      <c r="J33" s="2786"/>
      <c r="K33" s="2786"/>
      <c r="L33" s="2786"/>
      <c r="M33" s="2786"/>
      <c r="N33" s="2786"/>
      <c r="O33" s="2786"/>
      <c r="P33" s="2786"/>
    </row>
    <row r="34" spans="2:16" ht="15" customHeight="1" x14ac:dyDescent="0.3">
      <c r="B34" s="1"/>
      <c r="C34" s="2786"/>
      <c r="D34" s="2786"/>
      <c r="E34" s="2786"/>
      <c r="F34" s="2786"/>
      <c r="G34" s="2786"/>
      <c r="H34" s="2786"/>
      <c r="I34" s="2786"/>
      <c r="J34" s="2786"/>
      <c r="K34" s="2786"/>
      <c r="L34" s="2786"/>
      <c r="M34" s="2786"/>
      <c r="N34" s="2786"/>
      <c r="O34" s="2786"/>
      <c r="P34" s="2786"/>
    </row>
  </sheetData>
  <mergeCells count="11">
    <mergeCell ref="C29:P29"/>
    <mergeCell ref="C17:P17"/>
    <mergeCell ref="C18:P18"/>
    <mergeCell ref="C19:P19"/>
    <mergeCell ref="C20:P20"/>
    <mergeCell ref="C21:P21"/>
    <mergeCell ref="C30:P30"/>
    <mergeCell ref="C31:P31"/>
    <mergeCell ref="C32:P32"/>
    <mergeCell ref="C33:P33"/>
    <mergeCell ref="C34:P34"/>
  </mergeCells>
  <hyperlinks>
    <hyperlink ref="C32" r:id="rId1" display="meny.grauman@scotiabank.com" xr:uid="{80108128-812F-4B92-8526-F76EBD8682C2}"/>
  </hyperlinks>
  <pageMargins left="0.5" right="0.5" top="0.5" bottom="0.5" header="0.25" footer="0.25"/>
  <pageSetup scale="77" firstPageNumber="6" orientation="landscape" useFirstPageNumber="1"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9688-F536-4EA5-8812-B486E1CD966A}">
  <sheetPr codeName="Sheet7">
    <pageSetUpPr fitToPage="1"/>
  </sheetPr>
  <dimension ref="A2:B57"/>
  <sheetViews>
    <sheetView showGridLines="0" topLeftCell="A10" zoomScale="90" zoomScaleNormal="90" workbookViewId="0">
      <selection activeCell="A2" sqref="A2"/>
    </sheetView>
  </sheetViews>
  <sheetFormatPr defaultRowHeight="15" customHeight="1" x14ac:dyDescent="0.3"/>
  <cols>
    <col min="1" max="1" width="172" customWidth="1"/>
    <col min="2" max="2" width="35.44140625" customWidth="1"/>
  </cols>
  <sheetData>
    <row r="2" spans="1:2" ht="18" customHeight="1" x14ac:dyDescent="0.3">
      <c r="A2" s="4" t="s">
        <v>7</v>
      </c>
      <c r="B2" s="5" t="s">
        <v>8</v>
      </c>
    </row>
    <row r="3" spans="1:2" ht="20.100000000000001" customHeight="1" x14ac:dyDescent="0.3">
      <c r="A3" s="6" t="str">
        <f>Cover!C21</f>
        <v>For the period ended: October 31, 2025</v>
      </c>
      <c r="B3" s="7"/>
    </row>
    <row r="4" spans="1:2" ht="15" customHeight="1" x14ac:dyDescent="0.3">
      <c r="A4" s="8"/>
      <c r="B4" s="7"/>
    </row>
    <row r="5" spans="1:2" ht="15" customHeight="1" x14ac:dyDescent="0.3">
      <c r="A5" s="9" t="str">
        <f>HYPERLINK("#" &amp; "Notes_1!A2", "Notes ")</f>
        <v xml:space="preserve">Notes </v>
      </c>
      <c r="B5" s="10" t="str">
        <f>HYPERLINK("#" &amp; "Notes_1!A2", "Notes")</f>
        <v>Notes</v>
      </c>
    </row>
    <row r="6" spans="1:2" ht="15" customHeight="1" x14ac:dyDescent="0.3">
      <c r="A6" s="9" t="str">
        <f>HYPERLINK("#" &amp; "EDTF!A2", "Enhanced Disclosure Task Force (EDTF) Recommendations")</f>
        <v>Enhanced Disclosure Task Force (EDTF) Recommendations</v>
      </c>
      <c r="B6" s="10" t="str">
        <f>HYPERLINK("#" &amp; "EDTF!A2", "EDTF")</f>
        <v>EDTF</v>
      </c>
    </row>
    <row r="7" spans="1:2" ht="15" customHeight="1" x14ac:dyDescent="0.3">
      <c r="A7" s="9" t="str">
        <f>HYPERLINK("#" &amp; "1!A2", "Highlights")</f>
        <v>Highlights</v>
      </c>
      <c r="B7" s="10" t="str">
        <f>HYPERLINK("#" &amp; "1!A2", "1")</f>
        <v>1</v>
      </c>
    </row>
    <row r="8" spans="1:2" ht="15" customHeight="1" x14ac:dyDescent="0.3">
      <c r="A8" s="9" t="str">
        <f>HYPERLINK("#" &amp; "2!A2", "Common Share and Other Information")</f>
        <v>Common Share and Other Information</v>
      </c>
      <c r="B8" s="10" t="str">
        <f>HYPERLINK("#" &amp; "2!A2", "2")</f>
        <v>2</v>
      </c>
    </row>
    <row r="9" spans="1:2" ht="15" customHeight="1" x14ac:dyDescent="0.3">
      <c r="A9" s="9" t="str">
        <f>HYPERLINK("#" &amp; "3!A2", "Consolidated Statement of Income")</f>
        <v>Consolidated Statement of Income</v>
      </c>
      <c r="B9" s="10" t="str">
        <f>HYPERLINK("#" &amp; "3!A2", "3")</f>
        <v>3</v>
      </c>
    </row>
    <row r="10" spans="1:2" ht="15" customHeight="1" x14ac:dyDescent="0.3">
      <c r="A10" s="11"/>
      <c r="B10" s="12"/>
    </row>
    <row r="11" spans="1:2" ht="15" customHeight="1" x14ac:dyDescent="0.3">
      <c r="A11" s="13" t="s">
        <v>9</v>
      </c>
      <c r="B11" s="14"/>
    </row>
    <row r="12" spans="1:2" ht="15" customHeight="1" x14ac:dyDescent="0.3">
      <c r="A12" s="15" t="str">
        <f>HYPERLINK("#" &amp; "4!A2", "• Canadian Banking")</f>
        <v>• Canadian Banking</v>
      </c>
      <c r="B12" s="10" t="str">
        <f>HYPERLINK("#" &amp; "4!A2", "4")</f>
        <v>4</v>
      </c>
    </row>
    <row r="13" spans="1:2" ht="15" customHeight="1" x14ac:dyDescent="0.3">
      <c r="A13" s="15" t="str">
        <f>HYPERLINK("#" &amp; "5!A2", "• International Banking")</f>
        <v>• International Banking</v>
      </c>
      <c r="B13" s="10" t="str">
        <f>HYPERLINK("#" &amp; "5!A2", "5")</f>
        <v>5</v>
      </c>
    </row>
    <row r="14" spans="1:2" ht="15" customHeight="1" x14ac:dyDescent="0.3">
      <c r="A14" s="15" t="str">
        <f>HYPERLINK("#" &amp; "6!A2", "• International Banking (Constant Dollar)")</f>
        <v>• International Banking (Constant Dollar)</v>
      </c>
      <c r="B14" s="10" t="str">
        <f>HYPERLINK("#" &amp; "6!A2", "6")</f>
        <v>6</v>
      </c>
    </row>
    <row r="15" spans="1:2" ht="15" customHeight="1" x14ac:dyDescent="0.3">
      <c r="A15" s="15" t="str">
        <f>HYPERLINK("#" &amp; "7!A2", "• Global Wealth Management")</f>
        <v>• Global Wealth Management</v>
      </c>
      <c r="B15" s="10" t="str">
        <f>HYPERLINK("#" &amp; "7!A2", "7")</f>
        <v>7</v>
      </c>
    </row>
    <row r="16" spans="1:2" ht="15" customHeight="1" x14ac:dyDescent="0.3">
      <c r="A16" s="15" t="str">
        <f>HYPERLINK("#" &amp; "8!A2", "• Global Banking and Markets")</f>
        <v>• Global Banking and Markets</v>
      </c>
      <c r="B16" s="10" t="str">
        <f>HYPERLINK("#" &amp; "8!A2", "8")</f>
        <v>8</v>
      </c>
    </row>
    <row r="17" spans="1:2" ht="15" customHeight="1" x14ac:dyDescent="0.3">
      <c r="A17" s="15" t="str">
        <f>HYPERLINK("#" &amp; "9!A2", "• Other")</f>
        <v>• Other</v>
      </c>
      <c r="B17" s="10" t="str">
        <f>HYPERLINK("#" &amp; "9!A2", "9")</f>
        <v>9</v>
      </c>
    </row>
    <row r="18" spans="1:2" ht="15" customHeight="1" x14ac:dyDescent="0.3">
      <c r="A18" s="15"/>
      <c r="B18" s="16"/>
    </row>
    <row r="19" spans="1:2" ht="15" customHeight="1" x14ac:dyDescent="0.3">
      <c r="A19" s="9" t="str">
        <f>HYPERLINK("#" &amp; "10!A2", "Non-Interest Income")</f>
        <v>Non-Interest Income</v>
      </c>
      <c r="B19" s="10" t="str">
        <f>HYPERLINK("#" &amp; "10!A2", "10")</f>
        <v>10</v>
      </c>
    </row>
    <row r="20" spans="1:2" ht="15" customHeight="1" x14ac:dyDescent="0.3">
      <c r="A20" s="9" t="str">
        <f>HYPERLINK("#" &amp; "11!A2", "Revenue from Trading-Related Activities and Assets Under Administration and Management")</f>
        <v>Revenue from Trading-Related Activities and Assets Under Administration and Management</v>
      </c>
      <c r="B20" s="10" t="str">
        <f>HYPERLINK("#" &amp; "11!A2", "11")</f>
        <v>11</v>
      </c>
    </row>
    <row r="21" spans="1:2" ht="15" customHeight="1" x14ac:dyDescent="0.3">
      <c r="A21" s="9" t="str">
        <f>HYPERLINK("#" &amp; "12!A2", "Operating Expenses")</f>
        <v>Operating Expenses</v>
      </c>
      <c r="B21" s="10" t="str">
        <f>HYPERLINK("#" &amp; "12!A2", "12")</f>
        <v>12</v>
      </c>
    </row>
    <row r="22" spans="1:2" ht="15" customHeight="1" x14ac:dyDescent="0.3">
      <c r="A22" s="9" t="str">
        <f>HYPERLINK("#" &amp; "13!A2", "Consolidated Statement of Financial Position — Assets (Spot Balances)")</f>
        <v>Consolidated Statement of Financial Position — Assets (Spot Balances)</v>
      </c>
      <c r="B22" s="10" t="str">
        <f>HYPERLINK("#" &amp; "13!A2", "13")</f>
        <v>13</v>
      </c>
    </row>
    <row r="23" spans="1:2" ht="15" customHeight="1" x14ac:dyDescent="0.3">
      <c r="A23" s="9" t="str">
        <f>HYPERLINK("#" &amp; "14!A2", "Consolidated Statement of Financial Position  — Liabilities and Equity (Spot Balances)")</f>
        <v>Consolidated Statement of Financial Position  — Liabilities and Equity (Spot Balances)</v>
      </c>
      <c r="B23" s="10" t="str">
        <f>HYPERLINK("#" &amp; "14!A2", "14")</f>
        <v>14</v>
      </c>
    </row>
    <row r="24" spans="1:2" ht="15" customHeight="1" x14ac:dyDescent="0.3">
      <c r="A24" s="9" t="str">
        <f>HYPERLINK("#" &amp; "15!A2", "Average Balance Sheet")</f>
        <v>Average Balance Sheet</v>
      </c>
      <c r="B24" s="10" t="str">
        <f>HYPERLINK("#" &amp; "15!A2", "15")</f>
        <v>15</v>
      </c>
    </row>
    <row r="25" spans="1:2" ht="15" customHeight="1" x14ac:dyDescent="0.3">
      <c r="A25" s="9" t="str">
        <f>HYPERLINK("#" &amp; "16!A2", "Consolidated Statement of Changes in Equity")</f>
        <v>Consolidated Statement of Changes in Equity</v>
      </c>
      <c r="B25" s="10" t="str">
        <f>HYPERLINK("#" &amp; "16!A2", "16")</f>
        <v>16</v>
      </c>
    </row>
    <row r="26" spans="1:2" ht="15" customHeight="1" x14ac:dyDescent="0.3">
      <c r="A26" s="9" t="str">
        <f>HYPERLINK("#" &amp; "17!A2", "Consolidated Statement of Changes in Equity (Continued)")</f>
        <v>Consolidated Statement of Changes in Equity (Continued)</v>
      </c>
      <c r="B26" s="10" t="str">
        <f>HYPERLINK("#" &amp; "17!A2", "17")</f>
        <v>17</v>
      </c>
    </row>
    <row r="27" spans="1:2" ht="15" customHeight="1" x14ac:dyDescent="0.3">
      <c r="A27" s="11"/>
      <c r="B27" s="12"/>
    </row>
    <row r="28" spans="1:2" ht="15" customHeight="1" x14ac:dyDescent="0.3">
      <c r="A28" s="17" t="s">
        <v>10</v>
      </c>
      <c r="B28" s="18"/>
    </row>
    <row r="29" spans="1:2" ht="15" customHeight="1" x14ac:dyDescent="0.3">
      <c r="A29" s="15" t="str">
        <f>HYPERLINK("#" &amp; "18!A2", "• Customer Loans and Acceptances by Type of Borrower")</f>
        <v>• Customer Loans and Acceptances by Type of Borrower</v>
      </c>
      <c r="B29" s="10" t="str">
        <f>HYPERLINK("#" &amp; "18!A2", "18")</f>
        <v>18</v>
      </c>
    </row>
    <row r="30" spans="1:2" ht="15" customHeight="1" x14ac:dyDescent="0.3">
      <c r="A30" s="15" t="str">
        <f>HYPERLINK("#" &amp; "19!A2", "• Impaired Loans by Business Segment")</f>
        <v>• Impaired Loans by Business Segment</v>
      </c>
      <c r="B30" s="10" t="str">
        <f>HYPERLINK("#" &amp; "19!A2", "19")</f>
        <v>19</v>
      </c>
    </row>
    <row r="31" spans="1:2" ht="15" customHeight="1" x14ac:dyDescent="0.3">
      <c r="A31" s="15" t="str">
        <f>HYPERLINK("#" &amp; "20!A2", "• Changes in Gross Impaired Loans by Business Segment")</f>
        <v>• Changes in Gross Impaired Loans by Business Segment</v>
      </c>
      <c r="B31" s="10" t="str">
        <f>HYPERLINK("#" &amp; "20!A2", "20")</f>
        <v>20</v>
      </c>
    </row>
    <row r="32" spans="1:2" ht="15" customHeight="1" x14ac:dyDescent="0.3">
      <c r="A32" s="15" t="str">
        <f>HYPERLINK("#" &amp; "21!A2", "• Allowance for Credit Losses &amp; Other Reserves")</f>
        <v>• Allowance for Credit Losses &amp; Other Reserves</v>
      </c>
      <c r="B32" s="10" t="str">
        <f>HYPERLINK("#" &amp; "21!A2", "21")</f>
        <v>21</v>
      </c>
    </row>
    <row r="33" spans="1:2" ht="15" customHeight="1" x14ac:dyDescent="0.3">
      <c r="A33" s="15" t="str">
        <f>HYPERLINK("#" &amp; "22!A2", "• Impaired Loans by Type of Borrower")</f>
        <v>• Impaired Loans by Type of Borrower</v>
      </c>
      <c r="B33" s="10" t="str">
        <f>HYPERLINK("#" &amp; "22!A2", "22")</f>
        <v>22</v>
      </c>
    </row>
    <row r="34" spans="1:2" ht="15" customHeight="1" x14ac:dyDescent="0.3">
      <c r="A34" s="15" t="str">
        <f>HYPERLINK("#" &amp; "23!A2", "• Provision for Credit Losses by Business Line")</f>
        <v>• Provision for Credit Losses by Business Line</v>
      </c>
      <c r="B34" s="10" t="str">
        <f>HYPERLINK("#" &amp; "23!A2", "23")</f>
        <v>23</v>
      </c>
    </row>
    <row r="35" spans="1:2" ht="15" customHeight="1" x14ac:dyDescent="0.3">
      <c r="A35" s="15" t="str">
        <f>HYPERLINK("#" &amp; "24!A2", "• Provision for Credit Losses by Type of Borrower")</f>
        <v>• Provision for Credit Losses by Type of Borrower</v>
      </c>
      <c r="B35" s="10" t="str">
        <f>HYPERLINK("#" &amp; "24!A2", "24")</f>
        <v>24</v>
      </c>
    </row>
    <row r="36" spans="1:2" ht="15" customHeight="1" x14ac:dyDescent="0.3">
      <c r="A36" s="15"/>
      <c r="B36" s="16"/>
    </row>
    <row r="37" spans="1:2" ht="15" customHeight="1" x14ac:dyDescent="0.3">
      <c r="A37" s="9" t="str">
        <f>HYPERLINK("#" &amp; "25!A2", "Financial Investments - Unrealized Gains (Losses)")</f>
        <v>Financial Investments - Unrealized Gains (Losses)</v>
      </c>
      <c r="B37" s="10" t="str">
        <f>HYPERLINK("#" &amp; "25!A2", "25")</f>
        <v>25</v>
      </c>
    </row>
    <row r="38" spans="1:2" ht="15" customHeight="1" x14ac:dyDescent="0.3">
      <c r="A38" s="9" t="str">
        <f>HYPERLINK("#" &amp; "26!A2", "Regulatory Capital Highlights")</f>
        <v>Regulatory Capital Highlights</v>
      </c>
      <c r="B38" s="10" t="str">
        <f>HYPERLINK("#" &amp; "26!A2", "26")</f>
        <v>26</v>
      </c>
    </row>
    <row r="39" spans="1:2" ht="15" customHeight="1" x14ac:dyDescent="0.3">
      <c r="A39" s="9"/>
      <c r="B39" s="10"/>
    </row>
    <row r="40" spans="1:2" ht="15" customHeight="1" x14ac:dyDescent="0.3">
      <c r="A40" s="9" t="str">
        <f>HYPERLINK("#" &amp; "27!A2", "Appendix 1: Global Banking and Markets (Reported Including International Banking)")</f>
        <v>Appendix 1: Global Banking and Markets (Reported Including International Banking)</v>
      </c>
      <c r="B40" s="10" t="str">
        <f>HYPERLINK("#" &amp; "27!A2", "27")</f>
        <v>27</v>
      </c>
    </row>
    <row r="41" spans="1:2" ht="15" customHeight="1" x14ac:dyDescent="0.3">
      <c r="A41" s="9" t="str">
        <f>HYPERLINK("#" &amp; "28!A2", "Appendix 2: International Banking by Region — Latin America")</f>
        <v>Appendix 2: International Banking by Region — Latin America</v>
      </c>
      <c r="B41" s="10" t="str">
        <f>HYPERLINK("#" &amp; "28!A2", "28")</f>
        <v>28</v>
      </c>
    </row>
    <row r="42" spans="1:2" ht="15" customHeight="1" x14ac:dyDescent="0.3">
      <c r="A42" s="9" t="str">
        <f>HYPERLINK("#" &amp; "29!A2", "                                                                                       — Caribbean")</f>
        <v xml:space="preserve">                                                                                       — Caribbean</v>
      </c>
      <c r="B42" s="10" t="str">
        <f>HYPERLINK("#" &amp; "29!A2", "29")</f>
        <v>29</v>
      </c>
    </row>
    <row r="43" spans="1:2" ht="15" customHeight="1" x14ac:dyDescent="0.3">
      <c r="A43" s="9" t="str">
        <f>HYPERLINK("#" &amp; "30!A2", "                                                                                       — Central America")</f>
        <v xml:space="preserve">                                                                                       — Central America</v>
      </c>
      <c r="B43" s="10" t="str">
        <f>HYPERLINK("#" &amp; "30!A2", "30")</f>
        <v>30</v>
      </c>
    </row>
    <row r="44" spans="1:2" ht="15" customHeight="1" x14ac:dyDescent="0.3">
      <c r="A44" s="9" t="str">
        <f>HYPERLINK("#" &amp; "31!A2", "Appendix 3: All Bank excluding Divested Operations")</f>
        <v>Appendix 3: All Bank excluding Divested Operations</v>
      </c>
      <c r="B44" s="10" t="str">
        <f>HYPERLINK("#" &amp; "31!A2", "31")</f>
        <v>31</v>
      </c>
    </row>
    <row r="45" spans="1:2" ht="15" customHeight="1" x14ac:dyDescent="0.3">
      <c r="A45" s="9" t="str">
        <f>HYPERLINK("#" &amp; "32!A2", "                        International Banking excluding Divested Operations")</f>
        <v xml:space="preserve">                        International Banking excluding Divested Operations</v>
      </c>
      <c r="B45" s="10" t="str">
        <f>HYPERLINK("#" &amp; "32!A2", "32")</f>
        <v>32</v>
      </c>
    </row>
    <row r="46" spans="1:2" ht="15" customHeight="1" x14ac:dyDescent="0.3">
      <c r="A46" s="9" t="str">
        <f>HYPERLINK("#" &amp; "33!A2", "Appendix 4: Reconciliation of non-GAAP Financial Measures — Reported and adjusted results")</f>
        <v>Appendix 4: Reconciliation of non-GAAP Financial Measures — Reported and adjusted results</v>
      </c>
      <c r="B46" s="10" t="str">
        <f>HYPERLINK("#" &amp; "33!A2", "33")</f>
        <v>33</v>
      </c>
    </row>
    <row r="47" spans="1:2" ht="15" customHeight="1" x14ac:dyDescent="0.3">
      <c r="A47" s="9" t="str">
        <f>HYPERLINK("#" &amp; "34!A2", "                                                                                                                                     —Reported and adjusted diluted earnings per common share")</f>
        <v xml:space="preserve">                                                                                                                                     —Reported and adjusted diluted earnings per common share</v>
      </c>
      <c r="B47" s="10" t="str">
        <f>HYPERLINK("#" &amp; "34!A2", "34")</f>
        <v>34</v>
      </c>
    </row>
    <row r="48" spans="1:2" ht="15" customHeight="1" x14ac:dyDescent="0.3">
      <c r="A48" s="9" t="str">
        <f>HYPERLINK("#" &amp; "35!A2", "                                                                                                                                     — Return on equity reported and adjusted results by operating segment")</f>
        <v xml:space="preserve">                                                                                                                                     — Return on equity reported and adjusted results by operating segment</v>
      </c>
      <c r="B48" s="10" t="str">
        <f>HYPERLINK("#" &amp; "35!A2", "35")</f>
        <v>35</v>
      </c>
    </row>
    <row r="49" spans="1:2" ht="15" customHeight="1" x14ac:dyDescent="0.3">
      <c r="A49" s="9" t="str">
        <f>HYPERLINK("#" &amp; "36!A2", "                                                                                                                                     — Net Interest Margin by operating segment")</f>
        <v xml:space="preserve">                                                                                                                                     — Net Interest Margin by operating segment</v>
      </c>
      <c r="B49" s="10" t="str">
        <f>HYPERLINK("#" &amp; "36!A2", "36")</f>
        <v>36</v>
      </c>
    </row>
    <row r="50" spans="1:2" ht="15" customHeight="1" x14ac:dyDescent="0.3">
      <c r="A50" s="9" t="str">
        <f>HYPERLINK("#" &amp; "37!A2", "                                                                                                                                     — Net Interest Margin by operating segment (Continued)")</f>
        <v xml:space="preserve">                                                                                                                                     — Net Interest Margin by operating segment (Continued)</v>
      </c>
      <c r="B50" s="10" t="str">
        <f>HYPERLINK("#" &amp; "37!A2", "37")</f>
        <v>37</v>
      </c>
    </row>
    <row r="51" spans="1:2" ht="15" customHeight="1" x14ac:dyDescent="0.3">
      <c r="A51" s="9" t="str">
        <f>HYPERLINK("#" &amp; "38!A2", "                                                                                                                                     — Return on equity excluding Divested Operations")</f>
        <v xml:space="preserve">                                                                                                                                     — Return on equity excluding Divested Operations</v>
      </c>
      <c r="B51" s="10" t="str">
        <f>HYPERLINK("#" &amp; "38!A2", "38")</f>
        <v>38</v>
      </c>
    </row>
    <row r="52" spans="1:2" ht="15" customHeight="1" x14ac:dyDescent="0.3">
      <c r="A52" s="9" t="str">
        <f>HYPERLINK("#" &amp; "39!A2", "                                                                                                                                     — Net Interest Margin excluding Divested Operations")</f>
        <v xml:space="preserve">                                                                                                                                     — Net Interest Margin excluding Divested Operations</v>
      </c>
      <c r="B52" s="10" t="str">
        <f>HYPERLINK("#" &amp; "39!A2", "39")</f>
        <v>39</v>
      </c>
    </row>
    <row r="53" spans="1:2" ht="15" customHeight="1" x14ac:dyDescent="0.3">
      <c r="A53" s="9" t="str">
        <f>HYPERLINK("#" &amp; "40!A2", "                                                                                                                                     — Provision for credit losses ratio excluding Divested Operations")</f>
        <v xml:space="preserve">                                                                                                                                     — Provision for credit losses ratio excluding Divested Operations</v>
      </c>
      <c r="B53" s="10" t="str">
        <f>HYPERLINK("#" &amp; "40!A2", "40")</f>
        <v>40</v>
      </c>
    </row>
    <row r="54" spans="1:2" ht="15" customHeight="1" x14ac:dyDescent="0.3">
      <c r="A54" s="19"/>
    </row>
    <row r="55" spans="1:2" ht="15" customHeight="1" x14ac:dyDescent="0.3">
      <c r="A55" s="19"/>
    </row>
    <row r="56" spans="1:2" ht="15" customHeight="1" x14ac:dyDescent="0.3">
      <c r="A56" s="20"/>
      <c r="B56" s="21"/>
    </row>
    <row r="57" spans="1:2" ht="15" customHeight="1" x14ac:dyDescent="0.3">
      <c r="A57" s="2793" t="s">
        <v>11</v>
      </c>
      <c r="B57" s="2793"/>
    </row>
  </sheetData>
  <mergeCells count="1">
    <mergeCell ref="A57:B57"/>
  </mergeCells>
  <hyperlinks>
    <hyperlink ref="A8:B8" location="'2'!A1" display="Common Share and Other Information" xr:uid="{982D80AD-3D06-4DB4-91EE-E256722121C2}"/>
    <hyperlink ref="A9:B9" location="'3'!A1" display="Consolidated Statement of Income" xr:uid="{AE2EB744-FEB7-44A1-9015-0D956EA73AA6}"/>
    <hyperlink ref="A12:B12" location="'4'!A1" display="• Canadian Banking" xr:uid="{04C44955-8D3C-433C-8BEF-7F4E754D3EB7}"/>
    <hyperlink ref="A13:B13" location="'5'!A1" display="• International Banking" xr:uid="{7B763792-6475-487C-A8D8-1602BE60A9ED}"/>
    <hyperlink ref="A15:B15" location="'6'!A1" display="• Global Wealth Management" xr:uid="{4424957D-05D5-4FBE-BE56-FA22349E265B}"/>
    <hyperlink ref="A16:B16" location="'7'!A1" display="• Global Banking and Markets" xr:uid="{67750F52-F860-4177-A049-5A0E5AA99B17}"/>
    <hyperlink ref="A17:B17" location="'8'!A1" display="• Other" xr:uid="{7B4AB203-94E1-46AC-A925-55CB644D99BE}"/>
    <hyperlink ref="A19:B19" location="'9'!A1" display="Non-Interest Income" xr:uid="{C97BF5B7-DD83-4CF0-8901-FF648E6C2299}"/>
    <hyperlink ref="A20:B20" location="'10'!A1" display="Revenue from Trading-Related Activities and Assets Under Administration and Management" xr:uid="{5E33B87D-9AD9-45F6-ABB2-19E6AFF598B4}"/>
    <hyperlink ref="A21:B21" location="'11'!A1" display="Operating Expenses" xr:uid="{171D0DA3-5435-4E4B-9CF3-FB35EE11025B}"/>
    <hyperlink ref="A22:B22" location="'12'!A1" display="Consolidated Statement of Financial Position — Assets (Spot Balances)" xr:uid="{2D9C717D-AF09-4B6A-8847-3EEB08E9AA42}"/>
    <hyperlink ref="A23:B23" location="'13'!A1" display="Consolidated Statement of Financial Position  — Liabilities and Equity (Spot Balances)" xr:uid="{960F5BB8-66EA-4BAC-9CF6-2DCB9DDA40B7}"/>
    <hyperlink ref="A6" location="EDTF!A2" display="Enhanced Disclosure Task Force (EDTF) Recommendations" xr:uid="{BD4D1E3C-AFD5-4464-9981-79577156CBE1}"/>
    <hyperlink ref="A24" location="'15'!A2" display="Average Balance Sheet" xr:uid="{3EEFEADE-93F0-4499-936A-E8FA171DCBC0}"/>
    <hyperlink ref="A29" location="'18'!A2" display="• Customer Loans and Acceptances by Type of Borrower" xr:uid="{322F84C3-03F5-41AD-BAF5-0F12DBC0403A}"/>
    <hyperlink ref="A30" location="'19'!A2" display="• Impaired Loans by Business Segment" xr:uid="{3582D0A5-86C9-4A0D-9AD1-33BA61FA6B5D}"/>
    <hyperlink ref="A31" location="'20'!A2" display="• Changes in Gross Impaired Loans by Business Segment" xr:uid="{99555450-DC42-4EBD-9354-3B29CBD084DD}"/>
    <hyperlink ref="A32" location="'21'!A2" display="• Allowance for Credit Losses &amp; Other Reserves" xr:uid="{C245CFDE-BD56-4BFC-8190-5A6783819103}"/>
    <hyperlink ref="A33" location="'22'!A2" display="• Impaired Loans by Type of Borrower" xr:uid="{E3C3D3B8-8149-4B75-8C21-9034920A3018}"/>
    <hyperlink ref="A34" location="'23'!A2" display="• Provision for Credit Losses by Business Line" xr:uid="{D4B9486A-8AD8-4C97-91D4-3F2299706D8D}"/>
    <hyperlink ref="A35" location="'24'!A2" display="• Provision for Credit Losses by Type of Borrower" xr:uid="{D7ABB128-6AF4-4EBC-B7DE-DEE2A318320B}"/>
    <hyperlink ref="A5" location="Notes_1!A1" display="Notes — Adoption of Non-GAAP Measures" xr:uid="{A879867B-8952-4AB1-B5C8-8A3C653BF82E}"/>
    <hyperlink ref="A25" location="'16'!A2" display="Consolidated Statement of Changes in Equity" xr:uid="{36F5D750-C242-42BD-BC16-9EB3D002B700}"/>
    <hyperlink ref="B24" location="'15'!A2" display="'15'!A2" xr:uid="{15ACAC13-FE4A-43FA-8C4D-A6D03233D531}"/>
    <hyperlink ref="B29" location="'18'!A2" display="'18'!A2" xr:uid="{8795129F-BA0A-44A5-9EAF-B5A9BBCCC98D}"/>
    <hyperlink ref="B30" location="'19'!A2" display="'19'!A2" xr:uid="{D0FFF6DA-71F2-4AEE-A369-F39D31E135E0}"/>
    <hyperlink ref="B31" location="'20'!A2" display="'20'!A2" xr:uid="{6E9A1813-3195-4CDB-B28D-ECB9D25475F2}"/>
    <hyperlink ref="B32" location="'21'!A2" display="'21'!A2" xr:uid="{FAC6E494-C2F8-473C-94C3-346B1C0AAB3D}"/>
    <hyperlink ref="B33" location="'22'!A2" display="'22'!A2" xr:uid="{04FEE0AB-36DB-47D1-B8B6-BE79FE50F665}"/>
    <hyperlink ref="B34" location="'23'!A2" display="'23'!A2" xr:uid="{3D297AD0-8EFB-4EC2-BD8F-3B04E821E3F7}"/>
    <hyperlink ref="B35" location="'24'!A2" display="'24'!A2" xr:uid="{7AE345FD-4C67-4D34-85D6-C8435FEACF35}"/>
    <hyperlink ref="A26" location="'17'!A2" display="Consolidated Statement of Changes in Equity (Continued)" xr:uid="{8CF9C8EC-DAD9-4CBB-B370-7E994FCD6E5C}"/>
    <hyperlink ref="B14" location="'6'!A2" display="'6'!A2" xr:uid="{2AB87985-A984-4851-B730-6E3CF10F5C8E}"/>
    <hyperlink ref="B15" location="'7'!A2" display="'7'!A2" xr:uid="{A6B17BFC-1957-40D9-BA4B-43387544DD15}"/>
    <hyperlink ref="B16" location="'8'!A2" display="'8'!A2" xr:uid="{8303A1E4-0A04-42A0-92F4-5D427A40BFD3}"/>
    <hyperlink ref="B17" location="'9'!A2" display="'9'!A2" xr:uid="{11020C81-2C08-499E-94EC-153098AE263C}"/>
    <hyperlink ref="B26" location="'17'!A2" display="'17'!A2" xr:uid="{51F44CAF-FDBD-40C1-B0CF-CE42DF6F3228}"/>
    <hyperlink ref="B25" location="'16'!A2" display="'16'!A2" xr:uid="{1CAB4F66-9EEA-424B-BE5F-14E328082475}"/>
    <hyperlink ref="B23" location="'14'!A2" display="'14'!A2" xr:uid="{AD418FEF-A94F-49F3-9C69-FB88433AC7CD}"/>
    <hyperlink ref="B22" location="'13'!A2" display="'13'!A2" xr:uid="{84849902-6ED5-4DA7-8A39-D682775154CE}"/>
    <hyperlink ref="B21" location="'12'!A2" display="'12'!A2" xr:uid="{588B0150-66F4-49D3-A44C-DA7B5234AB11}"/>
    <hyperlink ref="B20" location="'11'!A2" display="'11'!A2" xr:uid="{B104AFD8-3FA6-4C0C-918F-5209537AB523}"/>
    <hyperlink ref="B19" location="'10'!A2" display="'10'!A2" xr:uid="{D7DA1A07-2ED1-49F3-8DDA-4BB345023EF2}"/>
    <hyperlink ref="B5" location="Notes_1!A1" display="Notes" xr:uid="{E3E680D4-C71F-470C-A6A5-6CB99B45FF25}"/>
    <hyperlink ref="B6" location="EDTF!A2" display="Enhanced Disclosure Task Force (EDTF) Recommendations" xr:uid="{AFE04196-1095-412F-A53D-4150477B94EA}"/>
    <hyperlink ref="B7" location="'1'!A2" display="'1'!A2" xr:uid="{9EFD0D50-787C-4AEE-9003-BA44E38A9702}"/>
    <hyperlink ref="A8" location="'2'!A2" display="Common Share and Other Information" xr:uid="{6CC27F3F-38D5-46CA-8DC0-91C3A939DB76}"/>
    <hyperlink ref="B8" location="'2'!A2" display="'2'!A2" xr:uid="{3681028A-34DA-4D65-9BFF-D110FB691163}"/>
    <hyperlink ref="A9" location="'3'!A2" display="Consolidated Statement of Income" xr:uid="{A6E00929-17F9-406A-8D6B-9830B6DDBC7A}"/>
    <hyperlink ref="B9" location="'3'!A2" display="'3'!A2" xr:uid="{397C4B58-1BF3-4BC4-96E2-61FA850D10F0}"/>
    <hyperlink ref="A12" location="'4'!A2" display="• Canadian Banking" xr:uid="{D31B8D0E-C26B-4C6E-8D06-17D5C9DD93E0}"/>
    <hyperlink ref="B12" location="'4'!A2" display="'4'!A2" xr:uid="{CC46733B-65FE-4129-8C13-DA4C6A533F04}"/>
    <hyperlink ref="A13" location="'5'!A2" display="• International Banking" xr:uid="{88438346-0531-41B9-81BC-EB08C8F434A7}"/>
    <hyperlink ref="B13" location="'5'!A2" display="'5'!A2" xr:uid="{9C19CC06-CDE3-4F0C-BDDA-6AA36D3B3503}"/>
    <hyperlink ref="A14" location="'6'!A2" display="• International Banking (Constant Dollar)" xr:uid="{F375B274-CC84-44B6-B7D6-DB2DC7309362}"/>
    <hyperlink ref="A15" location="'7'!A2" display="• Global Wealth Management" xr:uid="{25A61E9D-9DE6-4C08-AF22-49B03604B9CB}"/>
    <hyperlink ref="A16" location="'8'!A2" display="• Global Banking and Markets" xr:uid="{DAB7D7F7-BAEA-4E51-AA20-54BFA79ACCE9}"/>
    <hyperlink ref="A17" location="'9'!A2" display="• Other" xr:uid="{C919B369-2914-498E-AB7C-7B250A7F7571}"/>
    <hyperlink ref="A19" location="'10'!A2" display="Non-Interest Income" xr:uid="{AE72EF98-4C43-4885-AF0C-C256096F7572}"/>
    <hyperlink ref="A20" location="'11'!A2" display="Revenue from Trading-Related Activities and Assets Under Administration and Management" xr:uid="{E8EAA551-B59A-46B3-807C-BF69921B3CB3}"/>
    <hyperlink ref="A21" location="'12'!A2" display="Operating Expenses" xr:uid="{381F0E39-B49E-48BB-AB8E-040DFFD8B3EC}"/>
    <hyperlink ref="A22" location="'13'!A2" display="Consolidated Statement of Financial Position — Assets (Spot Balances)" xr:uid="{639CE176-218C-4CB4-A233-484CF1E53BF9}"/>
    <hyperlink ref="A23" location="'14'!A2" display="Consolidated Statement of Financial Position  — Liabilities and Equity (Spot Balances)" xr:uid="{BC17CC61-4323-4817-ACD8-F6EC281CCC7D}"/>
    <hyperlink ref="A7" location="'1'!A2" display="'1'!A2" xr:uid="{4235C111-C77B-487A-A9BC-11DD8FE60A86}"/>
  </hyperlinks>
  <printOptions verticalCentered="1"/>
  <pageMargins left="0.5" right="0.5" top="0.5" bottom="0.5" header="0.25" footer="0.25"/>
  <pageSetup scale="61" firstPageNumber="6" orientation="landscape" useFirstPageNumber="1" r:id="rId1"/>
  <headerFooter>
    <oddFooter>&amp;L&amp;G&amp;C&amp;"Scotia,Regular"&amp;9Supplementary Financial Information (SFI)&amp;RToC&amp;"Scotia,Regular"&amp;7</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BD64-2539-44F7-801D-232A81E6FECE}">
  <dimension ref="A1:S24"/>
  <sheetViews>
    <sheetView showGridLines="0" zoomScaleNormal="100" workbookViewId="0"/>
  </sheetViews>
  <sheetFormatPr defaultColWidth="8.77734375" defaultRowHeight="13.2" x14ac:dyDescent="0.25"/>
  <cols>
    <col min="1" max="1" width="98.21875" style="23" customWidth="1"/>
    <col min="2" max="18" width="7.21875" style="23" customWidth="1"/>
    <col min="19" max="19" width="5" style="23" customWidth="1"/>
    <col min="20" max="16384" width="8.77734375" style="23"/>
  </cols>
  <sheetData>
    <row r="1" spans="1:19" ht="19.95" customHeight="1" x14ac:dyDescent="0.25">
      <c r="A1" s="22" t="s">
        <v>12</v>
      </c>
    </row>
    <row r="2" spans="1:19" ht="25.05" customHeight="1" x14ac:dyDescent="0.25">
      <c r="A2" s="24" t="s">
        <v>13</v>
      </c>
      <c r="B2" s="24"/>
      <c r="C2" s="24"/>
      <c r="D2" s="24"/>
      <c r="E2" s="24"/>
      <c r="F2" s="24"/>
      <c r="G2" s="24"/>
      <c r="H2" s="24"/>
      <c r="I2" s="24"/>
      <c r="J2" s="24"/>
      <c r="K2" s="24"/>
      <c r="L2" s="24"/>
      <c r="M2" s="24"/>
      <c r="N2" s="24"/>
      <c r="O2" s="24"/>
      <c r="P2" s="24"/>
      <c r="Q2" s="24"/>
      <c r="R2" s="24"/>
      <c r="S2" s="24"/>
    </row>
    <row r="3" spans="1:19" ht="30" customHeight="1" x14ac:dyDescent="0.3">
      <c r="A3" s="2799" t="s">
        <v>14</v>
      </c>
      <c r="B3" s="2799" t="s">
        <v>15</v>
      </c>
      <c r="C3" s="2799" t="s">
        <v>15</v>
      </c>
      <c r="D3" s="2799" t="s">
        <v>15</v>
      </c>
      <c r="E3" s="2799" t="s">
        <v>15</v>
      </c>
      <c r="F3" s="2799" t="s">
        <v>15</v>
      </c>
      <c r="G3" s="2799" t="s">
        <v>15</v>
      </c>
      <c r="H3" s="2799" t="s">
        <v>15</v>
      </c>
      <c r="I3" s="2799" t="s">
        <v>15</v>
      </c>
      <c r="J3" s="2799" t="s">
        <v>15</v>
      </c>
      <c r="K3" s="2799" t="s">
        <v>15</v>
      </c>
      <c r="L3" s="2799" t="s">
        <v>15</v>
      </c>
      <c r="M3" s="2799" t="s">
        <v>15</v>
      </c>
      <c r="N3" s="2799" t="s">
        <v>15</v>
      </c>
      <c r="O3" s="2799" t="s">
        <v>15</v>
      </c>
      <c r="P3" s="2799" t="s">
        <v>15</v>
      </c>
      <c r="Q3" s="2799" t="s">
        <v>15</v>
      </c>
      <c r="R3" s="2799" t="s">
        <v>15</v>
      </c>
      <c r="S3" s="2799" t="s">
        <v>15</v>
      </c>
    </row>
    <row r="4" spans="1:19" ht="25.05" customHeight="1" x14ac:dyDescent="0.3">
      <c r="A4" s="2799" t="s">
        <v>16</v>
      </c>
      <c r="B4" s="2799" t="s">
        <v>15</v>
      </c>
      <c r="C4" s="2799" t="s">
        <v>15</v>
      </c>
      <c r="D4" s="2799" t="s">
        <v>15</v>
      </c>
      <c r="E4" s="2799" t="s">
        <v>15</v>
      </c>
      <c r="F4" s="2799" t="s">
        <v>15</v>
      </c>
      <c r="G4" s="2799" t="s">
        <v>15</v>
      </c>
      <c r="H4" s="2799" t="s">
        <v>15</v>
      </c>
      <c r="I4" s="2799" t="s">
        <v>15</v>
      </c>
      <c r="J4" s="2799" t="s">
        <v>15</v>
      </c>
      <c r="K4" s="2799" t="s">
        <v>15</v>
      </c>
      <c r="L4" s="2799" t="s">
        <v>15</v>
      </c>
      <c r="M4" s="2799" t="s">
        <v>15</v>
      </c>
      <c r="N4" s="2799" t="s">
        <v>15</v>
      </c>
      <c r="O4" s="2799" t="s">
        <v>15</v>
      </c>
      <c r="P4" s="2799" t="s">
        <v>15</v>
      </c>
      <c r="Q4" s="2799" t="s">
        <v>15</v>
      </c>
      <c r="R4" s="2799" t="s">
        <v>15</v>
      </c>
      <c r="S4" s="2799" t="s">
        <v>15</v>
      </c>
    </row>
    <row r="5" spans="1:19" ht="60.45" customHeight="1" x14ac:dyDescent="0.25">
      <c r="A5" s="2800" t="s">
        <v>17</v>
      </c>
      <c r="B5" s="2800" t="s">
        <v>15</v>
      </c>
      <c r="C5" s="2800" t="s">
        <v>15</v>
      </c>
      <c r="D5" s="2800" t="s">
        <v>15</v>
      </c>
      <c r="E5" s="2800" t="s">
        <v>15</v>
      </c>
      <c r="F5" s="2800" t="s">
        <v>15</v>
      </c>
      <c r="G5" s="2800" t="s">
        <v>15</v>
      </c>
      <c r="H5" s="2800" t="s">
        <v>15</v>
      </c>
      <c r="I5" s="2800" t="s">
        <v>15</v>
      </c>
      <c r="J5" s="2800" t="s">
        <v>15</v>
      </c>
      <c r="K5" s="2800" t="s">
        <v>15</v>
      </c>
      <c r="L5" s="2800" t="s">
        <v>15</v>
      </c>
      <c r="M5" s="2800" t="s">
        <v>15</v>
      </c>
      <c r="N5" s="2800" t="s">
        <v>15</v>
      </c>
      <c r="O5" s="2800" t="s">
        <v>15</v>
      </c>
      <c r="P5" s="2800" t="s">
        <v>15</v>
      </c>
      <c r="Q5" s="2800" t="s">
        <v>15</v>
      </c>
      <c r="R5" s="2800" t="s">
        <v>15</v>
      </c>
      <c r="S5" s="2800" t="s">
        <v>15</v>
      </c>
    </row>
    <row r="6" spans="1:19" ht="21" customHeight="1" x14ac:dyDescent="0.3">
      <c r="A6" s="2799" t="s">
        <v>18</v>
      </c>
      <c r="B6" s="2799" t="s">
        <v>15</v>
      </c>
      <c r="C6" s="2799" t="s">
        <v>15</v>
      </c>
      <c r="D6" s="2799" t="s">
        <v>15</v>
      </c>
      <c r="E6" s="2799" t="s">
        <v>15</v>
      </c>
      <c r="F6" s="2799" t="s">
        <v>15</v>
      </c>
      <c r="G6" s="2799" t="s">
        <v>15</v>
      </c>
      <c r="H6" s="2799" t="s">
        <v>15</v>
      </c>
      <c r="I6" s="2799" t="s">
        <v>15</v>
      </c>
      <c r="J6" s="2799" t="s">
        <v>15</v>
      </c>
      <c r="K6" s="2799" t="s">
        <v>15</v>
      </c>
      <c r="L6" s="2799" t="s">
        <v>15</v>
      </c>
      <c r="M6" s="2799" t="s">
        <v>15</v>
      </c>
      <c r="N6" s="2799" t="s">
        <v>15</v>
      </c>
      <c r="O6" s="2799" t="s">
        <v>15</v>
      </c>
      <c r="P6" s="2799" t="s">
        <v>15</v>
      </c>
      <c r="Q6" s="2799" t="s">
        <v>15</v>
      </c>
      <c r="R6" s="2799" t="s">
        <v>15</v>
      </c>
      <c r="S6" s="2799" t="s">
        <v>15</v>
      </c>
    </row>
    <row r="7" spans="1:19" ht="44.55" customHeight="1" x14ac:dyDescent="0.25">
      <c r="A7" s="2800" t="s">
        <v>19</v>
      </c>
      <c r="B7" s="2800" t="s">
        <v>15</v>
      </c>
      <c r="C7" s="2800" t="s">
        <v>15</v>
      </c>
      <c r="D7" s="2800" t="s">
        <v>15</v>
      </c>
      <c r="E7" s="2800" t="s">
        <v>15</v>
      </c>
      <c r="F7" s="2800" t="s">
        <v>15</v>
      </c>
      <c r="G7" s="2800" t="s">
        <v>15</v>
      </c>
      <c r="H7" s="2800" t="s">
        <v>15</v>
      </c>
      <c r="I7" s="2800" t="s">
        <v>15</v>
      </c>
      <c r="J7" s="2800" t="s">
        <v>15</v>
      </c>
      <c r="K7" s="2800" t="s">
        <v>15</v>
      </c>
      <c r="L7" s="2800" t="s">
        <v>15</v>
      </c>
      <c r="M7" s="2800" t="s">
        <v>15</v>
      </c>
      <c r="N7" s="2800" t="s">
        <v>15</v>
      </c>
      <c r="O7" s="2800" t="s">
        <v>15</v>
      </c>
      <c r="P7" s="2800" t="s">
        <v>15</v>
      </c>
      <c r="Q7" s="2800" t="s">
        <v>15</v>
      </c>
      <c r="R7" s="2800" t="s">
        <v>15</v>
      </c>
      <c r="S7" s="2800" t="s">
        <v>15</v>
      </c>
    </row>
    <row r="8" spans="1:19" ht="24.45" customHeight="1" x14ac:dyDescent="0.3">
      <c r="A8" s="2799" t="s">
        <v>20</v>
      </c>
      <c r="B8" s="2799" t="s">
        <v>15</v>
      </c>
      <c r="C8" s="2799" t="s">
        <v>15</v>
      </c>
      <c r="D8" s="2799" t="s">
        <v>15</v>
      </c>
      <c r="E8" s="2799" t="s">
        <v>15</v>
      </c>
      <c r="F8" s="2799" t="s">
        <v>15</v>
      </c>
      <c r="G8" s="2799" t="s">
        <v>15</v>
      </c>
      <c r="H8" s="2799" t="s">
        <v>15</v>
      </c>
      <c r="I8" s="2799" t="s">
        <v>15</v>
      </c>
      <c r="J8" s="2799" t="s">
        <v>15</v>
      </c>
      <c r="K8" s="2799" t="s">
        <v>15</v>
      </c>
      <c r="L8" s="2799" t="s">
        <v>15</v>
      </c>
      <c r="M8" s="2799" t="s">
        <v>15</v>
      </c>
      <c r="N8" s="2799" t="s">
        <v>15</v>
      </c>
      <c r="O8" s="2799" t="s">
        <v>15</v>
      </c>
      <c r="P8" s="2799" t="s">
        <v>15</v>
      </c>
      <c r="Q8" s="2799" t="s">
        <v>15</v>
      </c>
      <c r="R8" s="2799" t="s">
        <v>15</v>
      </c>
      <c r="S8" s="2799" t="s">
        <v>15</v>
      </c>
    </row>
    <row r="9" spans="1:19" ht="9.75" hidden="1" customHeight="1" x14ac:dyDescent="0.25">
      <c r="A9" s="2800"/>
      <c r="B9" s="2800" t="s">
        <v>15</v>
      </c>
      <c r="C9" s="2800" t="s">
        <v>15</v>
      </c>
      <c r="D9" s="2800" t="s">
        <v>15</v>
      </c>
      <c r="E9" s="2800" t="s">
        <v>15</v>
      </c>
      <c r="F9" s="2800" t="s">
        <v>15</v>
      </c>
      <c r="G9" s="2800" t="s">
        <v>15</v>
      </c>
      <c r="H9" s="2800" t="s">
        <v>15</v>
      </c>
      <c r="I9" s="2800" t="s">
        <v>15</v>
      </c>
      <c r="J9" s="2800" t="s">
        <v>15</v>
      </c>
      <c r="K9" s="2800" t="s">
        <v>15</v>
      </c>
      <c r="L9" s="2800" t="s">
        <v>15</v>
      </c>
      <c r="M9" s="2800" t="s">
        <v>15</v>
      </c>
      <c r="N9" s="2800" t="s">
        <v>15</v>
      </c>
      <c r="O9" s="2800" t="s">
        <v>15</v>
      </c>
      <c r="P9" s="2800" t="s">
        <v>15</v>
      </c>
      <c r="Q9" s="2800" t="s">
        <v>15</v>
      </c>
      <c r="R9" s="2800" t="s">
        <v>15</v>
      </c>
      <c r="S9" s="2800" t="s">
        <v>15</v>
      </c>
    </row>
    <row r="10" spans="1:19" ht="24.45" customHeight="1" x14ac:dyDescent="0.25">
      <c r="A10" s="2798" t="s">
        <v>21</v>
      </c>
      <c r="B10" s="2798" t="s">
        <v>15</v>
      </c>
      <c r="C10" s="2798" t="s">
        <v>15</v>
      </c>
      <c r="D10" s="2798" t="s">
        <v>15</v>
      </c>
      <c r="E10" s="2798" t="s">
        <v>15</v>
      </c>
      <c r="F10" s="2798" t="s">
        <v>15</v>
      </c>
      <c r="G10" s="2798" t="s">
        <v>15</v>
      </c>
      <c r="H10" s="2798" t="s">
        <v>15</v>
      </c>
      <c r="I10" s="2798" t="s">
        <v>15</v>
      </c>
      <c r="J10" s="2798" t="s">
        <v>15</v>
      </c>
      <c r="K10" s="2798" t="s">
        <v>15</v>
      </c>
      <c r="L10" s="2798" t="s">
        <v>15</v>
      </c>
      <c r="M10" s="2798" t="s">
        <v>15</v>
      </c>
      <c r="N10" s="2798" t="s">
        <v>15</v>
      </c>
      <c r="O10" s="2798" t="s">
        <v>15</v>
      </c>
      <c r="P10" s="2798" t="s">
        <v>15</v>
      </c>
      <c r="Q10" s="2798" t="s">
        <v>15</v>
      </c>
      <c r="R10" s="2798" t="s">
        <v>15</v>
      </c>
      <c r="S10" s="2798" t="s">
        <v>15</v>
      </c>
    </row>
    <row r="11" spans="1:19" ht="187.5" customHeight="1" x14ac:dyDescent="0.25">
      <c r="A11" s="2794" t="s">
        <v>22</v>
      </c>
      <c r="B11" s="2794" t="s">
        <v>15</v>
      </c>
      <c r="C11" s="2794" t="s">
        <v>15</v>
      </c>
      <c r="D11" s="2794" t="s">
        <v>15</v>
      </c>
      <c r="E11" s="2794" t="s">
        <v>15</v>
      </c>
      <c r="F11" s="2794" t="s">
        <v>15</v>
      </c>
      <c r="G11" s="2794" t="s">
        <v>15</v>
      </c>
      <c r="H11" s="2794" t="s">
        <v>15</v>
      </c>
      <c r="I11" s="2794" t="s">
        <v>15</v>
      </c>
      <c r="J11" s="2794" t="s">
        <v>15</v>
      </c>
      <c r="K11" s="2794" t="s">
        <v>15</v>
      </c>
      <c r="L11" s="2794" t="s">
        <v>15</v>
      </c>
      <c r="M11" s="2794" t="s">
        <v>15</v>
      </c>
      <c r="N11" s="2794" t="s">
        <v>15</v>
      </c>
      <c r="O11" s="2794" t="s">
        <v>15</v>
      </c>
      <c r="P11" s="2794" t="s">
        <v>15</v>
      </c>
      <c r="Q11" s="2794" t="s">
        <v>15</v>
      </c>
      <c r="R11" s="2794" t="s">
        <v>15</v>
      </c>
      <c r="S11" s="2794" t="s">
        <v>15</v>
      </c>
    </row>
    <row r="12" spans="1:19" ht="22.05" customHeight="1" x14ac:dyDescent="0.25">
      <c r="A12" s="2797" t="s">
        <v>23</v>
      </c>
      <c r="B12" s="2797" t="s">
        <v>15</v>
      </c>
      <c r="C12" s="2797" t="s">
        <v>15</v>
      </c>
      <c r="D12" s="2797" t="s">
        <v>15</v>
      </c>
      <c r="E12" s="2797" t="s">
        <v>15</v>
      </c>
      <c r="F12" s="2797" t="s">
        <v>15</v>
      </c>
      <c r="G12" s="2797" t="s">
        <v>15</v>
      </c>
      <c r="H12" s="2797" t="s">
        <v>15</v>
      </c>
      <c r="I12" s="2797" t="s">
        <v>15</v>
      </c>
      <c r="J12" s="2797" t="s">
        <v>15</v>
      </c>
      <c r="K12" s="2797" t="s">
        <v>15</v>
      </c>
      <c r="L12" s="2797" t="s">
        <v>15</v>
      </c>
      <c r="M12" s="2797" t="s">
        <v>15</v>
      </c>
      <c r="N12" s="2797" t="s">
        <v>15</v>
      </c>
      <c r="O12" s="2797" t="s">
        <v>15</v>
      </c>
      <c r="P12" s="2797" t="s">
        <v>15</v>
      </c>
      <c r="Q12" s="2797" t="s">
        <v>15</v>
      </c>
      <c r="R12" s="2797" t="s">
        <v>15</v>
      </c>
      <c r="S12" s="2797" t="s">
        <v>15</v>
      </c>
    </row>
    <row r="13" spans="1:19" ht="121.95" customHeight="1" x14ac:dyDescent="0.25">
      <c r="A13" s="2794" t="s">
        <v>24</v>
      </c>
      <c r="B13" s="2794" t="s">
        <v>15</v>
      </c>
      <c r="C13" s="2794" t="s">
        <v>15</v>
      </c>
      <c r="D13" s="2794" t="s">
        <v>15</v>
      </c>
      <c r="E13" s="2794" t="s">
        <v>15</v>
      </c>
      <c r="F13" s="2794" t="s">
        <v>15</v>
      </c>
      <c r="G13" s="2794" t="s">
        <v>15</v>
      </c>
      <c r="H13" s="2794" t="s">
        <v>15</v>
      </c>
      <c r="I13" s="2794" t="s">
        <v>15</v>
      </c>
      <c r="J13" s="2794" t="s">
        <v>15</v>
      </c>
      <c r="K13" s="2794" t="s">
        <v>15</v>
      </c>
      <c r="L13" s="2794" t="s">
        <v>15</v>
      </c>
      <c r="M13" s="2794" t="s">
        <v>15</v>
      </c>
      <c r="N13" s="2794" t="s">
        <v>15</v>
      </c>
      <c r="O13" s="2794" t="s">
        <v>15</v>
      </c>
      <c r="P13" s="2794" t="s">
        <v>15</v>
      </c>
      <c r="Q13" s="2794" t="s">
        <v>15</v>
      </c>
      <c r="R13" s="2794" t="s">
        <v>15</v>
      </c>
      <c r="S13" s="2794" t="s">
        <v>15</v>
      </c>
    </row>
    <row r="14" spans="1:19" ht="25.5" customHeight="1" x14ac:dyDescent="0.25">
      <c r="A14" s="2798" t="s">
        <v>25</v>
      </c>
      <c r="B14" s="2798" t="s">
        <v>15</v>
      </c>
      <c r="C14" s="2798" t="s">
        <v>15</v>
      </c>
      <c r="D14" s="2798" t="s">
        <v>15</v>
      </c>
      <c r="E14" s="2798" t="s">
        <v>15</v>
      </c>
      <c r="F14" s="2798" t="s">
        <v>15</v>
      </c>
      <c r="G14" s="2798" t="s">
        <v>15</v>
      </c>
      <c r="H14" s="2798" t="s">
        <v>15</v>
      </c>
      <c r="I14" s="2798" t="s">
        <v>15</v>
      </c>
      <c r="J14" s="2798" t="s">
        <v>15</v>
      </c>
      <c r="K14" s="2798" t="s">
        <v>15</v>
      </c>
      <c r="L14" s="2798" t="s">
        <v>15</v>
      </c>
      <c r="M14" s="2798" t="s">
        <v>15</v>
      </c>
      <c r="N14" s="2798" t="s">
        <v>15</v>
      </c>
      <c r="O14" s="2798" t="s">
        <v>15</v>
      </c>
      <c r="P14" s="2798" t="s">
        <v>15</v>
      </c>
      <c r="Q14" s="2798" t="s">
        <v>15</v>
      </c>
      <c r="R14" s="2798" t="s">
        <v>15</v>
      </c>
      <c r="S14" s="2798" t="s">
        <v>15</v>
      </c>
    </row>
    <row r="15" spans="1:19" ht="64.05" customHeight="1" x14ac:dyDescent="0.25">
      <c r="A15" s="2794" t="s">
        <v>26</v>
      </c>
      <c r="B15" s="2794" t="s">
        <v>15</v>
      </c>
      <c r="C15" s="2794" t="s">
        <v>15</v>
      </c>
      <c r="D15" s="2794" t="s">
        <v>15</v>
      </c>
      <c r="E15" s="2794" t="s">
        <v>15</v>
      </c>
      <c r="F15" s="2794" t="s">
        <v>15</v>
      </c>
      <c r="G15" s="2794" t="s">
        <v>15</v>
      </c>
      <c r="H15" s="2794" t="s">
        <v>15</v>
      </c>
      <c r="I15" s="2794" t="s">
        <v>15</v>
      </c>
      <c r="J15" s="2794" t="s">
        <v>15</v>
      </c>
      <c r="K15" s="2794" t="s">
        <v>15</v>
      </c>
      <c r="L15" s="2794" t="s">
        <v>15</v>
      </c>
      <c r="M15" s="2794" t="s">
        <v>15</v>
      </c>
      <c r="N15" s="2794" t="s">
        <v>15</v>
      </c>
      <c r="O15" s="2794" t="s">
        <v>15</v>
      </c>
      <c r="P15" s="2794" t="s">
        <v>15</v>
      </c>
      <c r="Q15" s="2794" t="s">
        <v>15</v>
      </c>
      <c r="R15" s="2794" t="s">
        <v>15</v>
      </c>
      <c r="S15" s="2794" t="s">
        <v>15</v>
      </c>
    </row>
    <row r="16" spans="1:19" ht="16.95" customHeight="1" x14ac:dyDescent="0.25">
      <c r="A16" s="2798" t="s">
        <v>27</v>
      </c>
      <c r="B16" s="2798" t="s">
        <v>15</v>
      </c>
      <c r="C16" s="2798" t="s">
        <v>15</v>
      </c>
      <c r="D16" s="2798" t="s">
        <v>15</v>
      </c>
      <c r="E16" s="2798" t="s">
        <v>15</v>
      </c>
      <c r="F16" s="2798" t="s">
        <v>15</v>
      </c>
      <c r="G16" s="2798" t="s">
        <v>15</v>
      </c>
      <c r="H16" s="2798" t="s">
        <v>15</v>
      </c>
      <c r="I16" s="2798" t="s">
        <v>15</v>
      </c>
      <c r="J16" s="2798" t="s">
        <v>15</v>
      </c>
      <c r="K16" s="2798" t="s">
        <v>15</v>
      </c>
      <c r="L16" s="2798" t="s">
        <v>15</v>
      </c>
      <c r="M16" s="2798" t="s">
        <v>15</v>
      </c>
      <c r="N16" s="2798" t="s">
        <v>15</v>
      </c>
      <c r="O16" s="2798" t="s">
        <v>15</v>
      </c>
      <c r="P16" s="2798" t="s">
        <v>15</v>
      </c>
      <c r="Q16" s="2798" t="s">
        <v>15</v>
      </c>
      <c r="R16" s="2798" t="s">
        <v>15</v>
      </c>
      <c r="S16" s="2798" t="s">
        <v>15</v>
      </c>
    </row>
    <row r="17" spans="1:19" ht="40.5" customHeight="1" x14ac:dyDescent="0.25">
      <c r="A17" s="2794" t="s">
        <v>28</v>
      </c>
      <c r="B17" s="2794" t="s">
        <v>15</v>
      </c>
      <c r="C17" s="2794" t="s">
        <v>15</v>
      </c>
      <c r="D17" s="2794" t="s">
        <v>15</v>
      </c>
      <c r="E17" s="2794" t="s">
        <v>15</v>
      </c>
      <c r="F17" s="2794" t="s">
        <v>15</v>
      </c>
      <c r="G17" s="2794" t="s">
        <v>15</v>
      </c>
      <c r="H17" s="2794" t="s">
        <v>15</v>
      </c>
      <c r="I17" s="2794" t="s">
        <v>15</v>
      </c>
      <c r="J17" s="2794" t="s">
        <v>15</v>
      </c>
      <c r="K17" s="2794" t="s">
        <v>15</v>
      </c>
      <c r="L17" s="2794" t="s">
        <v>15</v>
      </c>
      <c r="M17" s="2794" t="s">
        <v>15</v>
      </c>
      <c r="N17" s="2794" t="s">
        <v>15</v>
      </c>
      <c r="O17" s="2794" t="s">
        <v>15</v>
      </c>
      <c r="P17" s="2794" t="s">
        <v>15</v>
      </c>
      <c r="Q17" s="2794" t="s">
        <v>15</v>
      </c>
      <c r="R17" s="2794" t="s">
        <v>15</v>
      </c>
      <c r="S17" s="2794" t="s">
        <v>15</v>
      </c>
    </row>
    <row r="18" spans="1:19" ht="18.75" customHeight="1" x14ac:dyDescent="0.25">
      <c r="A18" s="2797" t="s">
        <v>29</v>
      </c>
      <c r="B18" s="2797" t="s">
        <v>15</v>
      </c>
      <c r="C18" s="2797" t="s">
        <v>15</v>
      </c>
      <c r="D18" s="2797" t="s">
        <v>15</v>
      </c>
      <c r="E18" s="2797" t="s">
        <v>15</v>
      </c>
      <c r="F18" s="2797" t="s">
        <v>15</v>
      </c>
      <c r="G18" s="2797" t="s">
        <v>15</v>
      </c>
      <c r="H18" s="2797" t="s">
        <v>15</v>
      </c>
      <c r="I18" s="2797" t="s">
        <v>15</v>
      </c>
      <c r="J18" s="2797" t="s">
        <v>15</v>
      </c>
      <c r="K18" s="2797" t="s">
        <v>15</v>
      </c>
      <c r="L18" s="2797" t="s">
        <v>15</v>
      </c>
      <c r="M18" s="2797" t="s">
        <v>15</v>
      </c>
      <c r="N18" s="2797" t="s">
        <v>15</v>
      </c>
      <c r="O18" s="2797" t="s">
        <v>15</v>
      </c>
      <c r="P18" s="2797" t="s">
        <v>15</v>
      </c>
      <c r="Q18" s="2797" t="s">
        <v>15</v>
      </c>
      <c r="R18" s="2797" t="s">
        <v>15</v>
      </c>
      <c r="S18" s="2797" t="s">
        <v>15</v>
      </c>
    </row>
    <row r="19" spans="1:19" ht="75" customHeight="1" x14ac:dyDescent="0.25">
      <c r="A19" s="2794" t="s">
        <v>30</v>
      </c>
      <c r="B19" s="2794" t="s">
        <v>15</v>
      </c>
      <c r="C19" s="2794" t="s">
        <v>15</v>
      </c>
      <c r="D19" s="2794" t="s">
        <v>15</v>
      </c>
      <c r="E19" s="2794" t="s">
        <v>15</v>
      </c>
      <c r="F19" s="2794" t="s">
        <v>15</v>
      </c>
      <c r="G19" s="2794" t="s">
        <v>15</v>
      </c>
      <c r="H19" s="2794" t="s">
        <v>15</v>
      </c>
      <c r="I19" s="2794" t="s">
        <v>15</v>
      </c>
      <c r="J19" s="2794" t="s">
        <v>15</v>
      </c>
      <c r="K19" s="2794" t="s">
        <v>15</v>
      </c>
      <c r="L19" s="2794" t="s">
        <v>15</v>
      </c>
      <c r="M19" s="2794" t="s">
        <v>15</v>
      </c>
      <c r="N19" s="2794" t="s">
        <v>15</v>
      </c>
      <c r="O19" s="2794" t="s">
        <v>15</v>
      </c>
      <c r="P19" s="2794" t="s">
        <v>15</v>
      </c>
      <c r="Q19" s="2794" t="s">
        <v>15</v>
      </c>
      <c r="R19" s="2794" t="s">
        <v>15</v>
      </c>
      <c r="S19" s="2794" t="s">
        <v>15</v>
      </c>
    </row>
    <row r="20" spans="1:19" ht="19.5" customHeight="1" x14ac:dyDescent="0.25">
      <c r="A20" s="2797" t="s">
        <v>31</v>
      </c>
      <c r="B20" s="2797" t="s">
        <v>15</v>
      </c>
      <c r="C20" s="2797" t="s">
        <v>15</v>
      </c>
      <c r="D20" s="2797" t="s">
        <v>15</v>
      </c>
      <c r="E20" s="2797" t="s">
        <v>15</v>
      </c>
      <c r="F20" s="2797" t="s">
        <v>15</v>
      </c>
      <c r="G20" s="2797" t="s">
        <v>15</v>
      </c>
      <c r="H20" s="2797" t="s">
        <v>15</v>
      </c>
      <c r="I20" s="2797" t="s">
        <v>15</v>
      </c>
      <c r="J20" s="2797" t="s">
        <v>15</v>
      </c>
      <c r="K20" s="2797" t="s">
        <v>15</v>
      </c>
      <c r="L20" s="2797" t="s">
        <v>15</v>
      </c>
      <c r="M20" s="2797" t="s">
        <v>15</v>
      </c>
      <c r="N20" s="2797" t="s">
        <v>15</v>
      </c>
      <c r="O20" s="2797" t="s">
        <v>15</v>
      </c>
      <c r="P20" s="2797" t="s">
        <v>15</v>
      </c>
      <c r="Q20" s="2797" t="s">
        <v>15</v>
      </c>
      <c r="R20" s="2797" t="s">
        <v>15</v>
      </c>
      <c r="S20" s="2797" t="s">
        <v>15</v>
      </c>
    </row>
    <row r="21" spans="1:19" ht="21.45" customHeight="1" x14ac:dyDescent="0.25">
      <c r="A21" s="2794" t="s">
        <v>32</v>
      </c>
      <c r="B21" s="2794" t="s">
        <v>15</v>
      </c>
      <c r="C21" s="2794" t="s">
        <v>15</v>
      </c>
      <c r="D21" s="2794" t="s">
        <v>15</v>
      </c>
      <c r="E21" s="2794" t="s">
        <v>15</v>
      </c>
      <c r="F21" s="2794" t="s">
        <v>15</v>
      </c>
      <c r="G21" s="2794" t="s">
        <v>15</v>
      </c>
      <c r="H21" s="2794" t="s">
        <v>15</v>
      </c>
      <c r="I21" s="2794" t="s">
        <v>15</v>
      </c>
      <c r="J21" s="2794" t="s">
        <v>15</v>
      </c>
      <c r="K21" s="2794" t="s">
        <v>15</v>
      </c>
      <c r="L21" s="2794" t="s">
        <v>15</v>
      </c>
      <c r="M21" s="2794" t="s">
        <v>15</v>
      </c>
      <c r="N21" s="2794" t="s">
        <v>15</v>
      </c>
      <c r="O21" s="2794" t="s">
        <v>15</v>
      </c>
      <c r="P21" s="2794" t="s">
        <v>15</v>
      </c>
      <c r="Q21" s="2794" t="s">
        <v>15</v>
      </c>
      <c r="R21" s="2794" t="s">
        <v>15</v>
      </c>
      <c r="S21" s="2794" t="s">
        <v>15</v>
      </c>
    </row>
    <row r="22" spans="1:19" ht="19.95" customHeight="1" x14ac:dyDescent="0.25">
      <c r="A22" s="2795" t="s">
        <v>33</v>
      </c>
      <c r="B22" s="2795" t="s">
        <v>15</v>
      </c>
      <c r="C22" s="2795" t="s">
        <v>15</v>
      </c>
      <c r="D22" s="2795" t="s">
        <v>15</v>
      </c>
      <c r="E22" s="2795" t="s">
        <v>15</v>
      </c>
      <c r="F22" s="2795" t="s">
        <v>15</v>
      </c>
      <c r="G22" s="2795" t="s">
        <v>15</v>
      </c>
      <c r="H22" s="2795" t="s">
        <v>15</v>
      </c>
      <c r="I22" s="2795" t="s">
        <v>15</v>
      </c>
      <c r="J22" s="2795" t="s">
        <v>15</v>
      </c>
      <c r="K22" s="2795" t="s">
        <v>15</v>
      </c>
      <c r="L22" s="2795" t="s">
        <v>15</v>
      </c>
      <c r="M22" s="2795" t="s">
        <v>15</v>
      </c>
      <c r="N22" s="2795" t="s">
        <v>15</v>
      </c>
      <c r="O22" s="2795" t="s">
        <v>15</v>
      </c>
      <c r="P22" s="2795" t="s">
        <v>15</v>
      </c>
      <c r="Q22" s="2795" t="s">
        <v>15</v>
      </c>
      <c r="R22" s="2795" t="s">
        <v>15</v>
      </c>
      <c r="S22" s="2795" t="s">
        <v>15</v>
      </c>
    </row>
    <row r="23" spans="1:19" ht="21" customHeight="1" x14ac:dyDescent="0.25">
      <c r="A23" s="2796" t="s">
        <v>34</v>
      </c>
      <c r="B23" s="2796" t="s">
        <v>15</v>
      </c>
      <c r="C23" s="2796" t="s">
        <v>15</v>
      </c>
      <c r="D23" s="2796" t="s">
        <v>15</v>
      </c>
      <c r="E23" s="2796" t="s">
        <v>15</v>
      </c>
      <c r="F23" s="2796" t="s">
        <v>15</v>
      </c>
      <c r="G23" s="2796" t="s">
        <v>15</v>
      </c>
      <c r="H23" s="2796" t="s">
        <v>15</v>
      </c>
      <c r="I23" s="2796" t="s">
        <v>15</v>
      </c>
      <c r="J23" s="2796" t="s">
        <v>15</v>
      </c>
      <c r="K23" s="2796" t="s">
        <v>15</v>
      </c>
      <c r="L23" s="2796" t="s">
        <v>15</v>
      </c>
      <c r="M23" s="2796" t="s">
        <v>15</v>
      </c>
      <c r="N23" s="2796" t="s">
        <v>15</v>
      </c>
      <c r="O23" s="2796" t="s">
        <v>15</v>
      </c>
      <c r="P23" s="2796" t="s">
        <v>15</v>
      </c>
      <c r="Q23" s="2796" t="s">
        <v>15</v>
      </c>
      <c r="R23" s="2796" t="s">
        <v>15</v>
      </c>
      <c r="S23" s="2796" t="s">
        <v>15</v>
      </c>
    </row>
    <row r="24" spans="1:19" ht="53.55" customHeight="1" x14ac:dyDescent="0.25">
      <c r="A24" s="2797" t="s">
        <v>35</v>
      </c>
      <c r="B24" s="2797" t="s">
        <v>15</v>
      </c>
      <c r="C24" s="2797" t="s">
        <v>15</v>
      </c>
      <c r="D24" s="2797" t="s">
        <v>15</v>
      </c>
      <c r="E24" s="2797" t="s">
        <v>15</v>
      </c>
      <c r="F24" s="2797" t="s">
        <v>15</v>
      </c>
      <c r="G24" s="2797" t="s">
        <v>15</v>
      </c>
      <c r="H24" s="2797" t="s">
        <v>15</v>
      </c>
      <c r="I24" s="2797" t="s">
        <v>15</v>
      </c>
      <c r="J24" s="2797" t="s">
        <v>15</v>
      </c>
      <c r="K24" s="2797" t="s">
        <v>15</v>
      </c>
      <c r="L24" s="2797" t="s">
        <v>15</v>
      </c>
      <c r="M24" s="2797" t="s">
        <v>15</v>
      </c>
      <c r="N24" s="2797" t="s">
        <v>15</v>
      </c>
      <c r="O24" s="2797" t="s">
        <v>15</v>
      </c>
      <c r="P24" s="2797" t="s">
        <v>15</v>
      </c>
      <c r="Q24" s="2797" t="s">
        <v>15</v>
      </c>
      <c r="R24" s="2797" t="s">
        <v>15</v>
      </c>
      <c r="S24" s="2797" t="s">
        <v>15</v>
      </c>
    </row>
  </sheetData>
  <mergeCells count="22">
    <mergeCell ref="A14:S14"/>
    <mergeCell ref="A3:S3"/>
    <mergeCell ref="A4:S4"/>
    <mergeCell ref="A5:S5"/>
    <mergeCell ref="A6:S6"/>
    <mergeCell ref="A7:S7"/>
    <mergeCell ref="A8:S8"/>
    <mergeCell ref="A9:S9"/>
    <mergeCell ref="A10:S10"/>
    <mergeCell ref="A11:S11"/>
    <mergeCell ref="A12:S12"/>
    <mergeCell ref="A13:S13"/>
    <mergeCell ref="A21:S21"/>
    <mergeCell ref="A22:S22"/>
    <mergeCell ref="A23:S23"/>
    <mergeCell ref="A24:S24"/>
    <mergeCell ref="A15:S15"/>
    <mergeCell ref="A16:S16"/>
    <mergeCell ref="A17:S17"/>
    <mergeCell ref="A18:S18"/>
    <mergeCell ref="A19:S19"/>
    <mergeCell ref="A20:S20"/>
  </mergeCells>
  <hyperlinks>
    <hyperlink ref="A1" location="ToC!A2" display="Back to Table of Contents" xr:uid="{C51FE1B7-7845-4297-83FF-8E4EB3AFBE25}"/>
  </hyperlinks>
  <pageMargins left="0.5" right="0.5" top="0.5" bottom="0.5" header="0.25" footer="0.25"/>
  <pageSetup scale="55" orientation="landscape" r:id="rId1"/>
  <headerFooter>
    <oddFooter>&amp;L&amp;G&amp;C&amp;"Scotia,Regular"&amp;9Supplementary Financial Information (SFI)&amp;RNotes_1&amp;"Scotia,Regular"&amp;7</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BA79-4546-4235-AA3A-9848B8FFE1B5}">
  <sheetPr>
    <pageSetUpPr fitToPage="1"/>
  </sheetPr>
  <dimension ref="A1:L39"/>
  <sheetViews>
    <sheetView showGridLines="0" zoomScaleNormal="100" workbookViewId="0">
      <selection activeCell="A2" sqref="A2"/>
    </sheetView>
  </sheetViews>
  <sheetFormatPr defaultColWidth="8.77734375" defaultRowHeight="13.2" x14ac:dyDescent="0.25"/>
  <cols>
    <col min="1" max="1" width="57.5546875" style="23" customWidth="1"/>
    <col min="2" max="12" width="10" style="23" customWidth="1"/>
    <col min="13" max="16384" width="8.77734375" style="23"/>
  </cols>
  <sheetData>
    <row r="1" spans="1:12" ht="19.95" customHeight="1" x14ac:dyDescent="0.25">
      <c r="A1" s="22" t="s">
        <v>12</v>
      </c>
    </row>
    <row r="2" spans="1:12" ht="25.5" customHeight="1" x14ac:dyDescent="0.25">
      <c r="A2" s="2804" t="s">
        <v>36</v>
      </c>
      <c r="B2" s="2805" t="s">
        <v>15</v>
      </c>
      <c r="C2" s="2805" t="s">
        <v>15</v>
      </c>
      <c r="D2" s="2805" t="s">
        <v>15</v>
      </c>
      <c r="E2" s="2805" t="s">
        <v>15</v>
      </c>
      <c r="F2" s="2805" t="s">
        <v>15</v>
      </c>
      <c r="G2" s="2805" t="s">
        <v>15</v>
      </c>
      <c r="H2" s="2805" t="s">
        <v>15</v>
      </c>
      <c r="I2" s="2805" t="s">
        <v>15</v>
      </c>
      <c r="J2" s="2805" t="s">
        <v>15</v>
      </c>
      <c r="K2" s="2805" t="s">
        <v>15</v>
      </c>
      <c r="L2" s="24"/>
    </row>
    <row r="3" spans="1:12" ht="15" customHeight="1" x14ac:dyDescent="0.25">
      <c r="A3" s="2806"/>
      <c r="B3" s="2806" t="s">
        <v>15</v>
      </c>
      <c r="C3" s="2806" t="s">
        <v>15</v>
      </c>
      <c r="D3" s="2806" t="s">
        <v>15</v>
      </c>
      <c r="E3" s="2806" t="s">
        <v>15</v>
      </c>
      <c r="F3" s="2806" t="s">
        <v>15</v>
      </c>
      <c r="G3" s="2806" t="s">
        <v>15</v>
      </c>
      <c r="H3" s="2806" t="s">
        <v>15</v>
      </c>
      <c r="I3" s="2806" t="s">
        <v>15</v>
      </c>
      <c r="J3" s="2806" t="s">
        <v>15</v>
      </c>
      <c r="K3" s="2806" t="s">
        <v>15</v>
      </c>
      <c r="L3" s="2806" t="s">
        <v>15</v>
      </c>
    </row>
    <row r="4" spans="1:12" ht="15" customHeight="1" x14ac:dyDescent="0.25">
      <c r="A4" s="2807" t="s">
        <v>37</v>
      </c>
      <c r="B4" s="2807" t="s">
        <v>15</v>
      </c>
      <c r="C4" s="2807" t="s">
        <v>15</v>
      </c>
      <c r="D4" s="2807" t="s">
        <v>15</v>
      </c>
      <c r="E4" s="2807" t="s">
        <v>15</v>
      </c>
      <c r="F4" s="2807" t="s">
        <v>15</v>
      </c>
      <c r="G4" s="2807" t="s">
        <v>15</v>
      </c>
      <c r="H4" s="2807" t="s">
        <v>15</v>
      </c>
      <c r="I4" s="2807" t="s">
        <v>15</v>
      </c>
      <c r="J4" s="2807" t="s">
        <v>15</v>
      </c>
      <c r="K4" s="2807" t="s">
        <v>15</v>
      </c>
      <c r="L4" s="2807" t="s">
        <v>15</v>
      </c>
    </row>
    <row r="5" spans="1:12" ht="15" customHeight="1" x14ac:dyDescent="0.25">
      <c r="A5" s="26" t="s">
        <v>38</v>
      </c>
      <c r="B5" s="27"/>
      <c r="C5" s="28"/>
      <c r="D5" s="28"/>
      <c r="E5" s="29"/>
      <c r="F5" s="30"/>
      <c r="G5" s="31"/>
      <c r="H5" s="31"/>
      <c r="I5" s="32"/>
      <c r="J5" s="33"/>
      <c r="K5" s="2808" t="s">
        <v>39</v>
      </c>
      <c r="L5" s="2809" t="s">
        <v>15</v>
      </c>
    </row>
    <row r="6" spans="1:12" ht="15" customHeight="1" x14ac:dyDescent="0.25">
      <c r="A6" s="34" t="s">
        <v>40</v>
      </c>
      <c r="B6" s="35" t="s">
        <v>41</v>
      </c>
      <c r="C6" s="36" t="s">
        <v>42</v>
      </c>
      <c r="D6" s="36" t="s">
        <v>43</v>
      </c>
      <c r="E6" s="37" t="s">
        <v>44</v>
      </c>
      <c r="F6" s="38" t="s">
        <v>45</v>
      </c>
      <c r="G6" s="36" t="s">
        <v>46</v>
      </c>
      <c r="H6" s="36" t="s">
        <v>47</v>
      </c>
      <c r="I6" s="37" t="s">
        <v>48</v>
      </c>
      <c r="J6" s="39" t="s">
        <v>49</v>
      </c>
      <c r="K6" s="38">
        <v>2025</v>
      </c>
      <c r="L6" s="36">
        <v>2024</v>
      </c>
    </row>
    <row r="7" spans="1:12" ht="15" customHeight="1" x14ac:dyDescent="0.25">
      <c r="A7" s="40" t="s">
        <v>50</v>
      </c>
      <c r="B7" s="41"/>
      <c r="C7" s="42"/>
      <c r="D7" s="42"/>
      <c r="E7" s="43"/>
      <c r="F7" s="44"/>
      <c r="G7" s="45"/>
      <c r="H7" s="42"/>
      <c r="I7" s="43"/>
      <c r="J7" s="46"/>
      <c r="K7" s="44"/>
      <c r="L7" s="45"/>
    </row>
    <row r="8" spans="1:12" ht="15" customHeight="1" x14ac:dyDescent="0.25">
      <c r="A8" s="47" t="s">
        <v>51</v>
      </c>
      <c r="B8" s="48">
        <v>25</v>
      </c>
      <c r="C8" s="49">
        <v>25</v>
      </c>
      <c r="D8" s="49">
        <v>26</v>
      </c>
      <c r="E8" s="50">
        <v>18</v>
      </c>
      <c r="F8" s="48">
        <v>19</v>
      </c>
      <c r="G8" s="49">
        <v>17</v>
      </c>
      <c r="H8" s="49">
        <v>18</v>
      </c>
      <c r="I8" s="50">
        <v>18</v>
      </c>
      <c r="J8" s="51">
        <v>19</v>
      </c>
      <c r="K8" s="48">
        <v>94</v>
      </c>
      <c r="L8" s="49">
        <v>72</v>
      </c>
    </row>
    <row r="9" spans="1:12" ht="15" customHeight="1" x14ac:dyDescent="0.25">
      <c r="A9" s="52" t="s">
        <v>52</v>
      </c>
      <c r="B9" s="53">
        <v>1</v>
      </c>
      <c r="C9" s="54">
        <v>1</v>
      </c>
      <c r="D9" s="54">
        <v>1</v>
      </c>
      <c r="E9" s="55">
        <v>1</v>
      </c>
      <c r="F9" s="53">
        <v>1</v>
      </c>
      <c r="G9" s="54">
        <v>1</v>
      </c>
      <c r="H9" s="54">
        <v>1</v>
      </c>
      <c r="I9" s="55">
        <v>1</v>
      </c>
      <c r="J9" s="56">
        <v>0</v>
      </c>
      <c r="K9" s="53">
        <v>4</v>
      </c>
      <c r="L9" s="54">
        <v>4</v>
      </c>
    </row>
    <row r="10" spans="1:12" ht="15" customHeight="1" x14ac:dyDescent="0.25">
      <c r="A10" s="52" t="s">
        <v>53</v>
      </c>
      <c r="B10" s="53">
        <v>6</v>
      </c>
      <c r="C10" s="54">
        <v>7</v>
      </c>
      <c r="D10" s="54">
        <v>7</v>
      </c>
      <c r="E10" s="55">
        <v>8</v>
      </c>
      <c r="F10" s="53">
        <v>9</v>
      </c>
      <c r="G10" s="54">
        <v>7</v>
      </c>
      <c r="H10" s="54">
        <v>8</v>
      </c>
      <c r="I10" s="55">
        <v>8</v>
      </c>
      <c r="J10" s="56">
        <v>10</v>
      </c>
      <c r="K10" s="53">
        <v>28</v>
      </c>
      <c r="L10" s="54">
        <v>32</v>
      </c>
    </row>
    <row r="11" spans="1:12" ht="15" customHeight="1" x14ac:dyDescent="0.25">
      <c r="A11" s="52" t="s">
        <v>54</v>
      </c>
      <c r="B11" s="53">
        <v>9</v>
      </c>
      <c r="C11" s="54">
        <v>9</v>
      </c>
      <c r="D11" s="54">
        <v>9</v>
      </c>
      <c r="E11" s="55">
        <v>9</v>
      </c>
      <c r="F11" s="53">
        <v>9</v>
      </c>
      <c r="G11" s="54">
        <v>9</v>
      </c>
      <c r="H11" s="54">
        <v>9</v>
      </c>
      <c r="I11" s="55">
        <v>9</v>
      </c>
      <c r="J11" s="56">
        <v>9</v>
      </c>
      <c r="K11" s="53">
        <v>36</v>
      </c>
      <c r="L11" s="54">
        <v>36</v>
      </c>
    </row>
    <row r="12" spans="1:12" ht="15" customHeight="1" x14ac:dyDescent="0.25">
      <c r="A12" s="52" t="s">
        <v>55</v>
      </c>
      <c r="B12" s="53">
        <v>9</v>
      </c>
      <c r="C12" s="54">
        <v>8</v>
      </c>
      <c r="D12" s="54">
        <v>9</v>
      </c>
      <c r="E12" s="55">
        <v>0</v>
      </c>
      <c r="F12" s="53">
        <v>0</v>
      </c>
      <c r="G12" s="54">
        <v>0</v>
      </c>
      <c r="H12" s="54">
        <v>0</v>
      </c>
      <c r="I12" s="55">
        <v>0</v>
      </c>
      <c r="J12" s="56">
        <v>0</v>
      </c>
      <c r="K12" s="53">
        <v>26</v>
      </c>
      <c r="L12" s="54">
        <v>0</v>
      </c>
    </row>
    <row r="13" spans="1:12" ht="15" customHeight="1" x14ac:dyDescent="0.25">
      <c r="A13" s="57" t="s">
        <v>56</v>
      </c>
      <c r="B13" s="53"/>
      <c r="C13" s="54"/>
      <c r="D13" s="54"/>
      <c r="E13" s="55"/>
      <c r="F13" s="53"/>
      <c r="G13" s="54"/>
      <c r="H13" s="54"/>
      <c r="I13" s="55"/>
      <c r="J13" s="56"/>
      <c r="K13" s="53"/>
      <c r="L13" s="54"/>
    </row>
    <row r="14" spans="1:12" ht="15" customHeight="1" x14ac:dyDescent="0.25">
      <c r="A14" s="47" t="s">
        <v>57</v>
      </c>
      <c r="B14" s="48">
        <v>12</v>
      </c>
      <c r="C14" s="49">
        <v>-23</v>
      </c>
      <c r="D14" s="49">
        <v>35</v>
      </c>
      <c r="E14" s="50">
        <v>1362</v>
      </c>
      <c r="F14" s="48">
        <v>0</v>
      </c>
      <c r="G14" s="49">
        <v>136</v>
      </c>
      <c r="H14" s="49">
        <v>0</v>
      </c>
      <c r="I14" s="50">
        <v>0</v>
      </c>
      <c r="J14" s="51">
        <v>-367</v>
      </c>
      <c r="K14" s="48">
        <v>1386</v>
      </c>
      <c r="L14" s="49">
        <v>136</v>
      </c>
    </row>
    <row r="15" spans="1:12" ht="15" customHeight="1" x14ac:dyDescent="0.25">
      <c r="A15" s="47" t="s">
        <v>58</v>
      </c>
      <c r="B15" s="48">
        <v>0</v>
      </c>
      <c r="C15" s="49">
        <v>0</v>
      </c>
      <c r="D15" s="49">
        <v>0</v>
      </c>
      <c r="E15" s="50">
        <v>0</v>
      </c>
      <c r="F15" s="48">
        <v>440</v>
      </c>
      <c r="G15" s="49">
        <v>0</v>
      </c>
      <c r="H15" s="49">
        <v>0</v>
      </c>
      <c r="I15" s="50">
        <v>0</v>
      </c>
      <c r="J15" s="51">
        <v>346</v>
      </c>
      <c r="K15" s="48">
        <v>0</v>
      </c>
      <c r="L15" s="49">
        <v>440</v>
      </c>
    </row>
    <row r="16" spans="1:12" ht="15" customHeight="1" x14ac:dyDescent="0.25">
      <c r="A16" s="47" t="s">
        <v>59</v>
      </c>
      <c r="B16" s="48">
        <v>373</v>
      </c>
      <c r="C16" s="49">
        <v>0</v>
      </c>
      <c r="D16" s="49">
        <v>0</v>
      </c>
      <c r="E16" s="50">
        <v>0</v>
      </c>
      <c r="F16" s="48">
        <v>53</v>
      </c>
      <c r="G16" s="49">
        <v>0</v>
      </c>
      <c r="H16" s="49">
        <v>0</v>
      </c>
      <c r="I16" s="50">
        <v>0</v>
      </c>
      <c r="J16" s="51">
        <v>354</v>
      </c>
      <c r="K16" s="48">
        <v>373</v>
      </c>
      <c r="L16" s="49">
        <v>53</v>
      </c>
    </row>
    <row r="17" spans="1:12" ht="15" customHeight="1" x14ac:dyDescent="0.25">
      <c r="A17" s="47" t="s">
        <v>60</v>
      </c>
      <c r="B17" s="48">
        <v>74</v>
      </c>
      <c r="C17" s="49">
        <v>0</v>
      </c>
      <c r="D17" s="49">
        <v>0</v>
      </c>
      <c r="E17" s="50">
        <v>0</v>
      </c>
      <c r="F17" s="48">
        <v>0</v>
      </c>
      <c r="G17" s="49">
        <v>176</v>
      </c>
      <c r="H17" s="49">
        <v>0</v>
      </c>
      <c r="I17" s="50">
        <v>0</v>
      </c>
      <c r="J17" s="51">
        <v>0</v>
      </c>
      <c r="K17" s="48">
        <v>74</v>
      </c>
      <c r="L17" s="49">
        <v>176</v>
      </c>
    </row>
    <row r="18" spans="1:12" ht="14.1" customHeight="1" x14ac:dyDescent="0.25">
      <c r="A18" s="47" t="s">
        <v>61</v>
      </c>
      <c r="B18" s="48">
        <v>0</v>
      </c>
      <c r="C18" s="49">
        <v>0</v>
      </c>
      <c r="D18" s="49">
        <v>0</v>
      </c>
      <c r="E18" s="50">
        <v>0</v>
      </c>
      <c r="F18" s="48">
        <v>0</v>
      </c>
      <c r="G18" s="49">
        <v>0</v>
      </c>
      <c r="H18" s="49">
        <v>0</v>
      </c>
      <c r="I18" s="50">
        <v>0</v>
      </c>
      <c r="J18" s="51">
        <v>87</v>
      </c>
      <c r="K18" s="48">
        <v>0</v>
      </c>
      <c r="L18" s="49">
        <v>0</v>
      </c>
    </row>
    <row r="19" spans="1:12" ht="15" customHeight="1" x14ac:dyDescent="0.25">
      <c r="A19" s="58" t="s">
        <v>62</v>
      </c>
      <c r="B19" s="59">
        <v>484</v>
      </c>
      <c r="C19" s="60">
        <v>2</v>
      </c>
      <c r="D19" s="60">
        <v>61</v>
      </c>
      <c r="E19" s="61">
        <v>1380</v>
      </c>
      <c r="F19" s="59">
        <v>512</v>
      </c>
      <c r="G19" s="60">
        <v>329</v>
      </c>
      <c r="H19" s="60">
        <v>18</v>
      </c>
      <c r="I19" s="61">
        <v>18</v>
      </c>
      <c r="J19" s="62">
        <v>439</v>
      </c>
      <c r="K19" s="59">
        <v>1927</v>
      </c>
      <c r="L19" s="60">
        <v>877</v>
      </c>
    </row>
    <row r="20" spans="1:12" ht="15" customHeight="1" x14ac:dyDescent="0.25">
      <c r="A20" s="58"/>
      <c r="B20" s="63"/>
      <c r="C20" s="60"/>
      <c r="D20" s="60"/>
      <c r="E20" s="61"/>
      <c r="F20" s="63"/>
      <c r="G20" s="60"/>
      <c r="H20" s="60"/>
      <c r="I20" s="61"/>
      <c r="J20" s="62"/>
      <c r="K20" s="59"/>
      <c r="L20" s="60"/>
    </row>
    <row r="21" spans="1:12" ht="15" customHeight="1" x14ac:dyDescent="0.25">
      <c r="A21" s="34" t="s">
        <v>63</v>
      </c>
      <c r="B21" s="63"/>
      <c r="C21" s="64"/>
      <c r="D21" s="64"/>
      <c r="E21" s="65"/>
      <c r="F21" s="63"/>
      <c r="G21" s="64"/>
      <c r="H21" s="64"/>
      <c r="I21" s="65"/>
      <c r="J21" s="66"/>
      <c r="K21" s="63"/>
      <c r="L21" s="64"/>
    </row>
    <row r="22" spans="1:12" ht="15" customHeight="1" x14ac:dyDescent="0.25">
      <c r="A22" s="40" t="s">
        <v>50</v>
      </c>
      <c r="B22" s="67"/>
      <c r="C22" s="68"/>
      <c r="D22" s="68"/>
      <c r="E22" s="69"/>
      <c r="F22" s="67"/>
      <c r="G22" s="68"/>
      <c r="H22" s="68"/>
      <c r="I22" s="69"/>
      <c r="J22" s="70"/>
      <c r="K22" s="67"/>
      <c r="L22" s="68"/>
    </row>
    <row r="23" spans="1:12" ht="15" customHeight="1" x14ac:dyDescent="0.25">
      <c r="A23" s="47" t="s">
        <v>64</v>
      </c>
      <c r="B23" s="48">
        <v>20</v>
      </c>
      <c r="C23" s="49">
        <v>20</v>
      </c>
      <c r="D23" s="49">
        <v>20</v>
      </c>
      <c r="E23" s="50">
        <v>14</v>
      </c>
      <c r="F23" s="48">
        <v>13</v>
      </c>
      <c r="G23" s="49">
        <v>13</v>
      </c>
      <c r="H23" s="49">
        <v>13</v>
      </c>
      <c r="I23" s="50">
        <v>13</v>
      </c>
      <c r="J23" s="51">
        <v>14</v>
      </c>
      <c r="K23" s="48">
        <v>74</v>
      </c>
      <c r="L23" s="49">
        <v>52</v>
      </c>
    </row>
    <row r="24" spans="1:12" ht="15" customHeight="1" x14ac:dyDescent="0.25">
      <c r="A24" s="52" t="s">
        <v>52</v>
      </c>
      <c r="B24" s="53">
        <v>1</v>
      </c>
      <c r="C24" s="54">
        <v>1</v>
      </c>
      <c r="D24" s="54">
        <v>0</v>
      </c>
      <c r="E24" s="55">
        <v>1</v>
      </c>
      <c r="F24" s="53">
        <v>1</v>
      </c>
      <c r="G24" s="54">
        <v>1</v>
      </c>
      <c r="H24" s="54">
        <v>0</v>
      </c>
      <c r="I24" s="55">
        <v>1</v>
      </c>
      <c r="J24" s="56">
        <v>0</v>
      </c>
      <c r="K24" s="53">
        <v>3</v>
      </c>
      <c r="L24" s="54">
        <v>3</v>
      </c>
    </row>
    <row r="25" spans="1:12" ht="15" customHeight="1" x14ac:dyDescent="0.25">
      <c r="A25" s="52" t="s">
        <v>53</v>
      </c>
      <c r="B25" s="53">
        <v>4</v>
      </c>
      <c r="C25" s="54">
        <v>5</v>
      </c>
      <c r="D25" s="54">
        <v>5</v>
      </c>
      <c r="E25" s="55">
        <v>6</v>
      </c>
      <c r="F25" s="53">
        <v>6</v>
      </c>
      <c r="G25" s="54">
        <v>5</v>
      </c>
      <c r="H25" s="54">
        <v>6</v>
      </c>
      <c r="I25" s="55">
        <v>6</v>
      </c>
      <c r="J25" s="56">
        <v>8</v>
      </c>
      <c r="K25" s="53">
        <v>20</v>
      </c>
      <c r="L25" s="54">
        <v>23</v>
      </c>
    </row>
    <row r="26" spans="1:12" ht="15" customHeight="1" x14ac:dyDescent="0.25">
      <c r="A26" s="52" t="s">
        <v>54</v>
      </c>
      <c r="B26" s="53">
        <v>6</v>
      </c>
      <c r="C26" s="54">
        <v>7</v>
      </c>
      <c r="D26" s="54">
        <v>6</v>
      </c>
      <c r="E26" s="55">
        <v>7</v>
      </c>
      <c r="F26" s="53">
        <v>6</v>
      </c>
      <c r="G26" s="54">
        <v>7</v>
      </c>
      <c r="H26" s="54">
        <v>7</v>
      </c>
      <c r="I26" s="55">
        <v>6</v>
      </c>
      <c r="J26" s="56">
        <v>6</v>
      </c>
      <c r="K26" s="53">
        <v>26</v>
      </c>
      <c r="L26" s="54">
        <v>26</v>
      </c>
    </row>
    <row r="27" spans="1:12" ht="15" customHeight="1" x14ac:dyDescent="0.25">
      <c r="A27" s="52" t="s">
        <v>55</v>
      </c>
      <c r="B27" s="53">
        <v>9</v>
      </c>
      <c r="C27" s="54">
        <v>7</v>
      </c>
      <c r="D27" s="54">
        <v>9</v>
      </c>
      <c r="E27" s="55">
        <v>0</v>
      </c>
      <c r="F27" s="53">
        <v>0</v>
      </c>
      <c r="G27" s="54">
        <v>0</v>
      </c>
      <c r="H27" s="54">
        <v>0</v>
      </c>
      <c r="I27" s="55">
        <v>0</v>
      </c>
      <c r="J27" s="56">
        <v>0</v>
      </c>
      <c r="K27" s="53">
        <v>25</v>
      </c>
      <c r="L27" s="54">
        <v>0</v>
      </c>
    </row>
    <row r="28" spans="1:12" ht="15" customHeight="1" x14ac:dyDescent="0.25">
      <c r="A28" s="57" t="s">
        <v>56</v>
      </c>
      <c r="B28" s="53"/>
      <c r="C28" s="54"/>
      <c r="D28" s="54"/>
      <c r="E28" s="55"/>
      <c r="F28" s="53"/>
      <c r="G28" s="54"/>
      <c r="H28" s="54"/>
      <c r="I28" s="55"/>
      <c r="J28" s="56"/>
      <c r="K28" s="53"/>
      <c r="L28" s="54"/>
    </row>
    <row r="29" spans="1:12" ht="15" customHeight="1" x14ac:dyDescent="0.25">
      <c r="A29" s="47" t="s">
        <v>57</v>
      </c>
      <c r="B29" s="48">
        <v>-43</v>
      </c>
      <c r="C29" s="49">
        <v>8</v>
      </c>
      <c r="D29" s="49">
        <v>36</v>
      </c>
      <c r="E29" s="50">
        <v>1164</v>
      </c>
      <c r="F29" s="48">
        <v>0</v>
      </c>
      <c r="G29" s="49">
        <v>89</v>
      </c>
      <c r="H29" s="49">
        <v>0</v>
      </c>
      <c r="I29" s="50">
        <v>0</v>
      </c>
      <c r="J29" s="51">
        <v>-319</v>
      </c>
      <c r="K29" s="48">
        <v>1165</v>
      </c>
      <c r="L29" s="49">
        <v>89</v>
      </c>
    </row>
    <row r="30" spans="1:12" ht="15" customHeight="1" x14ac:dyDescent="0.25">
      <c r="A30" s="47" t="s">
        <v>58</v>
      </c>
      <c r="B30" s="48">
        <v>0</v>
      </c>
      <c r="C30" s="49">
        <v>0</v>
      </c>
      <c r="D30" s="49">
        <v>0</v>
      </c>
      <c r="E30" s="50">
        <v>0</v>
      </c>
      <c r="F30" s="48">
        <v>379</v>
      </c>
      <c r="G30" s="49">
        <v>0</v>
      </c>
      <c r="H30" s="49">
        <v>0</v>
      </c>
      <c r="I30" s="50">
        <v>0</v>
      </c>
      <c r="J30" s="51">
        <v>272</v>
      </c>
      <c r="K30" s="48">
        <v>0</v>
      </c>
      <c r="L30" s="49">
        <v>379</v>
      </c>
    </row>
    <row r="31" spans="1:12" ht="15" customHeight="1" x14ac:dyDescent="0.25">
      <c r="A31" s="47" t="s">
        <v>59</v>
      </c>
      <c r="B31" s="48">
        <v>268</v>
      </c>
      <c r="C31" s="49">
        <v>0</v>
      </c>
      <c r="D31" s="49">
        <v>0</v>
      </c>
      <c r="E31" s="50">
        <v>0</v>
      </c>
      <c r="F31" s="48">
        <v>38</v>
      </c>
      <c r="G31" s="49">
        <v>0</v>
      </c>
      <c r="H31" s="49">
        <v>0</v>
      </c>
      <c r="I31" s="50">
        <v>0</v>
      </c>
      <c r="J31" s="51">
        <v>256</v>
      </c>
      <c r="K31" s="48">
        <v>268</v>
      </c>
      <c r="L31" s="49">
        <v>38</v>
      </c>
    </row>
    <row r="32" spans="1:12" ht="15" customHeight="1" x14ac:dyDescent="0.25">
      <c r="A32" s="47" t="s">
        <v>60</v>
      </c>
      <c r="B32" s="48">
        <v>54</v>
      </c>
      <c r="C32" s="49">
        <v>0</v>
      </c>
      <c r="D32" s="49">
        <v>0</v>
      </c>
      <c r="E32" s="50">
        <v>0</v>
      </c>
      <c r="F32" s="48">
        <v>0</v>
      </c>
      <c r="G32" s="49">
        <v>175</v>
      </c>
      <c r="H32" s="49">
        <v>0</v>
      </c>
      <c r="I32" s="50">
        <v>0</v>
      </c>
      <c r="J32" s="51">
        <v>0</v>
      </c>
      <c r="K32" s="48">
        <v>54</v>
      </c>
      <c r="L32" s="49">
        <v>175</v>
      </c>
    </row>
    <row r="33" spans="1:12" ht="15" customHeight="1" x14ac:dyDescent="0.25">
      <c r="A33" s="47" t="s">
        <v>61</v>
      </c>
      <c r="B33" s="48">
        <v>0</v>
      </c>
      <c r="C33" s="49">
        <v>0</v>
      </c>
      <c r="D33" s="49">
        <v>0</v>
      </c>
      <c r="E33" s="50">
        <v>0</v>
      </c>
      <c r="F33" s="48">
        <v>0</v>
      </c>
      <c r="G33" s="49">
        <v>0</v>
      </c>
      <c r="H33" s="49">
        <v>0</v>
      </c>
      <c r="I33" s="50">
        <v>0</v>
      </c>
      <c r="J33" s="51">
        <v>63</v>
      </c>
      <c r="K33" s="48">
        <v>0</v>
      </c>
      <c r="L33" s="49">
        <v>0</v>
      </c>
    </row>
    <row r="34" spans="1:12" ht="15" customHeight="1" x14ac:dyDescent="0.25">
      <c r="A34" s="58" t="s">
        <v>65</v>
      </c>
      <c r="B34" s="59">
        <v>299</v>
      </c>
      <c r="C34" s="60">
        <v>28</v>
      </c>
      <c r="D34" s="60">
        <v>56</v>
      </c>
      <c r="E34" s="61">
        <v>1178</v>
      </c>
      <c r="F34" s="59">
        <v>430</v>
      </c>
      <c r="G34" s="60">
        <v>277</v>
      </c>
      <c r="H34" s="60">
        <v>13</v>
      </c>
      <c r="I34" s="61">
        <v>13</v>
      </c>
      <c r="J34" s="62">
        <v>286</v>
      </c>
      <c r="K34" s="59">
        <v>1561</v>
      </c>
      <c r="L34" s="60">
        <v>733</v>
      </c>
    </row>
    <row r="35" spans="1:12" ht="3" customHeight="1" x14ac:dyDescent="0.25">
      <c r="A35" s="71"/>
      <c r="B35" s="72"/>
      <c r="C35" s="72"/>
      <c r="D35" s="73"/>
      <c r="E35" s="73"/>
      <c r="F35" s="73"/>
      <c r="G35" s="73"/>
      <c r="H35" s="73"/>
      <c r="I35" s="73"/>
      <c r="J35" s="73"/>
      <c r="K35" s="73"/>
      <c r="L35" s="73"/>
    </row>
    <row r="36" spans="1:12" ht="11.55" customHeight="1" x14ac:dyDescent="0.25">
      <c r="A36" s="2802" t="s">
        <v>66</v>
      </c>
      <c r="B36" s="2803" t="s">
        <v>15</v>
      </c>
      <c r="C36" s="2803" t="s">
        <v>15</v>
      </c>
      <c r="D36" s="2803" t="s">
        <v>15</v>
      </c>
      <c r="E36" s="2803" t="s">
        <v>15</v>
      </c>
      <c r="F36" s="2803" t="s">
        <v>15</v>
      </c>
      <c r="G36" s="2803" t="s">
        <v>15</v>
      </c>
      <c r="H36" s="2803" t="s">
        <v>15</v>
      </c>
      <c r="I36" s="2803" t="s">
        <v>15</v>
      </c>
      <c r="J36" s="2803" t="s">
        <v>15</v>
      </c>
      <c r="K36" s="2803" t="s">
        <v>15</v>
      </c>
      <c r="L36" s="2803" t="s">
        <v>15</v>
      </c>
    </row>
    <row r="37" spans="1:12" ht="21.6" customHeight="1" x14ac:dyDescent="0.25">
      <c r="A37" s="2801" t="s">
        <v>67</v>
      </c>
      <c r="B37" s="2801" t="s">
        <v>15</v>
      </c>
      <c r="C37" s="2801" t="s">
        <v>15</v>
      </c>
      <c r="D37" s="2801" t="s">
        <v>15</v>
      </c>
      <c r="E37" s="2801" t="s">
        <v>15</v>
      </c>
      <c r="F37" s="2801" t="s">
        <v>15</v>
      </c>
      <c r="G37" s="2801" t="s">
        <v>15</v>
      </c>
      <c r="H37" s="2801" t="s">
        <v>15</v>
      </c>
      <c r="I37" s="2801" t="s">
        <v>15</v>
      </c>
      <c r="J37" s="2801" t="s">
        <v>15</v>
      </c>
      <c r="K37" s="2801" t="s">
        <v>15</v>
      </c>
      <c r="L37" s="2801" t="s">
        <v>15</v>
      </c>
    </row>
    <row r="38" spans="1:12" ht="28.05" customHeight="1" x14ac:dyDescent="0.25">
      <c r="A38" s="2801" t="s">
        <v>68</v>
      </c>
      <c r="B38" s="2801" t="s">
        <v>15</v>
      </c>
      <c r="C38" s="2801" t="s">
        <v>15</v>
      </c>
      <c r="D38" s="2801" t="s">
        <v>15</v>
      </c>
      <c r="E38" s="2801" t="s">
        <v>15</v>
      </c>
      <c r="F38" s="2801" t="s">
        <v>15</v>
      </c>
      <c r="G38" s="2801" t="s">
        <v>15</v>
      </c>
      <c r="H38" s="2801" t="s">
        <v>15</v>
      </c>
      <c r="I38" s="2801" t="s">
        <v>15</v>
      </c>
      <c r="J38" s="2801" t="s">
        <v>15</v>
      </c>
      <c r="K38" s="2801" t="s">
        <v>15</v>
      </c>
      <c r="L38" s="2801" t="s">
        <v>15</v>
      </c>
    </row>
    <row r="39" spans="1:12" ht="11.55" customHeight="1" x14ac:dyDescent="0.25">
      <c r="A39" s="2802" t="s">
        <v>69</v>
      </c>
      <c r="B39" s="2803" t="s">
        <v>15</v>
      </c>
      <c r="C39" s="2803" t="s">
        <v>15</v>
      </c>
      <c r="D39" s="2803" t="s">
        <v>15</v>
      </c>
      <c r="E39" s="2803" t="s">
        <v>15</v>
      </c>
      <c r="F39" s="2803" t="s">
        <v>15</v>
      </c>
      <c r="G39" s="2803" t="s">
        <v>15</v>
      </c>
      <c r="H39" s="2803" t="s">
        <v>15</v>
      </c>
      <c r="I39" s="2803" t="s">
        <v>15</v>
      </c>
      <c r="J39" s="2803" t="s">
        <v>15</v>
      </c>
      <c r="K39" s="2803" t="s">
        <v>15</v>
      </c>
      <c r="L39" s="2803" t="s">
        <v>15</v>
      </c>
    </row>
  </sheetData>
  <mergeCells count="8">
    <mergeCell ref="A38:L38"/>
    <mergeCell ref="A39:L39"/>
    <mergeCell ref="A2:K2"/>
    <mergeCell ref="A3:L3"/>
    <mergeCell ref="A4:L4"/>
    <mergeCell ref="K5:L5"/>
    <mergeCell ref="A36:L36"/>
    <mergeCell ref="A37:L37"/>
  </mergeCells>
  <hyperlinks>
    <hyperlink ref="A1" location="ToC!A2" display="Back to Table of Contents" xr:uid="{EA7FD65F-5392-4376-920C-343A0CC7E468}"/>
  </hyperlinks>
  <pageMargins left="0.5" right="0.5" top="0.5" bottom="0.5" header="0.25" footer="0.25"/>
  <pageSetup scale="76" orientation="landscape" r:id="rId1"/>
  <headerFooter>
    <oddFooter>&amp;L&amp;G&amp;C&amp;"Scotia,Regular"&amp;9Supplementary Financial Information (SFI)&amp;RNotes_2&amp;"Scotia,Regular"&amp;7</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D230-4A6A-415D-AF9B-77531A691DAD}">
  <sheetPr>
    <pageSetUpPr fitToPage="1"/>
  </sheetPr>
  <dimension ref="A1:N7"/>
  <sheetViews>
    <sheetView showGridLines="0" zoomScaleNormal="100" workbookViewId="0">
      <selection activeCell="A2" sqref="A2"/>
    </sheetView>
  </sheetViews>
  <sheetFormatPr defaultColWidth="8.77734375" defaultRowHeight="13.2" x14ac:dyDescent="0.25"/>
  <cols>
    <col min="1" max="1" width="86.77734375" style="23" customWidth="1"/>
    <col min="2" max="13" width="7.21875" style="23" customWidth="1"/>
    <col min="14" max="14" width="5" style="23" customWidth="1"/>
    <col min="15" max="16384" width="8.77734375" style="23"/>
  </cols>
  <sheetData>
    <row r="1" spans="1:14" ht="19.95" customHeight="1" x14ac:dyDescent="0.25">
      <c r="A1" s="22" t="s">
        <v>12</v>
      </c>
    </row>
    <row r="2" spans="1:14" ht="25.05" customHeight="1" x14ac:dyDescent="0.25">
      <c r="A2" s="24" t="s">
        <v>36</v>
      </c>
      <c r="B2" s="24"/>
      <c r="C2" s="24"/>
      <c r="D2" s="24"/>
      <c r="E2" s="24"/>
      <c r="F2" s="24"/>
      <c r="G2" s="24"/>
      <c r="H2" s="24"/>
      <c r="I2" s="24"/>
      <c r="J2" s="24"/>
      <c r="K2" s="24"/>
      <c r="L2" s="24"/>
      <c r="M2" s="24"/>
      <c r="N2" s="24"/>
    </row>
    <row r="3" spans="1:14" ht="30" customHeight="1" x14ac:dyDescent="0.25">
      <c r="A3" s="2810" t="s">
        <v>70</v>
      </c>
      <c r="B3" s="2810" t="s">
        <v>15</v>
      </c>
      <c r="C3" s="2810" t="s">
        <v>15</v>
      </c>
      <c r="D3" s="2810" t="s">
        <v>15</v>
      </c>
      <c r="E3" s="2810" t="s">
        <v>15</v>
      </c>
      <c r="F3" s="2810" t="s">
        <v>15</v>
      </c>
      <c r="G3" s="2810" t="s">
        <v>15</v>
      </c>
      <c r="H3" s="2810" t="s">
        <v>15</v>
      </c>
      <c r="I3" s="2810" t="s">
        <v>15</v>
      </c>
      <c r="J3" s="2810" t="s">
        <v>15</v>
      </c>
      <c r="K3" s="2810" t="s">
        <v>15</v>
      </c>
      <c r="L3" s="2810" t="s">
        <v>15</v>
      </c>
      <c r="M3" s="2810" t="s">
        <v>15</v>
      </c>
      <c r="N3" s="2810" t="s">
        <v>15</v>
      </c>
    </row>
    <row r="4" spans="1:14" ht="70.05" customHeight="1" x14ac:dyDescent="0.25">
      <c r="A4" s="2800" t="s">
        <v>71</v>
      </c>
      <c r="B4" s="2800" t="s">
        <v>15</v>
      </c>
      <c r="C4" s="2800" t="s">
        <v>15</v>
      </c>
      <c r="D4" s="2800" t="s">
        <v>15</v>
      </c>
      <c r="E4" s="2800" t="s">
        <v>15</v>
      </c>
      <c r="F4" s="2800" t="s">
        <v>15</v>
      </c>
      <c r="G4" s="2800" t="s">
        <v>15</v>
      </c>
      <c r="H4" s="2800" t="s">
        <v>15</v>
      </c>
      <c r="I4" s="2800" t="s">
        <v>15</v>
      </c>
      <c r="J4" s="2800" t="s">
        <v>15</v>
      </c>
      <c r="K4" s="2800" t="s">
        <v>15</v>
      </c>
      <c r="L4" s="2800" t="s">
        <v>15</v>
      </c>
      <c r="M4" s="2800" t="s">
        <v>15</v>
      </c>
      <c r="N4" s="2800" t="s">
        <v>15</v>
      </c>
    </row>
    <row r="5" spans="1:14" ht="137.1" customHeight="1" x14ac:dyDescent="0.25">
      <c r="A5" s="2794" t="s">
        <v>72</v>
      </c>
      <c r="B5" s="2794" t="s">
        <v>15</v>
      </c>
      <c r="C5" s="2794" t="s">
        <v>15</v>
      </c>
      <c r="D5" s="2794" t="s">
        <v>15</v>
      </c>
      <c r="E5" s="2794" t="s">
        <v>15</v>
      </c>
      <c r="F5" s="2794" t="s">
        <v>15</v>
      </c>
      <c r="G5" s="2794" t="s">
        <v>15</v>
      </c>
      <c r="H5" s="2794" t="s">
        <v>15</v>
      </c>
      <c r="I5" s="2794" t="s">
        <v>15</v>
      </c>
      <c r="J5" s="2794" t="s">
        <v>15</v>
      </c>
      <c r="K5" s="2794" t="s">
        <v>15</v>
      </c>
      <c r="L5" s="2794" t="s">
        <v>15</v>
      </c>
      <c r="M5" s="2794" t="s">
        <v>15</v>
      </c>
      <c r="N5" s="2794" t="s">
        <v>15</v>
      </c>
    </row>
    <row r="6" spans="1:14" ht="175.5" customHeight="1" x14ac:dyDescent="0.25">
      <c r="A6" s="2811" t="s">
        <v>73</v>
      </c>
      <c r="B6" s="2811" t="s">
        <v>15</v>
      </c>
      <c r="C6" s="2811" t="s">
        <v>15</v>
      </c>
      <c r="D6" s="2811" t="s">
        <v>15</v>
      </c>
      <c r="E6" s="2811" t="s">
        <v>15</v>
      </c>
      <c r="F6" s="2811" t="s">
        <v>15</v>
      </c>
      <c r="G6" s="2811" t="s">
        <v>15</v>
      </c>
      <c r="H6" s="2811" t="s">
        <v>15</v>
      </c>
      <c r="I6" s="2811" t="s">
        <v>15</v>
      </c>
      <c r="J6" s="2811" t="s">
        <v>15</v>
      </c>
      <c r="K6" s="2811" t="s">
        <v>15</v>
      </c>
      <c r="L6" s="2811" t="s">
        <v>15</v>
      </c>
      <c r="M6" s="2811" t="s">
        <v>15</v>
      </c>
      <c r="N6" s="2811" t="s">
        <v>15</v>
      </c>
    </row>
    <row r="7" spans="1:14" ht="25.05" customHeight="1" x14ac:dyDescent="0.3">
      <c r="A7" s="25"/>
      <c r="B7" s="25"/>
      <c r="C7" s="25"/>
      <c r="D7" s="25"/>
      <c r="E7" s="25"/>
      <c r="F7" s="25"/>
      <c r="G7" s="25"/>
      <c r="H7" s="25"/>
      <c r="I7" s="25"/>
      <c r="J7" s="25"/>
      <c r="K7" s="25"/>
      <c r="L7" s="25"/>
      <c r="M7" s="25"/>
      <c r="N7" s="25"/>
    </row>
  </sheetData>
  <mergeCells count="4">
    <mergeCell ref="A3:N3"/>
    <mergeCell ref="A4:N4"/>
    <mergeCell ref="A5:N5"/>
    <mergeCell ref="A6:N6"/>
  </mergeCells>
  <hyperlinks>
    <hyperlink ref="A1" location="ToC!A2" display="Back to Table of Contents" xr:uid="{E77156F4-12B9-496A-88A3-F6EA338A658B}"/>
  </hyperlinks>
  <pageMargins left="0.5" right="0.5" top="0.5" bottom="0.5" header="0.25" footer="0.25"/>
  <pageSetup scale="71" orientation="landscape" r:id="rId1"/>
  <headerFooter>
    <oddFooter>&amp;L&amp;G&amp;C&amp;"Scotia,Regular"&amp;9Supplementary Financial Information (SFI)&amp;RNotes_3&amp;"Scotia,Regular"&amp;7</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E80B-F476-4268-A678-4CA048A15528}">
  <sheetPr>
    <pageSetUpPr fitToPage="1"/>
  </sheetPr>
  <dimension ref="A1:F41"/>
  <sheetViews>
    <sheetView showGridLines="0" zoomScaleNormal="100" workbookViewId="0"/>
  </sheetViews>
  <sheetFormatPr defaultColWidth="8.77734375" defaultRowHeight="13.2" x14ac:dyDescent="0.25"/>
  <cols>
    <col min="1" max="1" width="14.77734375" style="23" customWidth="1"/>
    <col min="2" max="2" width="6.77734375" style="23" customWidth="1"/>
    <col min="3" max="3" width="73.77734375" style="23" customWidth="1"/>
    <col min="4" max="5" width="17.77734375" style="23" customWidth="1"/>
    <col min="6" max="6" width="23.77734375" style="23" customWidth="1"/>
    <col min="7" max="16384" width="8.77734375" style="23"/>
  </cols>
  <sheetData>
    <row r="1" spans="1:6" ht="19.95" customHeight="1" x14ac:dyDescent="0.25">
      <c r="A1" s="22" t="s">
        <v>12</v>
      </c>
    </row>
    <row r="2" spans="1:6" ht="24.6" customHeight="1" x14ac:dyDescent="0.25">
      <c r="A2" s="2815" t="s">
        <v>74</v>
      </c>
      <c r="B2" s="2815" t="s">
        <v>15</v>
      </c>
      <c r="C2" s="2815" t="s">
        <v>15</v>
      </c>
      <c r="D2" s="2815" t="s">
        <v>15</v>
      </c>
      <c r="E2" s="2815" t="s">
        <v>15</v>
      </c>
      <c r="F2" s="2815" t="s">
        <v>15</v>
      </c>
    </row>
    <row r="3" spans="1:6" ht="30" customHeight="1" x14ac:dyDescent="0.25">
      <c r="A3" s="2816" t="s">
        <v>75</v>
      </c>
      <c r="B3" s="2816" t="s">
        <v>15</v>
      </c>
      <c r="C3" s="2816" t="s">
        <v>15</v>
      </c>
      <c r="D3" s="2816" t="s">
        <v>15</v>
      </c>
      <c r="E3" s="2816" t="s">
        <v>15</v>
      </c>
      <c r="F3" s="2816" t="s">
        <v>15</v>
      </c>
    </row>
    <row r="4" spans="1:6" ht="12" customHeight="1" x14ac:dyDescent="0.25">
      <c r="A4" s="2817" t="s">
        <v>76</v>
      </c>
      <c r="B4" s="2817" t="s">
        <v>15</v>
      </c>
      <c r="C4" s="2817" t="s">
        <v>15</v>
      </c>
      <c r="D4" s="2817" t="s">
        <v>15</v>
      </c>
      <c r="E4" s="2817" t="s">
        <v>15</v>
      </c>
      <c r="F4" s="2817" t="s">
        <v>15</v>
      </c>
    </row>
    <row r="5" spans="1:6" ht="15" customHeight="1" x14ac:dyDescent="0.25">
      <c r="A5" s="2818" t="s">
        <v>77</v>
      </c>
      <c r="B5" s="2818" t="s">
        <v>15</v>
      </c>
      <c r="C5" s="2819" t="s">
        <v>15</v>
      </c>
      <c r="D5" s="2820" t="s">
        <v>78</v>
      </c>
      <c r="E5" s="2821" t="s">
        <v>15</v>
      </c>
      <c r="F5" s="2821" t="s">
        <v>15</v>
      </c>
    </row>
    <row r="6" spans="1:6" ht="20.100000000000001" customHeight="1" x14ac:dyDescent="0.25">
      <c r="A6" s="77" t="s">
        <v>79</v>
      </c>
      <c r="B6" s="78" t="s">
        <v>80</v>
      </c>
      <c r="C6" s="79" t="s">
        <v>81</v>
      </c>
      <c r="D6" s="80" t="s">
        <v>82</v>
      </c>
      <c r="E6" s="81" t="s">
        <v>83</v>
      </c>
      <c r="F6" s="82" t="s">
        <v>84</v>
      </c>
    </row>
    <row r="7" spans="1:6" ht="15" customHeight="1" x14ac:dyDescent="0.25">
      <c r="A7" s="83" t="s">
        <v>85</v>
      </c>
      <c r="B7" s="84">
        <v>1</v>
      </c>
      <c r="C7" s="85" t="s">
        <v>86</v>
      </c>
      <c r="D7" s="86">
        <v>16</v>
      </c>
      <c r="E7" s="87"/>
      <c r="F7" s="88"/>
    </row>
    <row r="8" spans="1:6" ht="15" customHeight="1" x14ac:dyDescent="0.25">
      <c r="A8" s="89"/>
      <c r="B8" s="90">
        <v>2</v>
      </c>
      <c r="C8" s="91" t="s">
        <v>87</v>
      </c>
      <c r="D8" s="92" t="s">
        <v>88</v>
      </c>
      <c r="E8" s="93"/>
      <c r="F8" s="94"/>
    </row>
    <row r="9" spans="1:6" ht="15" customHeight="1" x14ac:dyDescent="0.25">
      <c r="A9" s="89"/>
      <c r="B9" s="90">
        <v>3</v>
      </c>
      <c r="C9" s="91" t="s">
        <v>89</v>
      </c>
      <c r="D9" s="92" t="s">
        <v>90</v>
      </c>
      <c r="E9" s="93"/>
      <c r="F9" s="94"/>
    </row>
    <row r="10" spans="1:6" ht="19.05" customHeight="1" x14ac:dyDescent="0.25">
      <c r="A10" s="95"/>
      <c r="B10" s="96">
        <v>4</v>
      </c>
      <c r="C10" s="97" t="s">
        <v>91</v>
      </c>
      <c r="D10" s="98" t="s">
        <v>92</v>
      </c>
      <c r="E10" s="99"/>
      <c r="F10" s="100"/>
    </row>
    <row r="11" spans="1:6" ht="15" customHeight="1" x14ac:dyDescent="0.25">
      <c r="A11" s="2812" t="s">
        <v>93</v>
      </c>
      <c r="B11" s="84">
        <v>5</v>
      </c>
      <c r="C11" s="85" t="s">
        <v>94</v>
      </c>
      <c r="D11" s="86" t="s">
        <v>95</v>
      </c>
      <c r="E11" s="87"/>
      <c r="F11" s="88"/>
    </row>
    <row r="12" spans="1:6" ht="15" customHeight="1" x14ac:dyDescent="0.25">
      <c r="A12" s="2813" t="s">
        <v>15</v>
      </c>
      <c r="B12" s="90">
        <v>6</v>
      </c>
      <c r="C12" s="91" t="s">
        <v>96</v>
      </c>
      <c r="D12" s="92" t="s">
        <v>97</v>
      </c>
      <c r="E12" s="93"/>
      <c r="F12" s="94"/>
    </row>
    <row r="13" spans="1:6" ht="15" customHeight="1" x14ac:dyDescent="0.25">
      <c r="A13" s="2813" t="s">
        <v>15</v>
      </c>
      <c r="B13" s="90">
        <v>7</v>
      </c>
      <c r="C13" s="91" t="s">
        <v>98</v>
      </c>
      <c r="D13" s="92">
        <v>84</v>
      </c>
      <c r="E13" s="93"/>
      <c r="F13" s="94"/>
    </row>
    <row r="14" spans="1:6" ht="15" customHeight="1" x14ac:dyDescent="0.25">
      <c r="A14" s="95"/>
      <c r="B14" s="96">
        <v>8</v>
      </c>
      <c r="C14" s="97" t="s">
        <v>99</v>
      </c>
      <c r="D14" s="101" t="s">
        <v>100</v>
      </c>
      <c r="E14" s="102"/>
      <c r="F14" s="100"/>
    </row>
    <row r="15" spans="1:6" ht="15" customHeight="1" x14ac:dyDescent="0.25">
      <c r="A15" s="2812" t="s">
        <v>101</v>
      </c>
      <c r="B15" s="84">
        <v>9</v>
      </c>
      <c r="C15" s="85" t="s">
        <v>102</v>
      </c>
      <c r="D15" s="86" t="s">
        <v>103</v>
      </c>
      <c r="E15" s="87">
        <v>208</v>
      </c>
      <c r="F15" s="88" t="s">
        <v>104</v>
      </c>
    </row>
    <row r="16" spans="1:6" ht="15" customHeight="1" x14ac:dyDescent="0.25">
      <c r="A16" s="2813" t="s">
        <v>15</v>
      </c>
      <c r="B16" s="90">
        <v>10</v>
      </c>
      <c r="C16" s="91" t="s">
        <v>105</v>
      </c>
      <c r="D16" s="92">
        <v>64</v>
      </c>
      <c r="E16" s="93"/>
      <c r="F16" s="94" t="s">
        <v>106</v>
      </c>
    </row>
    <row r="17" spans="1:6" ht="15" customHeight="1" x14ac:dyDescent="0.25">
      <c r="A17" s="103"/>
      <c r="B17" s="90"/>
      <c r="C17" s="91" t="s">
        <v>107</v>
      </c>
      <c r="D17" s="92"/>
      <c r="E17" s="93"/>
      <c r="F17" s="94" t="s">
        <v>108</v>
      </c>
    </row>
    <row r="18" spans="1:6" ht="15" customHeight="1" x14ac:dyDescent="0.25">
      <c r="A18" s="103"/>
      <c r="B18" s="90">
        <v>11</v>
      </c>
      <c r="C18" s="91" t="s">
        <v>109</v>
      </c>
      <c r="D18" s="92" t="s">
        <v>110</v>
      </c>
      <c r="E18" s="93"/>
      <c r="F18" s="94">
        <v>100</v>
      </c>
    </row>
    <row r="19" spans="1:6" ht="15" customHeight="1" x14ac:dyDescent="0.25">
      <c r="A19" s="103"/>
      <c r="B19" s="90"/>
      <c r="C19" s="91" t="s">
        <v>111</v>
      </c>
      <c r="D19" s="92"/>
      <c r="E19" s="93"/>
      <c r="F19" s="94"/>
    </row>
    <row r="20" spans="1:6" ht="15" customHeight="1" x14ac:dyDescent="0.25">
      <c r="A20" s="103"/>
      <c r="B20" s="90">
        <v>12</v>
      </c>
      <c r="C20" s="91" t="s">
        <v>112</v>
      </c>
      <c r="D20" s="92" t="s">
        <v>103</v>
      </c>
      <c r="E20" s="93"/>
      <c r="F20" s="94"/>
    </row>
    <row r="21" spans="1:6" ht="19.05" customHeight="1" x14ac:dyDescent="0.25">
      <c r="A21" s="103"/>
      <c r="B21" s="90">
        <v>13</v>
      </c>
      <c r="C21" s="91" t="s">
        <v>113</v>
      </c>
      <c r="D21" s="92" t="s">
        <v>114</v>
      </c>
      <c r="E21" s="93">
        <v>178</v>
      </c>
      <c r="F21" s="104" t="s">
        <v>115</v>
      </c>
    </row>
    <row r="22" spans="1:6" ht="15" customHeight="1" x14ac:dyDescent="0.25">
      <c r="A22" s="103"/>
      <c r="B22" s="90">
        <v>14</v>
      </c>
      <c r="C22" s="91" t="s">
        <v>116</v>
      </c>
      <c r="D22" s="92" t="s">
        <v>117</v>
      </c>
      <c r="E22" s="93" t="s">
        <v>118</v>
      </c>
      <c r="F22" s="94" t="s">
        <v>119</v>
      </c>
    </row>
    <row r="23" spans="1:6" ht="15" customHeight="1" x14ac:dyDescent="0.25">
      <c r="A23" s="103"/>
      <c r="B23" s="90">
        <v>15</v>
      </c>
      <c r="C23" s="91" t="s">
        <v>120</v>
      </c>
      <c r="D23" s="92" t="s">
        <v>117</v>
      </c>
      <c r="E23" s="93">
        <v>225</v>
      </c>
      <c r="F23" s="104" t="s">
        <v>121</v>
      </c>
    </row>
    <row r="24" spans="1:6" ht="15" customHeight="1" x14ac:dyDescent="0.25">
      <c r="A24" s="103"/>
      <c r="B24" s="90">
        <v>16</v>
      </c>
      <c r="C24" s="91" t="s">
        <v>122</v>
      </c>
      <c r="D24" s="92" t="s">
        <v>117</v>
      </c>
      <c r="E24" s="93"/>
      <c r="F24" s="104" t="s">
        <v>123</v>
      </c>
    </row>
    <row r="25" spans="1:6" ht="15" customHeight="1" x14ac:dyDescent="0.25">
      <c r="A25" s="105"/>
      <c r="B25" s="96">
        <v>17</v>
      </c>
      <c r="C25" s="97" t="s">
        <v>124</v>
      </c>
      <c r="D25" s="101" t="s">
        <v>125</v>
      </c>
      <c r="E25" s="102"/>
      <c r="F25" s="100" t="s">
        <v>126</v>
      </c>
    </row>
    <row r="26" spans="1:6" ht="15" customHeight="1" x14ac:dyDescent="0.25">
      <c r="A26" s="83" t="s">
        <v>127</v>
      </c>
      <c r="B26" s="84">
        <v>18</v>
      </c>
      <c r="C26" s="85" t="s">
        <v>128</v>
      </c>
      <c r="D26" s="86" t="s">
        <v>129</v>
      </c>
      <c r="E26" s="87"/>
      <c r="F26" s="88"/>
    </row>
    <row r="27" spans="1:6" ht="15" customHeight="1" x14ac:dyDescent="0.25">
      <c r="A27" s="103"/>
      <c r="B27" s="90">
        <v>19</v>
      </c>
      <c r="C27" s="91" t="s">
        <v>130</v>
      </c>
      <c r="D27" s="92">
        <v>105</v>
      </c>
      <c r="E27" s="93"/>
      <c r="F27" s="94"/>
    </row>
    <row r="28" spans="1:6" ht="20.100000000000001" customHeight="1" x14ac:dyDescent="0.25">
      <c r="A28" s="103"/>
      <c r="B28" s="90">
        <v>20</v>
      </c>
      <c r="C28" s="91" t="s">
        <v>131</v>
      </c>
      <c r="D28" s="92" t="s">
        <v>132</v>
      </c>
      <c r="E28" s="93"/>
      <c r="F28" s="94"/>
    </row>
    <row r="29" spans="1:6" ht="15" customHeight="1" x14ac:dyDescent="0.25">
      <c r="A29" s="105"/>
      <c r="B29" s="96">
        <v>21</v>
      </c>
      <c r="C29" s="97" t="s">
        <v>133</v>
      </c>
      <c r="D29" s="101" t="s">
        <v>134</v>
      </c>
      <c r="E29" s="102"/>
      <c r="F29" s="100"/>
    </row>
    <row r="30" spans="1:6" ht="15" customHeight="1" x14ac:dyDescent="0.25">
      <c r="A30" s="106" t="s">
        <v>135</v>
      </c>
      <c r="B30" s="84">
        <v>22</v>
      </c>
      <c r="C30" s="85" t="s">
        <v>136</v>
      </c>
      <c r="D30" s="86">
        <v>102</v>
      </c>
      <c r="E30" s="87"/>
      <c r="F30" s="88"/>
    </row>
    <row r="31" spans="1:6" ht="15" customHeight="1" x14ac:dyDescent="0.25">
      <c r="A31" s="103"/>
      <c r="B31" s="90">
        <v>23</v>
      </c>
      <c r="C31" s="91" t="s">
        <v>137</v>
      </c>
      <c r="D31" s="92" t="s">
        <v>138</v>
      </c>
      <c r="E31" s="93"/>
      <c r="F31" s="94"/>
    </row>
    <row r="32" spans="1:6" ht="20.100000000000001" customHeight="1" x14ac:dyDescent="0.25">
      <c r="A32" s="103"/>
      <c r="B32" s="90">
        <v>24</v>
      </c>
      <c r="C32" s="91" t="s">
        <v>139</v>
      </c>
      <c r="D32" s="92" t="s">
        <v>138</v>
      </c>
      <c r="E32" s="93"/>
      <c r="F32" s="94"/>
    </row>
    <row r="33" spans="1:6" ht="15" customHeight="1" x14ac:dyDescent="0.25">
      <c r="A33" s="105"/>
      <c r="B33" s="96">
        <v>25</v>
      </c>
      <c r="C33" s="97" t="s">
        <v>140</v>
      </c>
      <c r="D33" s="101" t="s">
        <v>138</v>
      </c>
      <c r="E33" s="102"/>
      <c r="F33" s="100"/>
    </row>
    <row r="34" spans="1:6" ht="15" customHeight="1" x14ac:dyDescent="0.25">
      <c r="A34" s="83" t="s">
        <v>141</v>
      </c>
      <c r="B34" s="84">
        <v>26</v>
      </c>
      <c r="C34" s="85" t="s">
        <v>142</v>
      </c>
      <c r="D34" s="86" t="s">
        <v>143</v>
      </c>
      <c r="E34" s="87" t="s">
        <v>144</v>
      </c>
      <c r="F34" s="104" t="s">
        <v>145</v>
      </c>
    </row>
    <row r="35" spans="1:6" ht="20.100000000000001" customHeight="1" x14ac:dyDescent="0.25">
      <c r="A35" s="103"/>
      <c r="B35" s="90">
        <v>27</v>
      </c>
      <c r="C35" s="91" t="s">
        <v>146</v>
      </c>
      <c r="D35" s="92"/>
      <c r="E35" s="93" t="s">
        <v>147</v>
      </c>
      <c r="F35" s="94"/>
    </row>
    <row r="36" spans="1:6" ht="15" customHeight="1" x14ac:dyDescent="0.25">
      <c r="A36" s="103"/>
      <c r="B36" s="90">
        <v>28</v>
      </c>
      <c r="C36" s="91" t="s">
        <v>148</v>
      </c>
      <c r="D36" s="92" t="s">
        <v>149</v>
      </c>
      <c r="E36" s="93">
        <v>189</v>
      </c>
      <c r="F36" s="104" t="s">
        <v>150</v>
      </c>
    </row>
    <row r="37" spans="1:6" ht="15" customHeight="1" x14ac:dyDescent="0.25">
      <c r="A37" s="103"/>
      <c r="B37" s="90">
        <v>29</v>
      </c>
      <c r="C37" s="91" t="s">
        <v>151</v>
      </c>
      <c r="D37" s="92" t="s">
        <v>152</v>
      </c>
      <c r="E37" s="93" t="s">
        <v>153</v>
      </c>
      <c r="F37" s="104">
        <v>108</v>
      </c>
    </row>
    <row r="38" spans="1:6" ht="15" customHeight="1" x14ac:dyDescent="0.25">
      <c r="A38" s="105"/>
      <c r="B38" s="96">
        <v>30</v>
      </c>
      <c r="C38" s="97" t="s">
        <v>154</v>
      </c>
      <c r="D38" s="101" t="s">
        <v>155</v>
      </c>
      <c r="E38" s="102"/>
      <c r="F38" s="100"/>
    </row>
    <row r="39" spans="1:6" ht="15" customHeight="1" x14ac:dyDescent="0.25">
      <c r="A39" s="83" t="s">
        <v>156</v>
      </c>
      <c r="B39" s="84">
        <v>31</v>
      </c>
      <c r="C39" s="85" t="s">
        <v>157</v>
      </c>
      <c r="D39" s="86" t="s">
        <v>158</v>
      </c>
      <c r="E39" s="87"/>
      <c r="F39" s="88"/>
    </row>
    <row r="40" spans="1:6" ht="15" customHeight="1" x14ac:dyDescent="0.25">
      <c r="A40" s="95"/>
      <c r="B40" s="96">
        <v>32</v>
      </c>
      <c r="C40" s="97" t="s">
        <v>159</v>
      </c>
      <c r="D40" s="101" t="s">
        <v>160</v>
      </c>
      <c r="E40" s="102" t="s">
        <v>161</v>
      </c>
      <c r="F40" s="100"/>
    </row>
    <row r="41" spans="1:6" ht="8.1" customHeight="1" x14ac:dyDescent="0.25">
      <c r="A41" s="2814"/>
      <c r="B41" s="2814" t="s">
        <v>15</v>
      </c>
      <c r="C41" s="2814" t="s">
        <v>15</v>
      </c>
      <c r="D41" s="2814" t="s">
        <v>15</v>
      </c>
      <c r="E41" s="2814" t="s">
        <v>15</v>
      </c>
      <c r="F41" s="2814" t="s">
        <v>15</v>
      </c>
    </row>
  </sheetData>
  <mergeCells count="8">
    <mergeCell ref="A15:A16"/>
    <mergeCell ref="A41:F41"/>
    <mergeCell ref="A2:F2"/>
    <mergeCell ref="A3:F3"/>
    <mergeCell ref="A4:F4"/>
    <mergeCell ref="A5:C5"/>
    <mergeCell ref="D5:F5"/>
    <mergeCell ref="A11:A13"/>
  </mergeCells>
  <hyperlinks>
    <hyperlink ref="A1" location="ToC!A2" display="Back to Table of Contents" xr:uid="{B8A68AF8-3219-4DE0-A46B-6329EFACDF3F}"/>
  </hyperlinks>
  <pageMargins left="0.5" right="0.5" top="0.5" bottom="0.5" header="0.25" footer="0.25"/>
  <pageSetup scale="81" orientation="landscape" r:id="rId1"/>
  <headerFooter>
    <oddFooter>&amp;L&amp;G&amp;C&amp;"Scotia,Regular"&amp;9Supplementary Financial Information (SFI)&amp;REDTF&amp;"Scotia,Regular"&amp;7</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8E24-E7FA-48BF-9A94-D09D4A4B9498}">
  <sheetPr>
    <pageSetUpPr fitToPage="1"/>
  </sheetPr>
  <dimension ref="A1:L56"/>
  <sheetViews>
    <sheetView showGridLines="0" zoomScaleNormal="100" workbookViewId="0"/>
  </sheetViews>
  <sheetFormatPr defaultColWidth="8.77734375" defaultRowHeight="13.2" x14ac:dyDescent="0.25"/>
  <cols>
    <col min="1" max="1" width="82.5546875" style="23" customWidth="1"/>
    <col min="2" max="2" width="13.77734375" style="23" customWidth="1"/>
    <col min="3" max="4" width="10.5546875" style="23" customWidth="1"/>
    <col min="5" max="10" width="10.44140625" style="23" customWidth="1"/>
    <col min="11" max="12" width="9.77734375" style="23" customWidth="1"/>
    <col min="13" max="16384" width="8.77734375" style="23"/>
  </cols>
  <sheetData>
    <row r="1" spans="1:12" ht="19.95" customHeight="1" x14ac:dyDescent="0.25">
      <c r="A1" s="22" t="s">
        <v>12</v>
      </c>
    </row>
    <row r="2" spans="1:12" ht="24.6" customHeight="1" x14ac:dyDescent="0.25">
      <c r="A2" s="2823" t="s">
        <v>162</v>
      </c>
      <c r="B2" s="2823" t="s">
        <v>15</v>
      </c>
      <c r="C2" s="2823" t="s">
        <v>15</v>
      </c>
      <c r="D2" s="2823" t="s">
        <v>15</v>
      </c>
      <c r="E2" s="2823" t="s">
        <v>15</v>
      </c>
      <c r="F2" s="2823" t="s">
        <v>15</v>
      </c>
      <c r="G2" s="2823" t="s">
        <v>15</v>
      </c>
      <c r="H2" s="2823" t="s">
        <v>15</v>
      </c>
      <c r="I2" s="2823" t="s">
        <v>15</v>
      </c>
      <c r="J2" s="2823" t="s">
        <v>15</v>
      </c>
      <c r="K2" s="2823" t="s">
        <v>15</v>
      </c>
      <c r="L2" s="2823" t="s">
        <v>15</v>
      </c>
    </row>
    <row r="3" spans="1:12" ht="13.35" customHeight="1" x14ac:dyDescent="0.25">
      <c r="A3" s="107"/>
      <c r="B3" s="108"/>
      <c r="C3" s="109"/>
      <c r="D3" s="109"/>
      <c r="E3" s="110"/>
      <c r="F3" s="111"/>
      <c r="G3" s="112"/>
      <c r="H3" s="112"/>
      <c r="I3" s="113"/>
      <c r="J3" s="114"/>
      <c r="K3" s="2824" t="s">
        <v>163</v>
      </c>
      <c r="L3" s="2825" t="s">
        <v>15</v>
      </c>
    </row>
    <row r="4" spans="1:12" ht="13.35" customHeight="1" x14ac:dyDescent="0.25">
      <c r="A4" s="115" t="s">
        <v>164</v>
      </c>
      <c r="B4" s="116" t="s">
        <v>165</v>
      </c>
      <c r="C4" s="117" t="s">
        <v>166</v>
      </c>
      <c r="D4" s="117" t="s">
        <v>167</v>
      </c>
      <c r="E4" s="118" t="s">
        <v>168</v>
      </c>
      <c r="F4" s="119" t="s">
        <v>169</v>
      </c>
      <c r="G4" s="117" t="s">
        <v>170</v>
      </c>
      <c r="H4" s="117" t="s">
        <v>171</v>
      </c>
      <c r="I4" s="118" t="s">
        <v>172</v>
      </c>
      <c r="J4" s="120" t="s">
        <v>173</v>
      </c>
      <c r="K4" s="119" t="s">
        <v>174</v>
      </c>
      <c r="L4" s="121" t="s">
        <v>175</v>
      </c>
    </row>
    <row r="5" spans="1:12" ht="13.35" customHeight="1" x14ac:dyDescent="0.25">
      <c r="A5" s="122" t="s">
        <v>176</v>
      </c>
      <c r="B5" s="123"/>
      <c r="C5" s="124"/>
      <c r="D5" s="124"/>
      <c r="E5" s="125"/>
      <c r="F5" s="123"/>
      <c r="G5" s="126"/>
      <c r="H5" s="126"/>
      <c r="I5" s="127"/>
      <c r="J5" s="128"/>
      <c r="K5" s="123"/>
      <c r="L5" s="126"/>
    </row>
    <row r="6" spans="1:12" ht="13.35" customHeight="1" x14ac:dyDescent="0.25">
      <c r="A6" s="129" t="s">
        <v>177</v>
      </c>
      <c r="B6" s="130">
        <v>2206</v>
      </c>
      <c r="C6" s="131">
        <v>2527</v>
      </c>
      <c r="D6" s="131">
        <v>2032</v>
      </c>
      <c r="E6" s="132">
        <v>993</v>
      </c>
      <c r="F6" s="133">
        <v>1689</v>
      </c>
      <c r="G6" s="134">
        <v>1912</v>
      </c>
      <c r="H6" s="134">
        <v>2092</v>
      </c>
      <c r="I6" s="135">
        <v>2199</v>
      </c>
      <c r="J6" s="136">
        <v>1354</v>
      </c>
      <c r="K6" s="137">
        <v>7758</v>
      </c>
      <c r="L6" s="134">
        <v>7892</v>
      </c>
    </row>
    <row r="7" spans="1:12" ht="13.35" customHeight="1" x14ac:dyDescent="0.25">
      <c r="A7" s="129" t="s">
        <v>178</v>
      </c>
      <c r="B7" s="130">
        <v>2104</v>
      </c>
      <c r="C7" s="131">
        <v>2313</v>
      </c>
      <c r="D7" s="131">
        <v>1841</v>
      </c>
      <c r="E7" s="132">
        <v>1025</v>
      </c>
      <c r="F7" s="133">
        <v>1521</v>
      </c>
      <c r="G7" s="134">
        <v>1756</v>
      </c>
      <c r="H7" s="134">
        <v>1943</v>
      </c>
      <c r="I7" s="135">
        <v>2066</v>
      </c>
      <c r="J7" s="136">
        <v>1214</v>
      </c>
      <c r="K7" s="137">
        <v>7283</v>
      </c>
      <c r="L7" s="134">
        <v>7286</v>
      </c>
    </row>
    <row r="8" spans="1:12" ht="13.35" customHeight="1" x14ac:dyDescent="0.25">
      <c r="A8" s="129" t="s">
        <v>179</v>
      </c>
      <c r="B8" s="138">
        <v>1.7</v>
      </c>
      <c r="C8" s="139">
        <v>1.84</v>
      </c>
      <c r="D8" s="139">
        <v>1.48</v>
      </c>
      <c r="E8" s="140">
        <v>0.82</v>
      </c>
      <c r="F8" s="141">
        <v>1.23</v>
      </c>
      <c r="G8" s="142">
        <v>1.43</v>
      </c>
      <c r="H8" s="142">
        <v>1.59</v>
      </c>
      <c r="I8" s="143">
        <v>1.7</v>
      </c>
      <c r="J8" s="144">
        <v>1.01</v>
      </c>
      <c r="K8" s="145">
        <v>5.84</v>
      </c>
      <c r="L8" s="142">
        <v>5.94</v>
      </c>
    </row>
    <row r="9" spans="1:12" ht="13.35" customHeight="1" x14ac:dyDescent="0.25">
      <c r="A9" s="129" t="s">
        <v>180</v>
      </c>
      <c r="B9" s="146">
        <v>1.65</v>
      </c>
      <c r="C9" s="139">
        <v>1.84</v>
      </c>
      <c r="D9" s="139">
        <v>1.48</v>
      </c>
      <c r="E9" s="140">
        <v>0.66</v>
      </c>
      <c r="F9" s="141">
        <v>1.22</v>
      </c>
      <c r="G9" s="142">
        <v>1.41</v>
      </c>
      <c r="H9" s="142">
        <v>1.57</v>
      </c>
      <c r="I9" s="143">
        <v>1.68</v>
      </c>
      <c r="J9" s="144">
        <v>0.99</v>
      </c>
      <c r="K9" s="145">
        <v>5.67</v>
      </c>
      <c r="L9" s="142">
        <v>5.87</v>
      </c>
    </row>
    <row r="10" spans="1:12" ht="13.35" customHeight="1" x14ac:dyDescent="0.25">
      <c r="A10" s="129" t="s">
        <v>181</v>
      </c>
      <c r="B10" s="147">
        <v>11</v>
      </c>
      <c r="C10" s="148">
        <v>12.2</v>
      </c>
      <c r="D10" s="148">
        <v>10.1</v>
      </c>
      <c r="E10" s="149">
        <v>5.5</v>
      </c>
      <c r="F10" s="150">
        <v>8.3000000000000007</v>
      </c>
      <c r="G10" s="151">
        <v>9.8000000000000007</v>
      </c>
      <c r="H10" s="151">
        <v>11.2</v>
      </c>
      <c r="I10" s="152">
        <v>11.8</v>
      </c>
      <c r="J10" s="153">
        <v>7</v>
      </c>
      <c r="K10" s="154">
        <v>9.6999999999999993</v>
      </c>
      <c r="L10" s="151">
        <v>10.199999999999999</v>
      </c>
    </row>
    <row r="11" spans="1:12" ht="13.35" customHeight="1" x14ac:dyDescent="0.25">
      <c r="A11" s="129" t="s">
        <v>182</v>
      </c>
      <c r="B11" s="146">
        <v>2.4</v>
      </c>
      <c r="C11" s="139">
        <v>2.36</v>
      </c>
      <c r="D11" s="139">
        <v>2.31</v>
      </c>
      <c r="E11" s="140">
        <v>2.23</v>
      </c>
      <c r="F11" s="141">
        <v>2.15</v>
      </c>
      <c r="G11" s="142">
        <v>2.14</v>
      </c>
      <c r="H11" s="142">
        <v>2.17</v>
      </c>
      <c r="I11" s="143">
        <v>2.19</v>
      </c>
      <c r="J11" s="144">
        <v>2.15</v>
      </c>
      <c r="K11" s="145">
        <v>2.33</v>
      </c>
      <c r="L11" s="142">
        <v>2.16</v>
      </c>
    </row>
    <row r="12" spans="1:12" ht="13.35" customHeight="1" x14ac:dyDescent="0.25">
      <c r="A12" s="129" t="s">
        <v>183</v>
      </c>
      <c r="B12" s="147">
        <v>59.4</v>
      </c>
      <c r="C12" s="148">
        <v>53.7</v>
      </c>
      <c r="D12" s="148">
        <v>56.3</v>
      </c>
      <c r="E12" s="149">
        <v>69.3</v>
      </c>
      <c r="F12" s="150">
        <v>62.1</v>
      </c>
      <c r="G12" s="151">
        <v>59.2</v>
      </c>
      <c r="H12" s="151">
        <v>56.4</v>
      </c>
      <c r="I12" s="152">
        <v>56.2</v>
      </c>
      <c r="J12" s="153">
        <v>66.8</v>
      </c>
      <c r="K12" s="154">
        <v>59.7</v>
      </c>
      <c r="L12" s="151">
        <v>58.5</v>
      </c>
    </row>
    <row r="13" spans="1:12" ht="13.35" customHeight="1" x14ac:dyDescent="0.25">
      <c r="A13" s="129" t="s">
        <v>184</v>
      </c>
      <c r="B13" s="147">
        <v>22.92</v>
      </c>
      <c r="C13" s="148">
        <v>24.68</v>
      </c>
      <c r="D13" s="148">
        <v>21</v>
      </c>
      <c r="E13" s="149">
        <v>42.2</v>
      </c>
      <c r="F13" s="150">
        <v>23.2</v>
      </c>
      <c r="G13" s="151">
        <v>19.100000000000001</v>
      </c>
      <c r="H13" s="151">
        <v>20.399999999999999</v>
      </c>
      <c r="I13" s="152">
        <v>19.5</v>
      </c>
      <c r="J13" s="153">
        <v>9.1</v>
      </c>
      <c r="K13" s="154">
        <v>26.2</v>
      </c>
      <c r="L13" s="151">
        <v>20.5</v>
      </c>
    </row>
    <row r="14" spans="1:12" ht="13.35" customHeight="1" x14ac:dyDescent="0.25">
      <c r="A14" s="155" t="s">
        <v>185</v>
      </c>
      <c r="B14" s="156"/>
      <c r="C14" s="157"/>
      <c r="D14" s="157"/>
      <c r="E14" s="158"/>
      <c r="F14" s="159"/>
      <c r="G14" s="160"/>
      <c r="H14" s="160"/>
      <c r="I14" s="161"/>
      <c r="J14" s="162"/>
      <c r="K14" s="163"/>
      <c r="L14" s="160"/>
    </row>
    <row r="15" spans="1:12" ht="13.35" customHeight="1" x14ac:dyDescent="0.25">
      <c r="A15" s="129" t="s">
        <v>177</v>
      </c>
      <c r="B15" s="130">
        <v>2558</v>
      </c>
      <c r="C15" s="131">
        <v>2518</v>
      </c>
      <c r="D15" s="131">
        <v>2072</v>
      </c>
      <c r="E15" s="132">
        <v>2362</v>
      </c>
      <c r="F15" s="133">
        <v>2119</v>
      </c>
      <c r="G15" s="134">
        <v>2191</v>
      </c>
      <c r="H15" s="134">
        <v>2105</v>
      </c>
      <c r="I15" s="135">
        <v>2212</v>
      </c>
      <c r="J15" s="136">
        <v>1643</v>
      </c>
      <c r="K15" s="137">
        <v>9510</v>
      </c>
      <c r="L15" s="134">
        <v>8627</v>
      </c>
    </row>
    <row r="16" spans="1:12" ht="13.35" customHeight="1" x14ac:dyDescent="0.25">
      <c r="A16" s="129" t="s">
        <v>186</v>
      </c>
      <c r="B16" s="130">
        <v>2408</v>
      </c>
      <c r="C16" s="131">
        <v>2349</v>
      </c>
      <c r="D16" s="131">
        <v>1898</v>
      </c>
      <c r="E16" s="132">
        <v>2196</v>
      </c>
      <c r="F16" s="133">
        <v>1948</v>
      </c>
      <c r="G16" s="134">
        <v>2017</v>
      </c>
      <c r="H16" s="134">
        <v>1941</v>
      </c>
      <c r="I16" s="135">
        <v>2064</v>
      </c>
      <c r="J16" s="136">
        <v>1490</v>
      </c>
      <c r="K16" s="137">
        <v>8851</v>
      </c>
      <c r="L16" s="134">
        <v>7970</v>
      </c>
    </row>
    <row r="17" spans="1:12" ht="13.35" customHeight="1" x14ac:dyDescent="0.25">
      <c r="A17" s="129" t="s">
        <v>187</v>
      </c>
      <c r="B17" s="146">
        <v>1.93</v>
      </c>
      <c r="C17" s="139">
        <v>1.88</v>
      </c>
      <c r="D17" s="139">
        <v>1.52</v>
      </c>
      <c r="E17" s="140">
        <v>1.76</v>
      </c>
      <c r="F17" s="141">
        <v>1.57</v>
      </c>
      <c r="G17" s="142">
        <v>1.63</v>
      </c>
      <c r="H17" s="142">
        <v>1.58</v>
      </c>
      <c r="I17" s="143">
        <v>1.69</v>
      </c>
      <c r="J17" s="144">
        <v>1.23</v>
      </c>
      <c r="K17" s="145">
        <v>7.09</v>
      </c>
      <c r="L17" s="142">
        <v>6.47</v>
      </c>
    </row>
    <row r="18" spans="1:12" ht="13.35" customHeight="1" x14ac:dyDescent="0.25">
      <c r="A18" s="129" t="s">
        <v>188</v>
      </c>
      <c r="B18" s="147">
        <v>12.5</v>
      </c>
      <c r="C18" s="148">
        <v>12.4</v>
      </c>
      <c r="D18" s="148">
        <v>10.4</v>
      </c>
      <c r="E18" s="149">
        <v>11.8</v>
      </c>
      <c r="F18" s="150">
        <v>10.6</v>
      </c>
      <c r="G18" s="151">
        <v>11.3</v>
      </c>
      <c r="H18" s="151">
        <v>11.3</v>
      </c>
      <c r="I18" s="152">
        <v>11.9</v>
      </c>
      <c r="J18" s="153">
        <v>8.6999999999999993</v>
      </c>
      <c r="K18" s="154">
        <v>11.8</v>
      </c>
      <c r="L18" s="151">
        <v>11.3</v>
      </c>
    </row>
    <row r="19" spans="1:12" ht="13.35" customHeight="1" x14ac:dyDescent="0.25">
      <c r="A19" s="129" t="s">
        <v>189</v>
      </c>
      <c r="B19" s="147">
        <v>54.3</v>
      </c>
      <c r="C19" s="148">
        <v>53.7</v>
      </c>
      <c r="D19" s="148">
        <v>55.7</v>
      </c>
      <c r="E19" s="149">
        <v>54.5</v>
      </c>
      <c r="F19" s="150">
        <v>56.1</v>
      </c>
      <c r="G19" s="151">
        <v>56</v>
      </c>
      <c r="H19" s="151">
        <v>56.2</v>
      </c>
      <c r="I19" s="152">
        <v>56</v>
      </c>
      <c r="J19" s="153">
        <v>59.7</v>
      </c>
      <c r="K19" s="154">
        <v>54.5</v>
      </c>
      <c r="L19" s="151">
        <v>56.1</v>
      </c>
    </row>
    <row r="20" spans="1:12" ht="13.35" customHeight="1" x14ac:dyDescent="0.25">
      <c r="A20" s="129" t="s">
        <v>190</v>
      </c>
      <c r="B20" s="147">
        <v>23.56</v>
      </c>
      <c r="C20" s="148">
        <v>24.97</v>
      </c>
      <c r="D20" s="148">
        <v>21.3</v>
      </c>
      <c r="E20" s="149">
        <v>23.8</v>
      </c>
      <c r="F20" s="150">
        <v>21.8</v>
      </c>
      <c r="G20" s="151">
        <v>18.600000000000001</v>
      </c>
      <c r="H20" s="151">
        <v>20.5</v>
      </c>
      <c r="I20" s="152">
        <v>19.600000000000001</v>
      </c>
      <c r="J20" s="153">
        <v>14.8</v>
      </c>
      <c r="K20" s="154">
        <v>23.52</v>
      </c>
      <c r="L20" s="151">
        <v>20.100000000000001</v>
      </c>
    </row>
    <row r="21" spans="1:12" ht="13.35" customHeight="1" x14ac:dyDescent="0.25">
      <c r="A21" s="115" t="s">
        <v>191</v>
      </c>
      <c r="B21" s="116"/>
      <c r="C21" s="117"/>
      <c r="D21" s="117"/>
      <c r="E21" s="118"/>
      <c r="F21" s="116"/>
      <c r="G21" s="164"/>
      <c r="H21" s="164"/>
      <c r="I21" s="165"/>
      <c r="J21" s="166"/>
      <c r="K21" s="167"/>
      <c r="L21" s="168"/>
    </row>
    <row r="22" spans="1:12" ht="13.35" customHeight="1" x14ac:dyDescent="0.25">
      <c r="A22" s="169" t="s">
        <v>192</v>
      </c>
      <c r="B22" s="170">
        <v>1460</v>
      </c>
      <c r="C22" s="171">
        <v>1414.7</v>
      </c>
      <c r="D22" s="171">
        <v>1415.5</v>
      </c>
      <c r="E22" s="172">
        <v>1439.2</v>
      </c>
      <c r="F22" s="173">
        <v>1412</v>
      </c>
      <c r="G22" s="174">
        <v>1402.4</v>
      </c>
      <c r="H22" s="174">
        <v>1399.4</v>
      </c>
      <c r="I22" s="175">
        <v>1392.9</v>
      </c>
      <c r="J22" s="176">
        <v>1411</v>
      </c>
      <c r="K22" s="177"/>
      <c r="L22" s="178"/>
    </row>
    <row r="23" spans="1:12" ht="13.35" customHeight="1" x14ac:dyDescent="0.25">
      <c r="A23" s="179" t="s">
        <v>193</v>
      </c>
      <c r="B23" s="147">
        <v>771.2</v>
      </c>
      <c r="C23" s="148">
        <v>761.7</v>
      </c>
      <c r="D23" s="148">
        <v>756.6</v>
      </c>
      <c r="E23" s="149">
        <v>766.5</v>
      </c>
      <c r="F23" s="150">
        <v>761</v>
      </c>
      <c r="G23" s="151">
        <v>762.5</v>
      </c>
      <c r="H23" s="151">
        <v>762.6</v>
      </c>
      <c r="I23" s="152">
        <v>759.9</v>
      </c>
      <c r="J23" s="153">
        <v>769.5</v>
      </c>
      <c r="K23" s="180"/>
      <c r="L23" s="181"/>
    </row>
    <row r="24" spans="1:12" ht="13.35" customHeight="1" x14ac:dyDescent="0.25">
      <c r="A24" s="179" t="s">
        <v>194</v>
      </c>
      <c r="B24" s="147">
        <v>966.3</v>
      </c>
      <c r="C24" s="148">
        <v>946.8</v>
      </c>
      <c r="D24" s="148">
        <v>945.8</v>
      </c>
      <c r="E24" s="149">
        <v>966</v>
      </c>
      <c r="F24" s="150">
        <v>943.8</v>
      </c>
      <c r="G24" s="151">
        <v>949.2</v>
      </c>
      <c r="H24" s="151">
        <v>942</v>
      </c>
      <c r="I24" s="152">
        <v>939.8</v>
      </c>
      <c r="J24" s="153">
        <v>952.3</v>
      </c>
      <c r="K24" s="180"/>
      <c r="L24" s="181"/>
    </row>
    <row r="25" spans="1:12" ht="13.35" customHeight="1" x14ac:dyDescent="0.25">
      <c r="A25" s="182" t="s">
        <v>195</v>
      </c>
      <c r="B25" s="183">
        <v>76.900000000000006</v>
      </c>
      <c r="C25" s="184">
        <v>75.3</v>
      </c>
      <c r="D25" s="184">
        <v>74.7</v>
      </c>
      <c r="E25" s="185">
        <v>74.599999999999994</v>
      </c>
      <c r="F25" s="186">
        <v>73.599999999999994</v>
      </c>
      <c r="G25" s="187">
        <v>72.7</v>
      </c>
      <c r="H25" s="187">
        <v>70.599999999999994</v>
      </c>
      <c r="I25" s="188">
        <v>70</v>
      </c>
      <c r="J25" s="189">
        <v>68.8</v>
      </c>
      <c r="K25" s="190"/>
      <c r="L25" s="191"/>
    </row>
    <row r="26" spans="1:12" ht="13.35" customHeight="1" x14ac:dyDescent="0.25">
      <c r="A26" s="115" t="s">
        <v>196</v>
      </c>
      <c r="B26" s="116"/>
      <c r="C26" s="117"/>
      <c r="D26" s="117"/>
      <c r="E26" s="118"/>
      <c r="F26" s="116"/>
      <c r="G26" s="164"/>
      <c r="H26" s="164"/>
      <c r="I26" s="165"/>
      <c r="J26" s="166"/>
      <c r="K26" s="116"/>
      <c r="L26" s="164"/>
    </row>
    <row r="27" spans="1:12" ht="13.35" customHeight="1" x14ac:dyDescent="0.25">
      <c r="A27" s="169" t="s">
        <v>197</v>
      </c>
      <c r="B27" s="192">
        <v>7244</v>
      </c>
      <c r="C27" s="193">
        <v>6890</v>
      </c>
      <c r="D27" s="193">
        <v>6849</v>
      </c>
      <c r="E27" s="194">
        <v>7064</v>
      </c>
      <c r="F27" s="195">
        <v>6739</v>
      </c>
      <c r="G27" s="196">
        <v>6489</v>
      </c>
      <c r="H27" s="196">
        <v>6399</v>
      </c>
      <c r="I27" s="197">
        <v>6119</v>
      </c>
      <c r="J27" s="198">
        <v>5726</v>
      </c>
      <c r="K27" s="199"/>
      <c r="L27" s="200"/>
    </row>
    <row r="28" spans="1:12" ht="13.35" customHeight="1" x14ac:dyDescent="0.25">
      <c r="A28" s="129" t="s">
        <v>198</v>
      </c>
      <c r="B28" s="146">
        <v>0.93</v>
      </c>
      <c r="C28" s="139">
        <v>0.9</v>
      </c>
      <c r="D28" s="139">
        <v>0.9</v>
      </c>
      <c r="E28" s="140">
        <v>0.91</v>
      </c>
      <c r="F28" s="201">
        <v>0.88</v>
      </c>
      <c r="G28" s="202">
        <v>0.84</v>
      </c>
      <c r="H28" s="202">
        <v>0.83</v>
      </c>
      <c r="I28" s="203">
        <v>0.8</v>
      </c>
      <c r="J28" s="204">
        <v>0.74</v>
      </c>
      <c r="K28" s="205"/>
      <c r="L28" s="206"/>
    </row>
    <row r="29" spans="1:12" ht="13.35" customHeight="1" x14ac:dyDescent="0.25">
      <c r="A29" s="179" t="s">
        <v>199</v>
      </c>
      <c r="B29" s="130">
        <v>4903</v>
      </c>
      <c r="C29" s="131">
        <v>4656</v>
      </c>
      <c r="D29" s="131">
        <v>4648</v>
      </c>
      <c r="E29" s="132">
        <v>4874</v>
      </c>
      <c r="F29" s="133">
        <v>4685</v>
      </c>
      <c r="G29" s="134">
        <v>4449</v>
      </c>
      <c r="H29" s="134">
        <v>4399</v>
      </c>
      <c r="I29" s="135">
        <v>4215</v>
      </c>
      <c r="J29" s="136">
        <v>3845</v>
      </c>
      <c r="K29" s="207"/>
      <c r="L29" s="208"/>
    </row>
    <row r="30" spans="1:12" ht="13.35" customHeight="1" x14ac:dyDescent="0.25">
      <c r="A30" s="129" t="s">
        <v>200</v>
      </c>
      <c r="B30" s="146">
        <v>0.63</v>
      </c>
      <c r="C30" s="139">
        <v>0.61</v>
      </c>
      <c r="D30" s="139">
        <v>0.61</v>
      </c>
      <c r="E30" s="140">
        <v>0.63</v>
      </c>
      <c r="F30" s="201">
        <v>0.61</v>
      </c>
      <c r="G30" s="202">
        <v>0.57999999999999996</v>
      </c>
      <c r="H30" s="202">
        <v>0.56999999999999995</v>
      </c>
      <c r="I30" s="203">
        <v>0.55000000000000004</v>
      </c>
      <c r="J30" s="204">
        <v>0.5</v>
      </c>
      <c r="K30" s="205"/>
      <c r="L30" s="206"/>
    </row>
    <row r="31" spans="1:12" ht="13.35" customHeight="1" x14ac:dyDescent="0.25">
      <c r="A31" s="179" t="s">
        <v>201</v>
      </c>
      <c r="B31" s="130">
        <v>7654</v>
      </c>
      <c r="C31" s="131">
        <v>7386</v>
      </c>
      <c r="D31" s="131">
        <v>7276</v>
      </c>
      <c r="E31" s="132">
        <v>7080</v>
      </c>
      <c r="F31" s="133">
        <v>6736</v>
      </c>
      <c r="G31" s="134">
        <v>6860</v>
      </c>
      <c r="H31" s="134">
        <v>6768</v>
      </c>
      <c r="I31" s="135">
        <v>6597</v>
      </c>
      <c r="J31" s="136">
        <v>6629</v>
      </c>
      <c r="K31" s="209"/>
      <c r="L31" s="210"/>
    </row>
    <row r="32" spans="1:12" ht="13.35" customHeight="1" x14ac:dyDescent="0.25">
      <c r="A32" s="179" t="s">
        <v>202</v>
      </c>
      <c r="B32" s="146">
        <v>0.51</v>
      </c>
      <c r="C32" s="139">
        <v>0.5</v>
      </c>
      <c r="D32" s="139">
        <v>0.5</v>
      </c>
      <c r="E32" s="140">
        <v>0.49</v>
      </c>
      <c r="F32" s="201">
        <v>0.51</v>
      </c>
      <c r="G32" s="202">
        <v>0.45</v>
      </c>
      <c r="H32" s="202">
        <v>0.48</v>
      </c>
      <c r="I32" s="203">
        <v>0.42</v>
      </c>
      <c r="J32" s="204">
        <v>0.35</v>
      </c>
      <c r="K32" s="211">
        <v>0.5</v>
      </c>
      <c r="L32" s="212">
        <v>0.46</v>
      </c>
    </row>
    <row r="33" spans="1:12" ht="13.35" customHeight="1" x14ac:dyDescent="0.25">
      <c r="A33" s="179" t="s">
        <v>203</v>
      </c>
      <c r="B33" s="130">
        <v>1113</v>
      </c>
      <c r="C33" s="131">
        <v>1041</v>
      </c>
      <c r="D33" s="131">
        <v>1398</v>
      </c>
      <c r="E33" s="132">
        <v>1162</v>
      </c>
      <c r="F33" s="133">
        <v>1030</v>
      </c>
      <c r="G33" s="134">
        <v>1052</v>
      </c>
      <c r="H33" s="134">
        <v>1007</v>
      </c>
      <c r="I33" s="135">
        <v>962</v>
      </c>
      <c r="J33" s="136">
        <v>1256</v>
      </c>
      <c r="K33" s="137">
        <v>4714</v>
      </c>
      <c r="L33" s="131">
        <v>4051</v>
      </c>
    </row>
    <row r="34" spans="1:12" ht="13.35" customHeight="1" x14ac:dyDescent="0.25">
      <c r="A34" s="179" t="s">
        <v>204</v>
      </c>
      <c r="B34" s="130">
        <v>1113</v>
      </c>
      <c r="C34" s="131">
        <v>1041</v>
      </c>
      <c r="D34" s="131">
        <v>1397</v>
      </c>
      <c r="E34" s="132">
        <v>1162</v>
      </c>
      <c r="F34" s="133">
        <v>1030</v>
      </c>
      <c r="G34" s="134">
        <v>1052</v>
      </c>
      <c r="H34" s="134">
        <v>1009</v>
      </c>
      <c r="I34" s="135">
        <v>963</v>
      </c>
      <c r="J34" s="136">
        <v>1254</v>
      </c>
      <c r="K34" s="137">
        <v>4713</v>
      </c>
      <c r="L34" s="131">
        <v>4054</v>
      </c>
    </row>
    <row r="35" spans="1:12" ht="13.35" customHeight="1" x14ac:dyDescent="0.25">
      <c r="A35" s="179" t="s">
        <v>205</v>
      </c>
      <c r="B35" s="146">
        <v>0.57999999999999996</v>
      </c>
      <c r="C35" s="139">
        <v>0.55000000000000004</v>
      </c>
      <c r="D35" s="139">
        <v>0.75</v>
      </c>
      <c r="E35" s="140">
        <v>0.6</v>
      </c>
      <c r="F35" s="201">
        <v>0.54</v>
      </c>
      <c r="G35" s="202">
        <v>0.55000000000000004</v>
      </c>
      <c r="H35" s="202">
        <v>0.54</v>
      </c>
      <c r="I35" s="203">
        <v>0.5</v>
      </c>
      <c r="J35" s="204">
        <v>0.65</v>
      </c>
      <c r="K35" s="145">
        <v>0.62</v>
      </c>
      <c r="L35" s="139">
        <v>0.53</v>
      </c>
    </row>
    <row r="36" spans="1:12" ht="13.35" customHeight="1" x14ac:dyDescent="0.25">
      <c r="A36" s="179" t="s">
        <v>206</v>
      </c>
      <c r="B36" s="146">
        <v>0.54</v>
      </c>
      <c r="C36" s="139">
        <v>0.51</v>
      </c>
      <c r="D36" s="139">
        <v>0.56999999999999995</v>
      </c>
      <c r="E36" s="140">
        <v>0.55000000000000004</v>
      </c>
      <c r="F36" s="201">
        <v>0.55000000000000004</v>
      </c>
      <c r="G36" s="202">
        <v>0.51</v>
      </c>
      <c r="H36" s="202">
        <v>0.52</v>
      </c>
      <c r="I36" s="203">
        <v>0.49</v>
      </c>
      <c r="J36" s="204">
        <v>0.42</v>
      </c>
      <c r="K36" s="145">
        <v>0.54</v>
      </c>
      <c r="L36" s="139">
        <v>0.52</v>
      </c>
    </row>
    <row r="37" spans="1:12" ht="13.35" customHeight="1" x14ac:dyDescent="0.25">
      <c r="A37" s="115" t="s">
        <v>207</v>
      </c>
      <c r="B37" s="116"/>
      <c r="C37" s="117"/>
      <c r="D37" s="117"/>
      <c r="E37" s="118"/>
      <c r="F37" s="116"/>
      <c r="G37" s="164"/>
      <c r="H37" s="164"/>
      <c r="I37" s="165"/>
      <c r="J37" s="166"/>
      <c r="K37" s="167"/>
      <c r="L37" s="168"/>
    </row>
    <row r="38" spans="1:12" ht="13.35" customHeight="1" x14ac:dyDescent="0.25">
      <c r="A38" s="169" t="s">
        <v>208</v>
      </c>
      <c r="B38" s="170">
        <v>13.2</v>
      </c>
      <c r="C38" s="171">
        <v>13.3</v>
      </c>
      <c r="D38" s="171">
        <v>13.2</v>
      </c>
      <c r="E38" s="172">
        <v>12.9</v>
      </c>
      <c r="F38" s="173">
        <v>13.1</v>
      </c>
      <c r="G38" s="174">
        <v>13.3</v>
      </c>
      <c r="H38" s="174">
        <v>13.2</v>
      </c>
      <c r="I38" s="175">
        <v>12.9</v>
      </c>
      <c r="J38" s="176">
        <v>13</v>
      </c>
      <c r="K38" s="177"/>
      <c r="L38" s="178"/>
    </row>
    <row r="39" spans="1:12" ht="13.35" customHeight="1" x14ac:dyDescent="0.25">
      <c r="A39" s="179" t="s">
        <v>209</v>
      </c>
      <c r="B39" s="147">
        <v>15.3</v>
      </c>
      <c r="C39" s="148">
        <v>15.2</v>
      </c>
      <c r="D39" s="148">
        <v>15.4</v>
      </c>
      <c r="E39" s="149">
        <v>15.1</v>
      </c>
      <c r="F39" s="150">
        <v>15</v>
      </c>
      <c r="G39" s="151">
        <v>15.3</v>
      </c>
      <c r="H39" s="151">
        <v>15.2</v>
      </c>
      <c r="I39" s="152">
        <v>14.8</v>
      </c>
      <c r="J39" s="153">
        <v>14.8</v>
      </c>
      <c r="K39" s="180"/>
      <c r="L39" s="181"/>
    </row>
    <row r="40" spans="1:12" ht="13.35" customHeight="1" x14ac:dyDescent="0.25">
      <c r="A40" s="179" t="s">
        <v>210</v>
      </c>
      <c r="B40" s="147">
        <v>17.100000000000001</v>
      </c>
      <c r="C40" s="148">
        <v>16.899999999999999</v>
      </c>
      <c r="D40" s="148">
        <v>17.100000000000001</v>
      </c>
      <c r="E40" s="149">
        <v>16.8</v>
      </c>
      <c r="F40" s="150">
        <v>16.7</v>
      </c>
      <c r="G40" s="151">
        <v>17.100000000000001</v>
      </c>
      <c r="H40" s="151">
        <v>17.100000000000001</v>
      </c>
      <c r="I40" s="152">
        <v>16.7</v>
      </c>
      <c r="J40" s="153">
        <v>17.2</v>
      </c>
      <c r="K40" s="180"/>
      <c r="L40" s="181"/>
    </row>
    <row r="41" spans="1:12" ht="13.35" customHeight="1" x14ac:dyDescent="0.25">
      <c r="A41" s="179" t="s">
        <v>211</v>
      </c>
      <c r="B41" s="147">
        <v>4.5</v>
      </c>
      <c r="C41" s="148">
        <v>4.5</v>
      </c>
      <c r="D41" s="148">
        <v>4.5</v>
      </c>
      <c r="E41" s="149">
        <v>4.4000000000000004</v>
      </c>
      <c r="F41" s="150">
        <v>4.4000000000000004</v>
      </c>
      <c r="G41" s="151">
        <v>4.5</v>
      </c>
      <c r="H41" s="151">
        <v>4.4000000000000004</v>
      </c>
      <c r="I41" s="152">
        <v>4.3</v>
      </c>
      <c r="J41" s="153">
        <v>4.2</v>
      </c>
      <c r="K41" s="180"/>
      <c r="L41" s="181"/>
    </row>
    <row r="42" spans="1:12" ht="13.35" customHeight="1" x14ac:dyDescent="0.25">
      <c r="A42" s="179" t="s">
        <v>212</v>
      </c>
      <c r="B42" s="130">
        <v>474453</v>
      </c>
      <c r="C42" s="131">
        <v>463484</v>
      </c>
      <c r="D42" s="131">
        <v>458989</v>
      </c>
      <c r="E42" s="132">
        <v>468124</v>
      </c>
      <c r="F42" s="133">
        <v>463992</v>
      </c>
      <c r="G42" s="134">
        <v>453658</v>
      </c>
      <c r="H42" s="134">
        <v>450191</v>
      </c>
      <c r="I42" s="135">
        <v>451018</v>
      </c>
      <c r="J42" s="136">
        <v>440017</v>
      </c>
      <c r="K42" s="213"/>
      <c r="L42" s="214"/>
    </row>
    <row r="43" spans="1:12" ht="13.35" customHeight="1" x14ac:dyDescent="0.25">
      <c r="A43" s="179" t="s">
        <v>213</v>
      </c>
      <c r="B43" s="130">
        <v>116</v>
      </c>
      <c r="C43" s="131">
        <v>119.78</v>
      </c>
      <c r="D43" s="131">
        <v>120</v>
      </c>
      <c r="E43" s="132">
        <v>117</v>
      </c>
      <c r="F43" s="137">
        <v>119</v>
      </c>
      <c r="G43" s="131">
        <v>117</v>
      </c>
      <c r="H43" s="131">
        <v>117</v>
      </c>
      <c r="I43" s="132">
        <v>117</v>
      </c>
      <c r="J43" s="215">
        <v>116</v>
      </c>
      <c r="K43" s="207"/>
      <c r="L43" s="208"/>
    </row>
    <row r="44" spans="1:12" ht="13.35" customHeight="1" x14ac:dyDescent="0.25">
      <c r="A44" s="179" t="s">
        <v>214</v>
      </c>
      <c r="B44" s="130">
        <v>128</v>
      </c>
      <c r="C44" s="131">
        <v>126</v>
      </c>
      <c r="D44" s="131">
        <v>131</v>
      </c>
      <c r="E44" s="132">
        <v>128</v>
      </c>
      <c r="F44" s="133">
        <v>131</v>
      </c>
      <c r="G44" s="134">
        <v>133</v>
      </c>
      <c r="H44" s="134">
        <v>129</v>
      </c>
      <c r="I44" s="135">
        <v>132</v>
      </c>
      <c r="J44" s="136">
        <v>136</v>
      </c>
      <c r="K44" s="207"/>
      <c r="L44" s="208"/>
    </row>
    <row r="45" spans="1:12" ht="13.35" customHeight="1" x14ac:dyDescent="0.25">
      <c r="A45" s="179" t="s">
        <v>215</v>
      </c>
      <c r="B45" s="147">
        <v>8.5</v>
      </c>
      <c r="C45" s="148">
        <v>8.6</v>
      </c>
      <c r="D45" s="148">
        <v>8.9</v>
      </c>
      <c r="E45" s="149">
        <v>8.5</v>
      </c>
      <c r="F45" s="150">
        <v>8.8000000000000007</v>
      </c>
      <c r="G45" s="151">
        <v>8.5</v>
      </c>
      <c r="H45" s="151">
        <v>8.4</v>
      </c>
      <c r="I45" s="152">
        <v>8.4</v>
      </c>
      <c r="J45" s="153">
        <v>8.6</v>
      </c>
      <c r="K45" s="213"/>
      <c r="L45" s="214"/>
    </row>
    <row r="46" spans="1:12" ht="13.35" customHeight="1" x14ac:dyDescent="0.25">
      <c r="A46" s="216" t="s">
        <v>216</v>
      </c>
      <c r="B46" s="217">
        <v>29.1</v>
      </c>
      <c r="C46" s="218">
        <v>29</v>
      </c>
      <c r="D46" s="218">
        <v>30.3</v>
      </c>
      <c r="E46" s="219">
        <v>28.8</v>
      </c>
      <c r="F46" s="220">
        <v>29.7</v>
      </c>
      <c r="G46" s="218">
        <v>29.1</v>
      </c>
      <c r="H46" s="218">
        <v>28.9</v>
      </c>
      <c r="I46" s="219">
        <v>28.9</v>
      </c>
      <c r="J46" s="221">
        <v>30.6</v>
      </c>
      <c r="K46" s="222"/>
      <c r="L46" s="223"/>
    </row>
    <row r="47" spans="1:12" ht="13.35" customHeight="1" x14ac:dyDescent="0.25">
      <c r="A47" s="2826"/>
      <c r="B47" s="2826" t="s">
        <v>15</v>
      </c>
      <c r="C47" s="2826" t="s">
        <v>15</v>
      </c>
      <c r="D47" s="2826" t="s">
        <v>15</v>
      </c>
      <c r="E47" s="2826" t="s">
        <v>15</v>
      </c>
      <c r="F47" s="2826" t="s">
        <v>15</v>
      </c>
      <c r="G47" s="2826" t="s">
        <v>15</v>
      </c>
      <c r="H47" s="2826" t="s">
        <v>15</v>
      </c>
      <c r="I47" s="2826" t="s">
        <v>15</v>
      </c>
      <c r="J47" s="2826" t="s">
        <v>15</v>
      </c>
      <c r="K47" s="2826" t="s">
        <v>15</v>
      </c>
      <c r="L47" s="2826" t="s">
        <v>15</v>
      </c>
    </row>
    <row r="48" spans="1:12" ht="9" customHeight="1" x14ac:dyDescent="0.25">
      <c r="A48" s="2822" t="s">
        <v>217</v>
      </c>
      <c r="B48" s="2822" t="s">
        <v>15</v>
      </c>
      <c r="C48" s="2822" t="s">
        <v>15</v>
      </c>
      <c r="D48" s="2822" t="s">
        <v>15</v>
      </c>
      <c r="E48" s="2822" t="s">
        <v>15</v>
      </c>
      <c r="F48" s="2822" t="s">
        <v>15</v>
      </c>
      <c r="G48" s="2822" t="s">
        <v>15</v>
      </c>
      <c r="H48" s="2822" t="s">
        <v>15</v>
      </c>
      <c r="I48" s="2822" t="s">
        <v>15</v>
      </c>
      <c r="J48" s="2822" t="s">
        <v>15</v>
      </c>
      <c r="K48" s="2822" t="s">
        <v>15</v>
      </c>
      <c r="L48" s="2822" t="s">
        <v>15</v>
      </c>
    </row>
    <row r="49" spans="1:12" ht="9" customHeight="1" x14ac:dyDescent="0.25">
      <c r="A49" s="2822" t="s">
        <v>218</v>
      </c>
      <c r="B49" s="2822" t="s">
        <v>15</v>
      </c>
      <c r="C49" s="2822" t="s">
        <v>15</v>
      </c>
      <c r="D49" s="2822" t="s">
        <v>15</v>
      </c>
      <c r="E49" s="2822" t="s">
        <v>15</v>
      </c>
      <c r="F49" s="2822" t="s">
        <v>15</v>
      </c>
      <c r="G49" s="2822" t="s">
        <v>15</v>
      </c>
      <c r="H49" s="2822" t="s">
        <v>15</v>
      </c>
      <c r="I49" s="2822" t="s">
        <v>15</v>
      </c>
      <c r="J49" s="2822" t="s">
        <v>15</v>
      </c>
      <c r="K49" s="2822" t="s">
        <v>15</v>
      </c>
      <c r="L49" s="2822" t="s">
        <v>15</v>
      </c>
    </row>
    <row r="50" spans="1:12" ht="9" customHeight="1" x14ac:dyDescent="0.25">
      <c r="A50" s="2822" t="s">
        <v>219</v>
      </c>
      <c r="B50" s="2822" t="s">
        <v>15</v>
      </c>
      <c r="C50" s="2822" t="s">
        <v>15</v>
      </c>
      <c r="D50" s="2822" t="s">
        <v>15</v>
      </c>
      <c r="E50" s="2822" t="s">
        <v>15</v>
      </c>
      <c r="F50" s="2822" t="s">
        <v>15</v>
      </c>
      <c r="G50" s="2822" t="s">
        <v>15</v>
      </c>
      <c r="H50" s="2822" t="s">
        <v>15</v>
      </c>
      <c r="I50" s="2822" t="s">
        <v>15</v>
      </c>
      <c r="J50" s="2822" t="s">
        <v>15</v>
      </c>
      <c r="K50" s="2822" t="s">
        <v>15</v>
      </c>
      <c r="L50" s="2822" t="s">
        <v>15</v>
      </c>
    </row>
    <row r="51" spans="1:12" ht="9" customHeight="1" x14ac:dyDescent="0.25">
      <c r="A51" s="2822" t="s">
        <v>220</v>
      </c>
      <c r="B51" s="2822" t="s">
        <v>15</v>
      </c>
      <c r="C51" s="2822" t="s">
        <v>15</v>
      </c>
      <c r="D51" s="2822" t="s">
        <v>15</v>
      </c>
      <c r="E51" s="2822" t="s">
        <v>15</v>
      </c>
      <c r="F51" s="2822" t="s">
        <v>15</v>
      </c>
      <c r="G51" s="2822" t="s">
        <v>15</v>
      </c>
      <c r="H51" s="2822" t="s">
        <v>15</v>
      </c>
      <c r="I51" s="2822" t="s">
        <v>15</v>
      </c>
      <c r="J51" s="2822" t="s">
        <v>15</v>
      </c>
      <c r="K51" s="2822" t="s">
        <v>15</v>
      </c>
      <c r="L51" s="2822" t="s">
        <v>15</v>
      </c>
    </row>
    <row r="52" spans="1:12" ht="9" customHeight="1" x14ac:dyDescent="0.25">
      <c r="A52" s="2822" t="s">
        <v>221</v>
      </c>
      <c r="B52" s="2822" t="s">
        <v>15</v>
      </c>
      <c r="C52" s="2822" t="s">
        <v>15</v>
      </c>
      <c r="D52" s="2822" t="s">
        <v>15</v>
      </c>
      <c r="E52" s="2822" t="s">
        <v>15</v>
      </c>
      <c r="F52" s="2822" t="s">
        <v>15</v>
      </c>
      <c r="G52" s="2822" t="s">
        <v>15</v>
      </c>
      <c r="H52" s="2822" t="s">
        <v>15</v>
      </c>
      <c r="I52" s="2822" t="s">
        <v>15</v>
      </c>
      <c r="J52" s="2822" t="s">
        <v>15</v>
      </c>
      <c r="K52" s="2822" t="s">
        <v>15</v>
      </c>
      <c r="L52" s="2822" t="s">
        <v>15</v>
      </c>
    </row>
    <row r="53" spans="1:12" ht="9" customHeight="1" x14ac:dyDescent="0.25">
      <c r="A53" s="2827" t="s">
        <v>222</v>
      </c>
      <c r="B53" s="2822" t="s">
        <v>15</v>
      </c>
      <c r="C53" s="2822" t="s">
        <v>15</v>
      </c>
      <c r="D53" s="2822" t="s">
        <v>15</v>
      </c>
      <c r="E53" s="2822" t="s">
        <v>15</v>
      </c>
      <c r="F53" s="2822" t="s">
        <v>15</v>
      </c>
      <c r="G53" s="2822" t="s">
        <v>15</v>
      </c>
      <c r="H53" s="2822" t="s">
        <v>15</v>
      </c>
      <c r="I53" s="2822" t="s">
        <v>15</v>
      </c>
      <c r="J53" s="2822" t="s">
        <v>15</v>
      </c>
      <c r="K53" s="2822" t="s">
        <v>15</v>
      </c>
      <c r="L53" s="2822" t="s">
        <v>15</v>
      </c>
    </row>
    <row r="54" spans="1:12" ht="9" customHeight="1" x14ac:dyDescent="0.25">
      <c r="A54" s="2822" t="s">
        <v>223</v>
      </c>
      <c r="B54" s="2822" t="s">
        <v>15</v>
      </c>
      <c r="C54" s="2822" t="s">
        <v>15</v>
      </c>
      <c r="D54" s="2822" t="s">
        <v>15</v>
      </c>
      <c r="E54" s="2822" t="s">
        <v>15</v>
      </c>
      <c r="F54" s="2822" t="s">
        <v>15</v>
      </c>
      <c r="G54" s="2822" t="s">
        <v>15</v>
      </c>
      <c r="H54" s="2822" t="s">
        <v>15</v>
      </c>
      <c r="I54" s="2822" t="s">
        <v>15</v>
      </c>
      <c r="J54" s="2822" t="s">
        <v>15</v>
      </c>
      <c r="K54" s="2822" t="s">
        <v>15</v>
      </c>
      <c r="L54" s="2822" t="s">
        <v>15</v>
      </c>
    </row>
    <row r="55" spans="1:12" ht="9" customHeight="1" x14ac:dyDescent="0.25">
      <c r="A55" s="2822" t="s">
        <v>224</v>
      </c>
      <c r="B55" s="2822" t="s">
        <v>15</v>
      </c>
      <c r="C55" s="2822" t="s">
        <v>15</v>
      </c>
      <c r="D55" s="2822" t="s">
        <v>15</v>
      </c>
      <c r="E55" s="2822" t="s">
        <v>15</v>
      </c>
      <c r="F55" s="2822" t="s">
        <v>15</v>
      </c>
      <c r="G55" s="2822" t="s">
        <v>15</v>
      </c>
      <c r="H55" s="2822" t="s">
        <v>15</v>
      </c>
      <c r="I55" s="2822" t="s">
        <v>15</v>
      </c>
      <c r="J55" s="2822" t="s">
        <v>15</v>
      </c>
      <c r="K55" s="2822" t="s">
        <v>15</v>
      </c>
      <c r="L55" s="2822" t="s">
        <v>15</v>
      </c>
    </row>
    <row r="56" spans="1:12" ht="9" customHeight="1" x14ac:dyDescent="0.25">
      <c r="A56" s="2822" t="s">
        <v>225</v>
      </c>
      <c r="B56" s="2822" t="s">
        <v>15</v>
      </c>
      <c r="C56" s="2822" t="s">
        <v>15</v>
      </c>
      <c r="D56" s="2822" t="s">
        <v>15</v>
      </c>
      <c r="E56" s="2822" t="s">
        <v>15</v>
      </c>
      <c r="F56" s="2822" t="s">
        <v>15</v>
      </c>
      <c r="G56" s="2822" t="s">
        <v>15</v>
      </c>
      <c r="H56" s="2822" t="s">
        <v>15</v>
      </c>
      <c r="I56" s="2822" t="s">
        <v>15</v>
      </c>
      <c r="J56" s="2822" t="s">
        <v>15</v>
      </c>
      <c r="K56" s="2822" t="s">
        <v>15</v>
      </c>
      <c r="L56" s="2822" t="s">
        <v>15</v>
      </c>
    </row>
  </sheetData>
  <mergeCells count="12">
    <mergeCell ref="A56:L56"/>
    <mergeCell ref="A2:L2"/>
    <mergeCell ref="K3:L3"/>
    <mergeCell ref="A47:L47"/>
    <mergeCell ref="A48:L48"/>
    <mergeCell ref="A49:L49"/>
    <mergeCell ref="A50:L50"/>
    <mergeCell ref="A51:L51"/>
    <mergeCell ref="A52:L52"/>
    <mergeCell ref="A53:L53"/>
    <mergeCell ref="A54:L54"/>
    <mergeCell ref="A55:L55"/>
  </mergeCells>
  <hyperlinks>
    <hyperlink ref="A1" location="ToC!A2" display="Back to Table of Contents" xr:uid="{54ED01B2-B494-4D34-AF16-19B16057B391}"/>
  </hyperlinks>
  <pageMargins left="0.5" right="0.5" top="0.5" bottom="0.5" header="0.25" footer="0.25"/>
  <pageSetup scale="63" orientation="landscape" r:id="rId1"/>
  <headerFooter>
    <oddFooter>&amp;L&amp;G&amp;C&amp;"Scotia,Regular"&amp;9Supplementary Financial Information (SFI)&amp;R1&amp;"Scotia,Regular"&amp;7</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44F60-574D-4815-9FE1-CD0CFEE3A198}">
  <sheetPr>
    <pageSetUpPr fitToPage="1"/>
  </sheetPr>
  <dimension ref="A1:L43"/>
  <sheetViews>
    <sheetView showGridLines="0" zoomScaleNormal="100" workbookViewId="0"/>
  </sheetViews>
  <sheetFormatPr defaultColWidth="8.77734375" defaultRowHeight="13.2" x14ac:dyDescent="0.25"/>
  <cols>
    <col min="1" max="1" width="61.77734375" style="23" customWidth="1"/>
    <col min="2" max="12" width="9.44140625" style="23" customWidth="1"/>
    <col min="13" max="16384" width="8.77734375" style="23"/>
  </cols>
  <sheetData>
    <row r="1" spans="1:12" ht="19.95" customHeight="1" x14ac:dyDescent="0.25">
      <c r="A1" s="22" t="s">
        <v>12</v>
      </c>
    </row>
    <row r="2" spans="1:12" ht="24.6" customHeight="1" x14ac:dyDescent="0.25">
      <c r="A2" s="2823" t="s">
        <v>226</v>
      </c>
      <c r="B2" s="2828" t="s">
        <v>15</v>
      </c>
      <c r="C2" s="2828" t="s">
        <v>15</v>
      </c>
      <c r="D2" s="2828" t="s">
        <v>15</v>
      </c>
      <c r="E2" s="2828" t="s">
        <v>15</v>
      </c>
      <c r="F2" s="2823" t="s">
        <v>15</v>
      </c>
      <c r="G2" s="2823" t="s">
        <v>15</v>
      </c>
      <c r="H2" s="2823" t="s">
        <v>15</v>
      </c>
      <c r="I2" s="2823" t="s">
        <v>15</v>
      </c>
      <c r="J2" s="2823" t="s">
        <v>15</v>
      </c>
      <c r="K2" s="2828" t="s">
        <v>15</v>
      </c>
      <c r="L2" s="2828" t="s">
        <v>15</v>
      </c>
    </row>
    <row r="3" spans="1:12" ht="13.35" customHeight="1" x14ac:dyDescent="0.25">
      <c r="A3" s="107"/>
      <c r="B3" s="226"/>
      <c r="C3" s="227"/>
      <c r="D3" s="227"/>
      <c r="E3" s="228"/>
      <c r="F3" s="111"/>
      <c r="G3" s="112"/>
      <c r="H3" s="112"/>
      <c r="I3" s="113"/>
      <c r="J3" s="114"/>
      <c r="K3" s="2829" t="s">
        <v>163</v>
      </c>
      <c r="L3" s="2830" t="s">
        <v>15</v>
      </c>
    </row>
    <row r="4" spans="1:12" ht="13.35" customHeight="1" x14ac:dyDescent="0.25">
      <c r="A4" s="107"/>
      <c r="B4" s="229" t="s">
        <v>165</v>
      </c>
      <c r="C4" s="230" t="s">
        <v>166</v>
      </c>
      <c r="D4" s="230" t="s">
        <v>167</v>
      </c>
      <c r="E4" s="231" t="s">
        <v>168</v>
      </c>
      <c r="F4" s="232" t="s">
        <v>169</v>
      </c>
      <c r="G4" s="230" t="s">
        <v>170</v>
      </c>
      <c r="H4" s="230" t="s">
        <v>171</v>
      </c>
      <c r="I4" s="231" t="s">
        <v>172</v>
      </c>
      <c r="J4" s="233" t="s">
        <v>173</v>
      </c>
      <c r="K4" s="234" t="s">
        <v>174</v>
      </c>
      <c r="L4" s="121" t="s">
        <v>175</v>
      </c>
    </row>
    <row r="5" spans="1:12" ht="13.35" customHeight="1" x14ac:dyDescent="0.25">
      <c r="A5" s="235" t="s">
        <v>227</v>
      </c>
      <c r="B5" s="108"/>
      <c r="C5" s="112"/>
      <c r="D5" s="236"/>
      <c r="E5" s="237"/>
      <c r="F5" s="111"/>
      <c r="G5" s="112"/>
      <c r="H5" s="112"/>
      <c r="I5" s="113"/>
      <c r="J5" s="238"/>
      <c r="K5" s="239"/>
      <c r="L5" s="112"/>
    </row>
    <row r="6" spans="1:12" ht="13.35" customHeight="1" x14ac:dyDescent="0.25">
      <c r="A6" s="169" t="s">
        <v>228</v>
      </c>
      <c r="B6" s="240">
        <v>62.22</v>
      </c>
      <c r="C6" s="241">
        <v>60.57</v>
      </c>
      <c r="D6" s="241">
        <v>59.96</v>
      </c>
      <c r="E6" s="242">
        <v>59.86</v>
      </c>
      <c r="F6" s="243">
        <v>59.14</v>
      </c>
      <c r="G6" s="244">
        <v>58.78</v>
      </c>
      <c r="H6" s="244">
        <v>57.4</v>
      </c>
      <c r="I6" s="245">
        <v>57.26</v>
      </c>
      <c r="J6" s="246">
        <v>56.64</v>
      </c>
      <c r="K6" s="247">
        <v>62.22</v>
      </c>
      <c r="L6" s="248">
        <v>59.14</v>
      </c>
    </row>
    <row r="7" spans="1:12" ht="13.35" customHeight="1" x14ac:dyDescent="0.25">
      <c r="A7" s="179"/>
      <c r="B7" s="249"/>
      <c r="C7" s="250"/>
      <c r="D7" s="250"/>
      <c r="E7" s="251"/>
      <c r="F7" s="252"/>
      <c r="G7" s="253"/>
      <c r="H7" s="253"/>
      <c r="I7" s="254"/>
      <c r="J7" s="255"/>
      <c r="K7" s="256"/>
      <c r="L7" s="253"/>
    </row>
    <row r="8" spans="1:12" ht="13.35" customHeight="1" x14ac:dyDescent="0.25">
      <c r="A8" s="179" t="s">
        <v>229</v>
      </c>
      <c r="B8" s="249"/>
      <c r="C8" s="250"/>
      <c r="D8" s="250"/>
      <c r="E8" s="251"/>
      <c r="F8" s="252"/>
      <c r="G8" s="253"/>
      <c r="H8" s="253"/>
      <c r="I8" s="254"/>
      <c r="J8" s="255"/>
      <c r="K8" s="256"/>
      <c r="L8" s="253"/>
    </row>
    <row r="9" spans="1:12" ht="13.35" customHeight="1" x14ac:dyDescent="0.25">
      <c r="A9" s="129" t="s">
        <v>230</v>
      </c>
      <c r="B9" s="146">
        <v>92.16</v>
      </c>
      <c r="C9" s="139">
        <v>77.95</v>
      </c>
      <c r="D9" s="139">
        <v>73.13</v>
      </c>
      <c r="E9" s="140">
        <v>80.14</v>
      </c>
      <c r="F9" s="141">
        <v>74.290000000000006</v>
      </c>
      <c r="G9" s="142">
        <v>66.31</v>
      </c>
      <c r="H9" s="142">
        <v>70.400000000000006</v>
      </c>
      <c r="I9" s="143">
        <v>64.59</v>
      </c>
      <c r="J9" s="257">
        <v>66.319999999999993</v>
      </c>
      <c r="K9" s="258">
        <v>92.16</v>
      </c>
      <c r="L9" s="142">
        <v>74.290000000000006</v>
      </c>
    </row>
    <row r="10" spans="1:12" ht="13.35" customHeight="1" x14ac:dyDescent="0.25">
      <c r="A10" s="129" t="s">
        <v>231</v>
      </c>
      <c r="B10" s="146">
        <v>76.08</v>
      </c>
      <c r="C10" s="139">
        <v>68.67</v>
      </c>
      <c r="D10" s="139">
        <v>62.57</v>
      </c>
      <c r="E10" s="140">
        <v>71.58</v>
      </c>
      <c r="F10" s="141">
        <v>60.68</v>
      </c>
      <c r="G10" s="142">
        <v>61.5</v>
      </c>
      <c r="H10" s="142">
        <v>61.57</v>
      </c>
      <c r="I10" s="143">
        <v>55.83</v>
      </c>
      <c r="J10" s="257">
        <v>55.2</v>
      </c>
      <c r="K10" s="258">
        <v>62.57</v>
      </c>
      <c r="L10" s="142">
        <v>55.83</v>
      </c>
    </row>
    <row r="11" spans="1:12" ht="13.35" customHeight="1" x14ac:dyDescent="0.25">
      <c r="A11" s="129" t="s">
        <v>232</v>
      </c>
      <c r="B11" s="146">
        <v>91.99</v>
      </c>
      <c r="C11" s="139">
        <v>77.09</v>
      </c>
      <c r="D11" s="139">
        <v>68.98</v>
      </c>
      <c r="E11" s="140">
        <v>74.36</v>
      </c>
      <c r="F11" s="141">
        <v>71.69</v>
      </c>
      <c r="G11" s="142">
        <v>64.47</v>
      </c>
      <c r="H11" s="142">
        <v>63.16</v>
      </c>
      <c r="I11" s="143">
        <v>62.87</v>
      </c>
      <c r="J11" s="257">
        <v>56.15</v>
      </c>
      <c r="K11" s="258">
        <v>91.99</v>
      </c>
      <c r="L11" s="142">
        <v>71.69</v>
      </c>
    </row>
    <row r="12" spans="1:12" ht="13.35" customHeight="1" x14ac:dyDescent="0.25">
      <c r="A12" s="129"/>
      <c r="B12" s="259"/>
      <c r="C12" s="260"/>
      <c r="D12" s="260"/>
      <c r="E12" s="261"/>
      <c r="F12" s="262"/>
      <c r="G12" s="263"/>
      <c r="H12" s="263"/>
      <c r="I12" s="264"/>
      <c r="J12" s="265"/>
      <c r="K12" s="266"/>
      <c r="L12" s="263"/>
    </row>
    <row r="13" spans="1:12" ht="13.35" customHeight="1" x14ac:dyDescent="0.25">
      <c r="A13" s="179" t="s">
        <v>233</v>
      </c>
      <c r="B13" s="147">
        <v>147.80000000000001</v>
      </c>
      <c r="C13" s="148">
        <v>127.3</v>
      </c>
      <c r="D13" s="148">
        <v>115</v>
      </c>
      <c r="E13" s="149">
        <v>124.2</v>
      </c>
      <c r="F13" s="150">
        <v>121.2</v>
      </c>
      <c r="G13" s="151">
        <v>109.7</v>
      </c>
      <c r="H13" s="151">
        <v>110</v>
      </c>
      <c r="I13" s="152">
        <v>109.8</v>
      </c>
      <c r="J13" s="267">
        <v>99.1</v>
      </c>
      <c r="K13" s="268">
        <v>147.80000000000001</v>
      </c>
      <c r="L13" s="148">
        <v>121.2</v>
      </c>
    </row>
    <row r="14" spans="1:12" ht="13.35" customHeight="1" x14ac:dyDescent="0.25">
      <c r="A14" s="179" t="s">
        <v>234</v>
      </c>
      <c r="B14" s="147">
        <v>15.8</v>
      </c>
      <c r="C14" s="148">
        <v>14.4</v>
      </c>
      <c r="D14" s="148">
        <v>13.9</v>
      </c>
      <c r="E14" s="149">
        <v>14.7</v>
      </c>
      <c r="F14" s="150">
        <v>12</v>
      </c>
      <c r="G14" s="151">
        <v>11.3</v>
      </c>
      <c r="H14" s="151">
        <v>10.5</v>
      </c>
      <c r="I14" s="152">
        <v>10.3</v>
      </c>
      <c r="J14" s="267">
        <v>9.6999999999999993</v>
      </c>
      <c r="K14" s="268">
        <v>15.8</v>
      </c>
      <c r="L14" s="148">
        <v>12</v>
      </c>
    </row>
    <row r="15" spans="1:12" ht="13.35" customHeight="1" x14ac:dyDescent="0.25">
      <c r="A15" s="179" t="s">
        <v>235</v>
      </c>
      <c r="B15" s="130">
        <v>113728</v>
      </c>
      <c r="C15" s="131">
        <v>95781</v>
      </c>
      <c r="D15" s="131">
        <v>85918</v>
      </c>
      <c r="E15" s="132">
        <v>92617</v>
      </c>
      <c r="F15" s="133">
        <v>89214</v>
      </c>
      <c r="G15" s="134">
        <v>79771</v>
      </c>
      <c r="H15" s="134">
        <v>77660</v>
      </c>
      <c r="I15" s="135">
        <v>76835</v>
      </c>
      <c r="J15" s="269">
        <v>68169</v>
      </c>
      <c r="K15" s="270">
        <v>113728</v>
      </c>
      <c r="L15" s="131">
        <v>89214</v>
      </c>
    </row>
    <row r="16" spans="1:12" ht="13.35" customHeight="1" x14ac:dyDescent="0.25">
      <c r="A16" s="271"/>
      <c r="B16" s="272"/>
      <c r="C16" s="273"/>
      <c r="D16" s="273"/>
      <c r="E16" s="274"/>
      <c r="F16" s="275"/>
      <c r="G16" s="276"/>
      <c r="H16" s="276"/>
      <c r="I16" s="277"/>
      <c r="J16" s="278"/>
      <c r="K16" s="279"/>
      <c r="L16" s="273"/>
    </row>
    <row r="17" spans="1:12" ht="13.35" customHeight="1" x14ac:dyDescent="0.25">
      <c r="A17" s="235" t="s">
        <v>236</v>
      </c>
      <c r="B17" s="280"/>
      <c r="C17" s="281"/>
      <c r="D17" s="281"/>
      <c r="E17" s="282"/>
      <c r="F17" s="111"/>
      <c r="G17" s="112"/>
      <c r="H17" s="112"/>
      <c r="I17" s="113"/>
      <c r="J17" s="238"/>
      <c r="K17" s="283"/>
      <c r="L17" s="112"/>
    </row>
    <row r="18" spans="1:12" ht="13.35" customHeight="1" x14ac:dyDescent="0.25">
      <c r="A18" s="169" t="s">
        <v>237</v>
      </c>
      <c r="B18" s="284">
        <v>1361</v>
      </c>
      <c r="C18" s="193">
        <v>1367</v>
      </c>
      <c r="D18" s="193">
        <v>1321</v>
      </c>
      <c r="E18" s="194">
        <v>1320</v>
      </c>
      <c r="F18" s="195">
        <v>1312</v>
      </c>
      <c r="G18" s="196">
        <v>1304</v>
      </c>
      <c r="H18" s="196">
        <v>1295</v>
      </c>
      <c r="I18" s="197">
        <v>1287</v>
      </c>
      <c r="J18" s="285">
        <v>1278</v>
      </c>
      <c r="K18" s="286">
        <v>5369</v>
      </c>
      <c r="L18" s="193">
        <v>5198</v>
      </c>
    </row>
    <row r="19" spans="1:12" ht="13.35" customHeight="1" x14ac:dyDescent="0.25">
      <c r="A19" s="179" t="s">
        <v>238</v>
      </c>
      <c r="B19" s="146">
        <v>1.1000000000000001</v>
      </c>
      <c r="C19" s="139">
        <v>1.1000000000000001</v>
      </c>
      <c r="D19" s="139">
        <v>1.06</v>
      </c>
      <c r="E19" s="140">
        <v>1.06</v>
      </c>
      <c r="F19" s="141">
        <v>1.06</v>
      </c>
      <c r="G19" s="142">
        <v>1.06</v>
      </c>
      <c r="H19" s="142">
        <v>1.06</v>
      </c>
      <c r="I19" s="143">
        <v>1.06</v>
      </c>
      <c r="J19" s="257">
        <v>1.06</v>
      </c>
      <c r="K19" s="258">
        <v>4.32</v>
      </c>
      <c r="L19" s="139">
        <v>4.24</v>
      </c>
    </row>
    <row r="20" spans="1:12" ht="13.35" customHeight="1" x14ac:dyDescent="0.25">
      <c r="A20" s="271"/>
      <c r="B20" s="272"/>
      <c r="C20" s="273"/>
      <c r="D20" s="273"/>
      <c r="E20" s="274"/>
      <c r="F20" s="275"/>
      <c r="G20" s="276"/>
      <c r="H20" s="276"/>
      <c r="I20" s="277"/>
      <c r="J20" s="278"/>
      <c r="K20" s="279"/>
      <c r="L20" s="273"/>
    </row>
    <row r="21" spans="1:12" ht="13.35" customHeight="1" x14ac:dyDescent="0.25">
      <c r="A21" s="235" t="s">
        <v>239</v>
      </c>
      <c r="B21" s="280"/>
      <c r="C21" s="281"/>
      <c r="D21" s="281"/>
      <c r="E21" s="282"/>
      <c r="F21" s="111"/>
      <c r="G21" s="112"/>
      <c r="H21" s="112"/>
      <c r="I21" s="113"/>
      <c r="J21" s="238"/>
      <c r="K21" s="283"/>
      <c r="L21" s="112"/>
    </row>
    <row r="22" spans="1:12" ht="13.35" customHeight="1" x14ac:dyDescent="0.25">
      <c r="A22" s="169" t="s">
        <v>240</v>
      </c>
      <c r="B22" s="284">
        <v>1236</v>
      </c>
      <c r="C22" s="193">
        <v>1242</v>
      </c>
      <c r="D22" s="193">
        <v>1246</v>
      </c>
      <c r="E22" s="194">
        <v>1246</v>
      </c>
      <c r="F22" s="195">
        <v>1244</v>
      </c>
      <c r="G22" s="196">
        <v>1237</v>
      </c>
      <c r="H22" s="196">
        <v>1230</v>
      </c>
      <c r="I22" s="197">
        <v>1222</v>
      </c>
      <c r="J22" s="285">
        <v>1214</v>
      </c>
      <c r="K22" s="287"/>
      <c r="L22" s="288"/>
    </row>
    <row r="23" spans="1:12" ht="13.35" customHeight="1" x14ac:dyDescent="0.25">
      <c r="A23" s="179" t="s">
        <v>241</v>
      </c>
      <c r="B23" s="156"/>
      <c r="C23" s="157"/>
      <c r="D23" s="157"/>
      <c r="E23" s="158"/>
      <c r="F23" s="159"/>
      <c r="G23" s="160"/>
      <c r="H23" s="160"/>
      <c r="I23" s="161"/>
      <c r="J23" s="289"/>
      <c r="K23" s="290"/>
      <c r="L23" s="157"/>
    </row>
    <row r="24" spans="1:12" ht="13.35" customHeight="1" x14ac:dyDescent="0.25">
      <c r="A24" s="129" t="s">
        <v>242</v>
      </c>
      <c r="B24" s="130">
        <v>1239</v>
      </c>
      <c r="C24" s="131">
        <v>1244</v>
      </c>
      <c r="D24" s="131">
        <v>1246</v>
      </c>
      <c r="E24" s="132">
        <v>1245</v>
      </c>
      <c r="F24" s="133">
        <v>1238</v>
      </c>
      <c r="G24" s="134">
        <v>1230</v>
      </c>
      <c r="H24" s="134">
        <v>1223</v>
      </c>
      <c r="I24" s="135">
        <v>1214</v>
      </c>
      <c r="J24" s="269">
        <v>1206</v>
      </c>
      <c r="K24" s="270">
        <v>1244</v>
      </c>
      <c r="L24" s="131">
        <v>1226</v>
      </c>
    </row>
    <row r="25" spans="1:12" ht="13.35" customHeight="1" x14ac:dyDescent="0.25">
      <c r="A25" s="129" t="s">
        <v>243</v>
      </c>
      <c r="B25" s="130">
        <v>1245</v>
      </c>
      <c r="C25" s="131">
        <v>1245</v>
      </c>
      <c r="D25" s="131">
        <v>1246</v>
      </c>
      <c r="E25" s="132">
        <v>1250</v>
      </c>
      <c r="F25" s="133">
        <v>1243</v>
      </c>
      <c r="G25" s="134">
        <v>1235</v>
      </c>
      <c r="H25" s="134">
        <v>1228</v>
      </c>
      <c r="I25" s="135">
        <v>1221</v>
      </c>
      <c r="J25" s="269">
        <v>1211</v>
      </c>
      <c r="K25" s="270">
        <v>1248</v>
      </c>
      <c r="L25" s="131">
        <v>1232</v>
      </c>
    </row>
    <row r="26" spans="1:12" ht="13.35" customHeight="1" x14ac:dyDescent="0.25">
      <c r="A26" s="182"/>
      <c r="B26" s="272"/>
      <c r="C26" s="273"/>
      <c r="D26" s="273"/>
      <c r="E26" s="274"/>
      <c r="F26" s="275"/>
      <c r="G26" s="276"/>
      <c r="H26" s="276"/>
      <c r="I26" s="277"/>
      <c r="J26" s="278"/>
      <c r="K26" s="279"/>
      <c r="L26" s="276"/>
    </row>
    <row r="27" spans="1:12" ht="13.35" customHeight="1" x14ac:dyDescent="0.25">
      <c r="A27" s="235" t="s">
        <v>244</v>
      </c>
      <c r="B27" s="280"/>
      <c r="C27" s="281"/>
      <c r="D27" s="281"/>
      <c r="E27" s="282"/>
      <c r="F27" s="111"/>
      <c r="G27" s="112"/>
      <c r="H27" s="112"/>
      <c r="I27" s="113"/>
      <c r="J27" s="238"/>
      <c r="K27" s="283"/>
      <c r="L27" s="112"/>
    </row>
    <row r="28" spans="1:12" ht="13.35" customHeight="1" x14ac:dyDescent="0.25">
      <c r="A28" s="169" t="s">
        <v>245</v>
      </c>
      <c r="B28" s="284">
        <v>86431</v>
      </c>
      <c r="C28" s="193">
        <v>87317</v>
      </c>
      <c r="D28" s="193">
        <v>86746</v>
      </c>
      <c r="E28" s="194">
        <v>88722</v>
      </c>
      <c r="F28" s="195">
        <v>88488</v>
      </c>
      <c r="G28" s="196">
        <v>89239</v>
      </c>
      <c r="H28" s="196">
        <v>89090</v>
      </c>
      <c r="I28" s="197">
        <v>89249</v>
      </c>
      <c r="J28" s="285">
        <v>89483</v>
      </c>
      <c r="K28" s="291"/>
      <c r="L28" s="200"/>
    </row>
    <row r="29" spans="1:12" ht="13.35" customHeight="1" x14ac:dyDescent="0.25">
      <c r="A29" s="179" t="s">
        <v>246</v>
      </c>
      <c r="B29" s="130">
        <v>2128</v>
      </c>
      <c r="C29" s="131">
        <v>2135</v>
      </c>
      <c r="D29" s="131">
        <v>2139</v>
      </c>
      <c r="E29" s="132">
        <v>2221</v>
      </c>
      <c r="F29" s="133">
        <v>2236</v>
      </c>
      <c r="G29" s="134">
        <v>2279</v>
      </c>
      <c r="H29" s="134">
        <v>2316</v>
      </c>
      <c r="I29" s="135">
        <v>2351</v>
      </c>
      <c r="J29" s="269">
        <v>2379</v>
      </c>
      <c r="K29" s="292"/>
      <c r="L29" s="208"/>
    </row>
    <row r="30" spans="1:12" ht="13.35" customHeight="1" x14ac:dyDescent="0.25">
      <c r="A30" s="179" t="s">
        <v>247</v>
      </c>
      <c r="B30" s="130">
        <v>8432</v>
      </c>
      <c r="C30" s="131">
        <v>8449</v>
      </c>
      <c r="D30" s="131">
        <v>8500</v>
      </c>
      <c r="E30" s="132">
        <v>8502</v>
      </c>
      <c r="F30" s="133">
        <v>8533</v>
      </c>
      <c r="G30" s="134">
        <v>8584</v>
      </c>
      <c r="H30" s="134">
        <v>8613</v>
      </c>
      <c r="I30" s="135">
        <v>8646</v>
      </c>
      <c r="J30" s="269">
        <v>8679</v>
      </c>
      <c r="K30" s="292"/>
      <c r="L30" s="208"/>
    </row>
    <row r="31" spans="1:12" ht="13.35" customHeight="1" x14ac:dyDescent="0.25">
      <c r="A31" s="271"/>
      <c r="B31" s="293"/>
      <c r="C31" s="276"/>
      <c r="D31" s="276"/>
      <c r="E31" s="277"/>
      <c r="F31" s="294"/>
      <c r="G31" s="295"/>
      <c r="H31" s="295"/>
      <c r="I31" s="296"/>
      <c r="J31" s="278"/>
      <c r="K31" s="297"/>
      <c r="L31" s="298"/>
    </row>
    <row r="32" spans="1:12" ht="13.35" customHeight="1" x14ac:dyDescent="0.25">
      <c r="A32" s="235" t="s">
        <v>248</v>
      </c>
      <c r="B32" s="299"/>
      <c r="C32" s="236"/>
      <c r="D32" s="236"/>
      <c r="E32" s="237"/>
      <c r="F32" s="111"/>
      <c r="G32" s="112"/>
      <c r="H32" s="112"/>
      <c r="I32" s="113"/>
      <c r="J32" s="238"/>
      <c r="K32" s="283"/>
      <c r="L32" s="112"/>
    </row>
    <row r="33" spans="1:12" ht="13.35" customHeight="1" x14ac:dyDescent="0.25">
      <c r="A33" s="169" t="s">
        <v>249</v>
      </c>
      <c r="B33" s="300" t="s">
        <v>250</v>
      </c>
      <c r="C33" s="301" t="s">
        <v>251</v>
      </c>
      <c r="D33" s="301" t="s">
        <v>251</v>
      </c>
      <c r="E33" s="302" t="s">
        <v>251</v>
      </c>
      <c r="F33" s="303" t="s">
        <v>251</v>
      </c>
      <c r="G33" s="301" t="s">
        <v>251</v>
      </c>
      <c r="H33" s="301" t="s">
        <v>251</v>
      </c>
      <c r="I33" s="302" t="s">
        <v>251</v>
      </c>
      <c r="J33" s="304" t="s">
        <v>251</v>
      </c>
      <c r="K33" s="291"/>
      <c r="L33" s="200"/>
    </row>
    <row r="34" spans="1:12" ht="13.35" customHeight="1" x14ac:dyDescent="0.25">
      <c r="A34" s="179" t="s">
        <v>252</v>
      </c>
      <c r="B34" s="305" t="s">
        <v>253</v>
      </c>
      <c r="C34" s="306" t="s">
        <v>254</v>
      </c>
      <c r="D34" s="306" t="s">
        <v>254</v>
      </c>
      <c r="E34" s="307" t="s">
        <v>254</v>
      </c>
      <c r="F34" s="308" t="s">
        <v>254</v>
      </c>
      <c r="G34" s="306" t="s">
        <v>254</v>
      </c>
      <c r="H34" s="306" t="s">
        <v>254</v>
      </c>
      <c r="I34" s="307" t="s">
        <v>254</v>
      </c>
      <c r="J34" s="309" t="s">
        <v>254</v>
      </c>
      <c r="K34" s="292"/>
      <c r="L34" s="208"/>
    </row>
    <row r="35" spans="1:12" ht="13.35" customHeight="1" x14ac:dyDescent="0.25">
      <c r="A35" s="179" t="s">
        <v>255</v>
      </c>
      <c r="B35" s="305" t="s">
        <v>256</v>
      </c>
      <c r="C35" s="306" t="s">
        <v>257</v>
      </c>
      <c r="D35" s="306" t="s">
        <v>257</v>
      </c>
      <c r="E35" s="307" t="s">
        <v>257</v>
      </c>
      <c r="F35" s="308" t="s">
        <v>257</v>
      </c>
      <c r="G35" s="306" t="s">
        <v>257</v>
      </c>
      <c r="H35" s="306" t="s">
        <v>257</v>
      </c>
      <c r="I35" s="307" t="s">
        <v>257</v>
      </c>
      <c r="J35" s="309" t="s">
        <v>257</v>
      </c>
      <c r="K35" s="292"/>
      <c r="L35" s="208"/>
    </row>
    <row r="36" spans="1:12" ht="13.35" customHeight="1" x14ac:dyDescent="0.25">
      <c r="A36" s="182" t="s">
        <v>258</v>
      </c>
      <c r="B36" s="310" t="s">
        <v>256</v>
      </c>
      <c r="C36" s="311" t="s">
        <v>257</v>
      </c>
      <c r="D36" s="311" t="s">
        <v>257</v>
      </c>
      <c r="E36" s="312" t="s">
        <v>257</v>
      </c>
      <c r="F36" s="313" t="s">
        <v>257</v>
      </c>
      <c r="G36" s="311" t="s">
        <v>257</v>
      </c>
      <c r="H36" s="311" t="s">
        <v>257</v>
      </c>
      <c r="I36" s="312" t="s">
        <v>257</v>
      </c>
      <c r="J36" s="314" t="s">
        <v>257</v>
      </c>
      <c r="K36" s="315"/>
      <c r="L36" s="298"/>
    </row>
    <row r="37" spans="1:12" ht="13.35" customHeight="1" x14ac:dyDescent="0.25">
      <c r="A37" s="316"/>
      <c r="B37" s="317"/>
      <c r="C37" s="317"/>
      <c r="D37" s="318"/>
      <c r="E37" s="318"/>
      <c r="F37" s="319"/>
      <c r="G37" s="319"/>
      <c r="H37" s="319"/>
      <c r="I37" s="319"/>
      <c r="J37" s="320"/>
      <c r="K37" s="321"/>
      <c r="L37" s="321"/>
    </row>
    <row r="38" spans="1:12" ht="9" customHeight="1" x14ac:dyDescent="0.25">
      <c r="A38" s="75" t="s">
        <v>259</v>
      </c>
      <c r="B38" s="75"/>
      <c r="C38" s="75"/>
      <c r="D38" s="75"/>
      <c r="E38" s="75"/>
      <c r="F38" s="75"/>
      <c r="G38" s="75"/>
      <c r="H38" s="75"/>
      <c r="I38" s="75"/>
      <c r="J38" s="75"/>
      <c r="K38" s="75"/>
      <c r="L38" s="75"/>
    </row>
    <row r="39" spans="1:12" ht="9" customHeight="1" x14ac:dyDescent="0.25">
      <c r="A39" s="75" t="s">
        <v>260</v>
      </c>
      <c r="B39" s="75"/>
      <c r="C39" s="75"/>
      <c r="D39" s="75"/>
      <c r="E39" s="75"/>
      <c r="F39" s="75"/>
      <c r="G39" s="75"/>
      <c r="H39" s="75"/>
      <c r="I39" s="75"/>
      <c r="J39" s="75"/>
      <c r="K39" s="75"/>
      <c r="L39" s="75"/>
    </row>
    <row r="40" spans="1:12" ht="9" customHeight="1" x14ac:dyDescent="0.25">
      <c r="A40" s="75" t="s">
        <v>261</v>
      </c>
      <c r="B40" s="75"/>
      <c r="C40" s="75"/>
      <c r="D40" s="75"/>
      <c r="E40" s="75"/>
      <c r="F40" s="75"/>
      <c r="G40" s="75"/>
      <c r="H40" s="75"/>
      <c r="I40" s="75"/>
      <c r="J40" s="75"/>
      <c r="K40" s="75"/>
      <c r="L40" s="75"/>
    </row>
    <row r="41" spans="1:12" ht="9" customHeight="1" x14ac:dyDescent="0.25">
      <c r="A41" s="75" t="s">
        <v>262</v>
      </c>
      <c r="B41" s="75"/>
      <c r="C41" s="75"/>
      <c r="D41" s="75"/>
      <c r="E41" s="75"/>
      <c r="F41" s="75"/>
      <c r="G41" s="75"/>
      <c r="H41" s="75"/>
      <c r="I41" s="75"/>
      <c r="J41" s="75"/>
      <c r="K41" s="75"/>
      <c r="L41" s="75"/>
    </row>
    <row r="42" spans="1:12" ht="9" customHeight="1" x14ac:dyDescent="0.25">
      <c r="A42" s="75" t="s">
        <v>263</v>
      </c>
      <c r="B42" s="75"/>
      <c r="C42" s="75"/>
      <c r="D42" s="75"/>
      <c r="E42" s="75"/>
      <c r="F42" s="75"/>
      <c r="G42" s="75"/>
      <c r="H42" s="75"/>
      <c r="I42" s="75"/>
      <c r="J42" s="75"/>
      <c r="K42" s="75"/>
      <c r="L42" s="75"/>
    </row>
    <row r="43" spans="1:12" ht="9" customHeight="1" x14ac:dyDescent="0.25">
      <c r="A43" s="75"/>
      <c r="B43" s="75"/>
      <c r="C43" s="75"/>
      <c r="D43" s="75"/>
      <c r="E43" s="75"/>
      <c r="F43" s="75"/>
      <c r="G43" s="75"/>
      <c r="H43" s="75"/>
      <c r="I43" s="75"/>
      <c r="J43" s="75"/>
      <c r="K43" s="75"/>
      <c r="L43" s="75"/>
    </row>
  </sheetData>
  <mergeCells count="2">
    <mergeCell ref="A2:L2"/>
    <mergeCell ref="K3:L3"/>
  </mergeCells>
  <hyperlinks>
    <hyperlink ref="A1" location="ToC!A2" display="Back to Table of Contents" xr:uid="{0F0C4771-75B8-4B98-8027-E72533E80715}"/>
  </hyperlinks>
  <pageMargins left="0.5" right="0.5" top="0.5" bottom="0.5" header="0.25" footer="0.25"/>
  <pageSetup scale="76" orientation="landscape" r:id="rId1"/>
  <headerFooter>
    <oddFooter>&amp;L&amp;G&amp;C&amp;"Scotia,Regular"&amp;9Supplementary Financial Information (SFI)&amp;R2&amp;"Scotia,Regular"&amp;7</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98C2-E0A2-4356-9FAF-4616744A48A5}">
  <sheetPr>
    <pageSetUpPr fitToPage="1"/>
  </sheetPr>
  <dimension ref="A1:L34"/>
  <sheetViews>
    <sheetView showGridLines="0" zoomScaleNormal="100" workbookViewId="0"/>
  </sheetViews>
  <sheetFormatPr defaultColWidth="8.77734375" defaultRowHeight="13.2" x14ac:dyDescent="0.25"/>
  <cols>
    <col min="1" max="1" width="69.77734375" style="23" customWidth="1"/>
    <col min="2" max="2" width="11.21875" style="23" customWidth="1"/>
    <col min="3" max="12" width="9.21875" style="23" customWidth="1"/>
    <col min="13" max="16384" width="8.77734375" style="23"/>
  </cols>
  <sheetData>
    <row r="1" spans="1:12" ht="19.95" customHeight="1" x14ac:dyDescent="0.25">
      <c r="A1" s="22" t="s">
        <v>12</v>
      </c>
    </row>
    <row r="2" spans="1:12" ht="24.6" customHeight="1" x14ac:dyDescent="0.25">
      <c r="A2" s="2823" t="s">
        <v>264</v>
      </c>
      <c r="B2" s="2823" t="s">
        <v>15</v>
      </c>
      <c r="C2" s="2823" t="s">
        <v>15</v>
      </c>
      <c r="D2" s="2823" t="s">
        <v>15</v>
      </c>
      <c r="E2" s="2823" t="s">
        <v>15</v>
      </c>
      <c r="F2" s="2823" t="s">
        <v>15</v>
      </c>
      <c r="G2" s="2823" t="s">
        <v>15</v>
      </c>
      <c r="H2" s="2823" t="s">
        <v>15</v>
      </c>
      <c r="I2" s="2823" t="s">
        <v>15</v>
      </c>
      <c r="J2" s="2823" t="s">
        <v>15</v>
      </c>
      <c r="K2" s="2823" t="s">
        <v>15</v>
      </c>
      <c r="L2" s="2823" t="s">
        <v>15</v>
      </c>
    </row>
    <row r="3" spans="1:12" ht="13.35" customHeight="1" x14ac:dyDescent="0.25">
      <c r="A3" s="107"/>
      <c r="B3" s="108"/>
      <c r="C3" s="109"/>
      <c r="D3" s="109"/>
      <c r="E3" s="110"/>
      <c r="F3" s="111"/>
      <c r="G3" s="112"/>
      <c r="H3" s="112"/>
      <c r="I3" s="113"/>
      <c r="J3" s="114"/>
      <c r="K3" s="2824" t="s">
        <v>163</v>
      </c>
      <c r="L3" s="2825" t="s">
        <v>15</v>
      </c>
    </row>
    <row r="4" spans="1:12" ht="13.35" customHeight="1" x14ac:dyDescent="0.25">
      <c r="A4" s="322" t="s">
        <v>265</v>
      </c>
      <c r="B4" s="323" t="s">
        <v>165</v>
      </c>
      <c r="C4" s="230" t="s">
        <v>166</v>
      </c>
      <c r="D4" s="230" t="s">
        <v>167</v>
      </c>
      <c r="E4" s="231" t="s">
        <v>168</v>
      </c>
      <c r="F4" s="232" t="s">
        <v>169</v>
      </c>
      <c r="G4" s="230" t="s">
        <v>170</v>
      </c>
      <c r="H4" s="230" t="s">
        <v>171</v>
      </c>
      <c r="I4" s="231" t="s">
        <v>172</v>
      </c>
      <c r="J4" s="324" t="s">
        <v>173</v>
      </c>
      <c r="K4" s="119" t="s">
        <v>174</v>
      </c>
      <c r="L4" s="121" t="s">
        <v>175</v>
      </c>
    </row>
    <row r="5" spans="1:12" ht="13.35" customHeight="1" x14ac:dyDescent="0.25">
      <c r="A5" s="325" t="s">
        <v>266</v>
      </c>
      <c r="B5" s="326">
        <v>14215</v>
      </c>
      <c r="C5" s="193">
        <v>14120</v>
      </c>
      <c r="D5" s="193">
        <v>14287</v>
      </c>
      <c r="E5" s="194">
        <v>14980</v>
      </c>
      <c r="F5" s="327">
        <v>15325</v>
      </c>
      <c r="G5" s="328">
        <v>15683</v>
      </c>
      <c r="H5" s="328">
        <v>15212</v>
      </c>
      <c r="I5" s="329">
        <v>15439</v>
      </c>
      <c r="J5" s="198">
        <v>15109</v>
      </c>
      <c r="K5" s="195">
        <v>57602</v>
      </c>
      <c r="L5" s="328">
        <v>61659</v>
      </c>
    </row>
    <row r="6" spans="1:12" ht="13.35" customHeight="1" x14ac:dyDescent="0.25">
      <c r="A6" s="330" t="s">
        <v>267</v>
      </c>
      <c r="B6" s="331">
        <v>8629</v>
      </c>
      <c r="C6" s="131">
        <v>8627</v>
      </c>
      <c r="D6" s="131">
        <v>9017</v>
      </c>
      <c r="E6" s="132">
        <v>9807</v>
      </c>
      <c r="F6" s="332">
        <v>10402</v>
      </c>
      <c r="G6" s="333">
        <v>10821</v>
      </c>
      <c r="H6" s="333">
        <v>10518</v>
      </c>
      <c r="I6" s="334">
        <v>10666</v>
      </c>
      <c r="J6" s="136">
        <v>10443</v>
      </c>
      <c r="K6" s="133">
        <v>36080</v>
      </c>
      <c r="L6" s="333">
        <v>42407</v>
      </c>
    </row>
    <row r="7" spans="1:12" ht="13.35" customHeight="1" x14ac:dyDescent="0.25">
      <c r="A7" s="335" t="s">
        <v>268</v>
      </c>
      <c r="B7" s="331">
        <v>5586</v>
      </c>
      <c r="C7" s="131">
        <v>5493</v>
      </c>
      <c r="D7" s="131">
        <v>5270</v>
      </c>
      <c r="E7" s="132">
        <v>5173</v>
      </c>
      <c r="F7" s="332">
        <v>4923</v>
      </c>
      <c r="G7" s="333">
        <v>4862</v>
      </c>
      <c r="H7" s="333">
        <v>4694</v>
      </c>
      <c r="I7" s="334">
        <v>4773</v>
      </c>
      <c r="J7" s="136">
        <v>4666</v>
      </c>
      <c r="K7" s="133">
        <v>21522</v>
      </c>
      <c r="L7" s="333">
        <v>19252</v>
      </c>
    </row>
    <row r="8" spans="1:12" ht="13.35" customHeight="1" x14ac:dyDescent="0.25">
      <c r="A8" s="335"/>
      <c r="B8" s="336"/>
      <c r="C8" s="157"/>
      <c r="D8" s="157"/>
      <c r="E8" s="158"/>
      <c r="F8" s="337"/>
      <c r="G8" s="338"/>
      <c r="H8" s="338"/>
      <c r="I8" s="339"/>
      <c r="J8" s="162"/>
      <c r="K8" s="159"/>
      <c r="L8" s="338"/>
    </row>
    <row r="9" spans="1:12" ht="13.35" customHeight="1" x14ac:dyDescent="0.25">
      <c r="A9" s="330" t="s">
        <v>269</v>
      </c>
      <c r="B9" s="331">
        <v>4217</v>
      </c>
      <c r="C9" s="131">
        <v>3993</v>
      </c>
      <c r="D9" s="131">
        <v>3810</v>
      </c>
      <c r="E9" s="132">
        <v>4199</v>
      </c>
      <c r="F9" s="332">
        <v>3603</v>
      </c>
      <c r="G9" s="333">
        <v>3502</v>
      </c>
      <c r="H9" s="333">
        <v>3653</v>
      </c>
      <c r="I9" s="334">
        <v>3660</v>
      </c>
      <c r="J9" s="136">
        <v>3606</v>
      </c>
      <c r="K9" s="133">
        <v>16219</v>
      </c>
      <c r="L9" s="333">
        <v>14418</v>
      </c>
    </row>
    <row r="10" spans="1:12" ht="13.35" customHeight="1" x14ac:dyDescent="0.25">
      <c r="A10" s="335" t="s">
        <v>270</v>
      </c>
      <c r="B10" s="331">
        <v>9803</v>
      </c>
      <c r="C10" s="131">
        <v>9486</v>
      </c>
      <c r="D10" s="131">
        <v>9080</v>
      </c>
      <c r="E10" s="132">
        <v>9372</v>
      </c>
      <c r="F10" s="332">
        <v>8526</v>
      </c>
      <c r="G10" s="333">
        <v>8364</v>
      </c>
      <c r="H10" s="333">
        <v>8347</v>
      </c>
      <c r="I10" s="334">
        <v>8433</v>
      </c>
      <c r="J10" s="136">
        <v>8272</v>
      </c>
      <c r="K10" s="133">
        <v>37741</v>
      </c>
      <c r="L10" s="333">
        <v>33670</v>
      </c>
    </row>
    <row r="11" spans="1:12" ht="13.35" customHeight="1" x14ac:dyDescent="0.25">
      <c r="A11" s="335"/>
      <c r="B11" s="336"/>
      <c r="C11" s="157"/>
      <c r="D11" s="157"/>
      <c r="E11" s="158"/>
      <c r="F11" s="337"/>
      <c r="G11" s="338"/>
      <c r="H11" s="338"/>
      <c r="I11" s="339"/>
      <c r="J11" s="162"/>
      <c r="K11" s="159"/>
      <c r="L11" s="338"/>
    </row>
    <row r="12" spans="1:12" ht="13.35" customHeight="1" x14ac:dyDescent="0.25">
      <c r="A12" s="330" t="s">
        <v>271</v>
      </c>
      <c r="B12" s="331">
        <v>1113</v>
      </c>
      <c r="C12" s="131">
        <v>1041</v>
      </c>
      <c r="D12" s="131">
        <v>1398</v>
      </c>
      <c r="E12" s="132">
        <v>1162</v>
      </c>
      <c r="F12" s="332">
        <v>1030</v>
      </c>
      <c r="G12" s="333">
        <v>1052</v>
      </c>
      <c r="H12" s="333">
        <v>1007</v>
      </c>
      <c r="I12" s="334">
        <v>962</v>
      </c>
      <c r="J12" s="136">
        <v>1256</v>
      </c>
      <c r="K12" s="133">
        <v>4714</v>
      </c>
      <c r="L12" s="333">
        <v>4051</v>
      </c>
    </row>
    <row r="13" spans="1:12" ht="13.35" customHeight="1" x14ac:dyDescent="0.25">
      <c r="A13" s="330" t="s">
        <v>272</v>
      </c>
      <c r="B13" s="331">
        <v>5828</v>
      </c>
      <c r="C13" s="131">
        <v>5089</v>
      </c>
      <c r="D13" s="131">
        <v>5110</v>
      </c>
      <c r="E13" s="132">
        <v>6491</v>
      </c>
      <c r="F13" s="332">
        <v>5296</v>
      </c>
      <c r="G13" s="333">
        <v>4949</v>
      </c>
      <c r="H13" s="333">
        <v>4711</v>
      </c>
      <c r="I13" s="334">
        <v>4739</v>
      </c>
      <c r="J13" s="136">
        <v>5527</v>
      </c>
      <c r="K13" s="133">
        <v>22518</v>
      </c>
      <c r="L13" s="333">
        <v>19695</v>
      </c>
    </row>
    <row r="14" spans="1:12" ht="13.35" customHeight="1" x14ac:dyDescent="0.25">
      <c r="A14" s="335" t="s">
        <v>273</v>
      </c>
      <c r="B14" s="331">
        <v>2862</v>
      </c>
      <c r="C14" s="131">
        <v>3356</v>
      </c>
      <c r="D14" s="131">
        <v>2572</v>
      </c>
      <c r="E14" s="132">
        <v>1719</v>
      </c>
      <c r="F14" s="332">
        <v>2200</v>
      </c>
      <c r="G14" s="333">
        <v>2363</v>
      </c>
      <c r="H14" s="333">
        <v>2629</v>
      </c>
      <c r="I14" s="334">
        <v>2732</v>
      </c>
      <c r="J14" s="136">
        <v>1489</v>
      </c>
      <c r="K14" s="133">
        <v>10509</v>
      </c>
      <c r="L14" s="333">
        <v>9924</v>
      </c>
    </row>
    <row r="15" spans="1:12" ht="13.35" customHeight="1" x14ac:dyDescent="0.25">
      <c r="A15" s="335"/>
      <c r="B15" s="336"/>
      <c r="C15" s="157"/>
      <c r="D15" s="157"/>
      <c r="E15" s="158"/>
      <c r="F15" s="337"/>
      <c r="G15" s="338"/>
      <c r="H15" s="338"/>
      <c r="I15" s="339"/>
      <c r="J15" s="162"/>
      <c r="K15" s="159"/>
      <c r="L15" s="338"/>
    </row>
    <row r="16" spans="1:12" ht="13.35" customHeight="1" x14ac:dyDescent="0.25">
      <c r="A16" s="330" t="s">
        <v>274</v>
      </c>
      <c r="B16" s="331">
        <v>656</v>
      </c>
      <c r="C16" s="131">
        <v>829</v>
      </c>
      <c r="D16" s="131">
        <v>540</v>
      </c>
      <c r="E16" s="132">
        <v>726</v>
      </c>
      <c r="F16" s="332">
        <v>511</v>
      </c>
      <c r="G16" s="333">
        <v>451</v>
      </c>
      <c r="H16" s="333">
        <v>537</v>
      </c>
      <c r="I16" s="334">
        <v>533</v>
      </c>
      <c r="J16" s="136">
        <v>135</v>
      </c>
      <c r="K16" s="133">
        <v>2751</v>
      </c>
      <c r="L16" s="333">
        <v>2032</v>
      </c>
    </row>
    <row r="17" spans="1:12" ht="13.35" customHeight="1" x14ac:dyDescent="0.25">
      <c r="A17" s="335" t="s">
        <v>275</v>
      </c>
      <c r="B17" s="331">
        <v>2206</v>
      </c>
      <c r="C17" s="131">
        <v>2527</v>
      </c>
      <c r="D17" s="131">
        <v>2032</v>
      </c>
      <c r="E17" s="132">
        <v>993</v>
      </c>
      <c r="F17" s="332">
        <v>1689</v>
      </c>
      <c r="G17" s="333">
        <v>1912</v>
      </c>
      <c r="H17" s="333">
        <v>2092</v>
      </c>
      <c r="I17" s="334">
        <v>2199</v>
      </c>
      <c r="J17" s="136">
        <v>1354</v>
      </c>
      <c r="K17" s="133">
        <v>7758</v>
      </c>
      <c r="L17" s="333">
        <v>7892</v>
      </c>
    </row>
    <row r="18" spans="1:12" ht="13.35" customHeight="1" x14ac:dyDescent="0.25">
      <c r="A18" s="340"/>
      <c r="B18" s="336"/>
      <c r="C18" s="157"/>
      <c r="D18" s="157"/>
      <c r="E18" s="158"/>
      <c r="F18" s="159"/>
      <c r="G18" s="160"/>
      <c r="H18" s="160"/>
      <c r="I18" s="161"/>
      <c r="J18" s="162"/>
      <c r="K18" s="159"/>
      <c r="L18" s="338"/>
    </row>
    <row r="19" spans="1:12" ht="13.35" customHeight="1" x14ac:dyDescent="0.25">
      <c r="A19" s="330" t="s">
        <v>276</v>
      </c>
      <c r="B19" s="331">
        <v>352</v>
      </c>
      <c r="C19" s="131">
        <v>-9</v>
      </c>
      <c r="D19" s="131">
        <v>40</v>
      </c>
      <c r="E19" s="132">
        <v>1369</v>
      </c>
      <c r="F19" s="133">
        <v>430</v>
      </c>
      <c r="G19" s="134">
        <v>279</v>
      </c>
      <c r="H19" s="134">
        <v>13</v>
      </c>
      <c r="I19" s="135">
        <v>13</v>
      </c>
      <c r="J19" s="136">
        <v>289</v>
      </c>
      <c r="K19" s="133">
        <v>1752</v>
      </c>
      <c r="L19" s="333">
        <v>735</v>
      </c>
    </row>
    <row r="20" spans="1:12" ht="13.35" customHeight="1" x14ac:dyDescent="0.25">
      <c r="A20" s="335" t="s">
        <v>277</v>
      </c>
      <c r="B20" s="331">
        <v>2558</v>
      </c>
      <c r="C20" s="131">
        <v>2518</v>
      </c>
      <c r="D20" s="131">
        <v>2072</v>
      </c>
      <c r="E20" s="132">
        <v>2362</v>
      </c>
      <c r="F20" s="332">
        <v>2119</v>
      </c>
      <c r="G20" s="333">
        <v>2191</v>
      </c>
      <c r="H20" s="333">
        <v>2105</v>
      </c>
      <c r="I20" s="334">
        <v>2212</v>
      </c>
      <c r="J20" s="136">
        <v>1643</v>
      </c>
      <c r="K20" s="133">
        <v>9510</v>
      </c>
      <c r="L20" s="333">
        <v>8627</v>
      </c>
    </row>
    <row r="21" spans="1:12" ht="13.35" customHeight="1" x14ac:dyDescent="0.25">
      <c r="A21" s="335"/>
      <c r="B21" s="336"/>
      <c r="C21" s="157"/>
      <c r="D21" s="157"/>
      <c r="E21" s="158"/>
      <c r="F21" s="159"/>
      <c r="G21" s="160"/>
      <c r="H21" s="160"/>
      <c r="I21" s="161"/>
      <c r="J21" s="162"/>
      <c r="K21" s="159"/>
      <c r="L21" s="160"/>
    </row>
    <row r="22" spans="1:12" ht="13.35" customHeight="1" x14ac:dyDescent="0.25">
      <c r="A22" s="330" t="s">
        <v>278</v>
      </c>
      <c r="B22" s="331">
        <v>-13</v>
      </c>
      <c r="C22" s="131">
        <v>80</v>
      </c>
      <c r="D22" s="131">
        <v>56</v>
      </c>
      <c r="E22" s="132">
        <v>-154</v>
      </c>
      <c r="F22" s="332">
        <v>47</v>
      </c>
      <c r="G22" s="333">
        <v>36</v>
      </c>
      <c r="H22" s="333">
        <v>26</v>
      </c>
      <c r="I22" s="334">
        <v>25</v>
      </c>
      <c r="J22" s="136">
        <v>31</v>
      </c>
      <c r="K22" s="133">
        <v>-31</v>
      </c>
      <c r="L22" s="333">
        <v>134</v>
      </c>
    </row>
    <row r="23" spans="1:12" ht="13.35" customHeight="1" x14ac:dyDescent="0.25">
      <c r="A23" s="330" t="s">
        <v>279</v>
      </c>
      <c r="B23" s="331">
        <v>40</v>
      </c>
      <c r="C23" s="131">
        <v>43</v>
      </c>
      <c r="D23" s="131">
        <v>40</v>
      </c>
      <c r="E23" s="132">
        <v>37</v>
      </c>
      <c r="F23" s="332">
        <v>47</v>
      </c>
      <c r="G23" s="333">
        <v>38</v>
      </c>
      <c r="H23" s="333">
        <v>26</v>
      </c>
      <c r="I23" s="334">
        <v>25</v>
      </c>
      <c r="J23" s="136">
        <v>34</v>
      </c>
      <c r="K23" s="133">
        <v>160</v>
      </c>
      <c r="L23" s="333">
        <v>136</v>
      </c>
    </row>
    <row r="24" spans="1:12" ht="13.35" customHeight="1" x14ac:dyDescent="0.25">
      <c r="A24" s="330"/>
      <c r="B24" s="336"/>
      <c r="C24" s="157"/>
      <c r="D24" s="157"/>
      <c r="E24" s="158"/>
      <c r="F24" s="159"/>
      <c r="G24" s="160"/>
      <c r="H24" s="160"/>
      <c r="I24" s="161"/>
      <c r="J24" s="162"/>
      <c r="K24" s="159"/>
      <c r="L24" s="160"/>
    </row>
    <row r="25" spans="1:12" ht="13.35" customHeight="1" x14ac:dyDescent="0.25">
      <c r="A25" s="330" t="s">
        <v>280</v>
      </c>
      <c r="B25" s="331">
        <v>2219</v>
      </c>
      <c r="C25" s="131">
        <v>2447</v>
      </c>
      <c r="D25" s="131">
        <v>1976</v>
      </c>
      <c r="E25" s="132">
        <v>1147</v>
      </c>
      <c r="F25" s="133">
        <v>1642</v>
      </c>
      <c r="G25" s="134">
        <v>1876</v>
      </c>
      <c r="H25" s="134">
        <v>2066</v>
      </c>
      <c r="I25" s="135">
        <v>2174</v>
      </c>
      <c r="J25" s="136">
        <v>1323</v>
      </c>
      <c r="K25" s="133">
        <v>7789</v>
      </c>
      <c r="L25" s="134">
        <v>7758</v>
      </c>
    </row>
    <row r="26" spans="1:12" ht="13.35" customHeight="1" x14ac:dyDescent="0.25">
      <c r="A26" s="179" t="s">
        <v>281</v>
      </c>
      <c r="B26" s="331">
        <v>115</v>
      </c>
      <c r="C26" s="341">
        <v>134</v>
      </c>
      <c r="D26" s="341">
        <v>135</v>
      </c>
      <c r="E26" s="342">
        <v>122</v>
      </c>
      <c r="F26" s="133">
        <v>121</v>
      </c>
      <c r="G26" s="134">
        <v>120</v>
      </c>
      <c r="H26" s="134">
        <v>123</v>
      </c>
      <c r="I26" s="135">
        <v>108</v>
      </c>
      <c r="J26" s="136">
        <v>109</v>
      </c>
      <c r="K26" s="137">
        <v>506</v>
      </c>
      <c r="L26" s="134">
        <v>472</v>
      </c>
    </row>
    <row r="27" spans="1:12" ht="13.35" customHeight="1" x14ac:dyDescent="0.25">
      <c r="A27" s="179" t="s">
        <v>282</v>
      </c>
      <c r="B27" s="331">
        <v>2104</v>
      </c>
      <c r="C27" s="341">
        <v>2313</v>
      </c>
      <c r="D27" s="341">
        <v>1841</v>
      </c>
      <c r="E27" s="342">
        <v>1025</v>
      </c>
      <c r="F27" s="133">
        <v>1521</v>
      </c>
      <c r="G27" s="134">
        <v>1756</v>
      </c>
      <c r="H27" s="134">
        <v>1943</v>
      </c>
      <c r="I27" s="135">
        <v>2066</v>
      </c>
      <c r="J27" s="136">
        <v>1214</v>
      </c>
      <c r="K27" s="137">
        <v>7283</v>
      </c>
      <c r="L27" s="134">
        <v>7286</v>
      </c>
    </row>
    <row r="28" spans="1:12" ht="13.35" customHeight="1" x14ac:dyDescent="0.25">
      <c r="A28" s="330" t="s">
        <v>283</v>
      </c>
      <c r="B28" s="331">
        <v>2518</v>
      </c>
      <c r="C28" s="131">
        <v>2475</v>
      </c>
      <c r="D28" s="131">
        <v>2032</v>
      </c>
      <c r="E28" s="132">
        <v>2325</v>
      </c>
      <c r="F28" s="133">
        <v>2072</v>
      </c>
      <c r="G28" s="134">
        <v>2153</v>
      </c>
      <c r="H28" s="134">
        <v>2079</v>
      </c>
      <c r="I28" s="135">
        <v>2187</v>
      </c>
      <c r="J28" s="136">
        <v>1609</v>
      </c>
      <c r="K28" s="133">
        <v>9350</v>
      </c>
      <c r="L28" s="134">
        <v>8491</v>
      </c>
    </row>
    <row r="29" spans="1:12" ht="13.35" customHeight="1" x14ac:dyDescent="0.25">
      <c r="A29" s="343" t="s">
        <v>284</v>
      </c>
      <c r="B29" s="331">
        <v>2403</v>
      </c>
      <c r="C29" s="341">
        <v>2341</v>
      </c>
      <c r="D29" s="341">
        <v>1897</v>
      </c>
      <c r="E29" s="342">
        <v>2203</v>
      </c>
      <c r="F29" s="133">
        <v>1951</v>
      </c>
      <c r="G29" s="134">
        <v>2033</v>
      </c>
      <c r="H29" s="134">
        <v>1956</v>
      </c>
      <c r="I29" s="135">
        <v>2079</v>
      </c>
      <c r="J29" s="136">
        <v>1500</v>
      </c>
      <c r="K29" s="137">
        <v>8844</v>
      </c>
      <c r="L29" s="134">
        <v>8019</v>
      </c>
    </row>
    <row r="30" spans="1:12" ht="13.35" customHeight="1" x14ac:dyDescent="0.25">
      <c r="A30" s="179" t="s">
        <v>285</v>
      </c>
      <c r="B30" s="331">
        <v>5</v>
      </c>
      <c r="C30" s="341">
        <v>8</v>
      </c>
      <c r="D30" s="341">
        <v>1</v>
      </c>
      <c r="E30" s="342">
        <v>-7</v>
      </c>
      <c r="F30" s="133">
        <v>-3</v>
      </c>
      <c r="G30" s="134">
        <v>-16</v>
      </c>
      <c r="H30" s="134">
        <v>-15</v>
      </c>
      <c r="I30" s="135">
        <v>-15</v>
      </c>
      <c r="J30" s="136">
        <v>-10</v>
      </c>
      <c r="K30" s="137">
        <v>7</v>
      </c>
      <c r="L30" s="134">
        <v>-49</v>
      </c>
    </row>
    <row r="31" spans="1:12" ht="13.35" customHeight="1" x14ac:dyDescent="0.25">
      <c r="A31" s="344" t="s">
        <v>286</v>
      </c>
      <c r="B31" s="345">
        <v>2408</v>
      </c>
      <c r="C31" s="346">
        <v>2349</v>
      </c>
      <c r="D31" s="346">
        <v>1898</v>
      </c>
      <c r="E31" s="347">
        <v>2196</v>
      </c>
      <c r="F31" s="294">
        <v>1948</v>
      </c>
      <c r="G31" s="295">
        <v>2017</v>
      </c>
      <c r="H31" s="295">
        <v>1941</v>
      </c>
      <c r="I31" s="296">
        <v>2064</v>
      </c>
      <c r="J31" s="348">
        <v>1490</v>
      </c>
      <c r="K31" s="349">
        <v>8851</v>
      </c>
      <c r="L31" s="295">
        <v>7970</v>
      </c>
    </row>
    <row r="32" spans="1:12" ht="13.35" customHeight="1" x14ac:dyDescent="0.25">
      <c r="A32" s="350"/>
      <c r="B32" s="350"/>
      <c r="C32" s="350"/>
      <c r="D32" s="350"/>
      <c r="E32" s="350"/>
      <c r="F32" s="350"/>
      <c r="G32" s="350"/>
      <c r="H32" s="350"/>
      <c r="I32" s="350"/>
      <c r="J32" s="350"/>
      <c r="K32" s="350"/>
      <c r="L32" s="350"/>
    </row>
    <row r="33" spans="1:12" ht="10.35" customHeight="1" x14ac:dyDescent="0.25">
      <c r="A33" s="2802" t="s">
        <v>287</v>
      </c>
      <c r="B33" s="2803" t="s">
        <v>15</v>
      </c>
      <c r="C33" s="2803" t="s">
        <v>15</v>
      </c>
      <c r="D33" s="2803" t="s">
        <v>15</v>
      </c>
      <c r="E33" s="2803" t="s">
        <v>15</v>
      </c>
      <c r="F33" s="2803" t="s">
        <v>15</v>
      </c>
      <c r="G33" s="2803" t="s">
        <v>15</v>
      </c>
      <c r="H33" s="2803" t="s">
        <v>15</v>
      </c>
      <c r="I33" s="2803" t="s">
        <v>15</v>
      </c>
      <c r="J33" s="2803" t="s">
        <v>15</v>
      </c>
      <c r="K33" s="2803" t="s">
        <v>15</v>
      </c>
      <c r="L33" s="2803" t="s">
        <v>15</v>
      </c>
    </row>
    <row r="34" spans="1:12" ht="10.35" customHeight="1" x14ac:dyDescent="0.25">
      <c r="A34" s="2802" t="s">
        <v>288</v>
      </c>
      <c r="B34" s="2803" t="s">
        <v>15</v>
      </c>
      <c r="C34" s="2803" t="s">
        <v>15</v>
      </c>
      <c r="D34" s="2803" t="s">
        <v>15</v>
      </c>
      <c r="E34" s="2803" t="s">
        <v>15</v>
      </c>
      <c r="F34" s="2803" t="s">
        <v>15</v>
      </c>
      <c r="G34" s="2803" t="s">
        <v>15</v>
      </c>
      <c r="H34" s="2803" t="s">
        <v>15</v>
      </c>
      <c r="I34" s="2803" t="s">
        <v>15</v>
      </c>
      <c r="J34" s="2803" t="s">
        <v>15</v>
      </c>
      <c r="K34" s="2803" t="s">
        <v>15</v>
      </c>
      <c r="L34" s="2803" t="s">
        <v>15</v>
      </c>
    </row>
  </sheetData>
  <mergeCells count="4">
    <mergeCell ref="A2:L2"/>
    <mergeCell ref="K3:L3"/>
    <mergeCell ref="A33:L33"/>
    <mergeCell ref="A34:L34"/>
  </mergeCells>
  <hyperlinks>
    <hyperlink ref="A1" location="ToC!A2" display="Back to Table of Contents" xr:uid="{3681B06D-AD53-4FA8-85A1-2BF2AFFA6D86}"/>
  </hyperlinks>
  <pageMargins left="0.5" right="0.5" top="0.5" bottom="0.5" header="0.25" footer="0.25"/>
  <pageSetup scale="73" orientation="landscape" r:id="rId1"/>
  <headerFooter>
    <oddFooter>&amp;L&amp;G&amp;C&amp;"Scotia,Regular"&amp;9Supplementary Financial Information (SFI)&amp;R3&amp;"Scotia,Regular"&amp;7</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6F8F2-029C-4958-9218-7CA63D04F706}">
  <sheetPr>
    <pageSetUpPr fitToPage="1"/>
  </sheetPr>
  <dimension ref="A1:L60"/>
  <sheetViews>
    <sheetView showGridLines="0" zoomScaleNormal="100" workbookViewId="0"/>
  </sheetViews>
  <sheetFormatPr defaultColWidth="8.77734375" defaultRowHeight="13.2" x14ac:dyDescent="0.25"/>
  <cols>
    <col min="1" max="1" width="75.21875" style="23" customWidth="1"/>
    <col min="2" max="12" width="13.21875" style="23" customWidth="1"/>
    <col min="13" max="16384" width="8.77734375" style="23"/>
  </cols>
  <sheetData>
    <row r="1" spans="1:12" ht="19.95" customHeight="1" x14ac:dyDescent="0.25">
      <c r="A1" s="22" t="s">
        <v>12</v>
      </c>
    </row>
    <row r="2" spans="1:12" ht="24" customHeight="1" x14ac:dyDescent="0.25">
      <c r="A2" s="2831" t="s">
        <v>289</v>
      </c>
      <c r="B2" s="2831" t="s">
        <v>15</v>
      </c>
      <c r="C2" s="2831" t="s">
        <v>15</v>
      </c>
      <c r="D2" s="2831" t="s">
        <v>15</v>
      </c>
      <c r="E2" s="2831" t="s">
        <v>15</v>
      </c>
      <c r="F2" s="2831" t="s">
        <v>15</v>
      </c>
      <c r="G2" s="2831" t="s">
        <v>15</v>
      </c>
      <c r="H2" s="2831" t="s">
        <v>15</v>
      </c>
      <c r="I2" s="2831" t="s">
        <v>15</v>
      </c>
      <c r="J2" s="2831" t="s">
        <v>15</v>
      </c>
      <c r="K2" s="2831" t="s">
        <v>15</v>
      </c>
      <c r="L2" s="2831" t="s">
        <v>15</v>
      </c>
    </row>
    <row r="3" spans="1:12" ht="13.5" customHeight="1" x14ac:dyDescent="0.25">
      <c r="A3" s="351"/>
      <c r="B3" s="352"/>
      <c r="C3" s="353"/>
      <c r="D3" s="353"/>
      <c r="E3" s="354"/>
      <c r="F3" s="355"/>
      <c r="G3" s="356"/>
      <c r="H3" s="356"/>
      <c r="I3" s="357"/>
      <c r="J3" s="358"/>
      <c r="K3" s="2832" t="s">
        <v>163</v>
      </c>
      <c r="L3" s="2833" t="s">
        <v>15</v>
      </c>
    </row>
    <row r="4" spans="1:12" ht="13.5" customHeight="1" x14ac:dyDescent="0.25">
      <c r="A4" s="351"/>
      <c r="B4" s="359" t="s">
        <v>165</v>
      </c>
      <c r="C4" s="360" t="s">
        <v>166</v>
      </c>
      <c r="D4" s="360" t="s">
        <v>167</v>
      </c>
      <c r="E4" s="361" t="s">
        <v>168</v>
      </c>
      <c r="F4" s="362" t="s">
        <v>169</v>
      </c>
      <c r="G4" s="363" t="s">
        <v>170</v>
      </c>
      <c r="H4" s="363" t="s">
        <v>171</v>
      </c>
      <c r="I4" s="361" t="s">
        <v>172</v>
      </c>
      <c r="J4" s="364" t="s">
        <v>173</v>
      </c>
      <c r="K4" s="365" t="s">
        <v>174</v>
      </c>
      <c r="L4" s="366" t="s">
        <v>175</v>
      </c>
    </row>
    <row r="5" spans="1:12" ht="15" customHeight="1" x14ac:dyDescent="0.25">
      <c r="A5" s="367" t="s">
        <v>290</v>
      </c>
      <c r="B5" s="368"/>
      <c r="C5" s="369"/>
      <c r="D5" s="370"/>
      <c r="E5" s="371"/>
      <c r="F5" s="372"/>
      <c r="G5" s="373"/>
      <c r="H5" s="373"/>
      <c r="I5" s="371"/>
      <c r="J5" s="374"/>
      <c r="K5" s="375"/>
      <c r="L5" s="369"/>
    </row>
    <row r="6" spans="1:12" ht="15" customHeight="1" x14ac:dyDescent="0.25">
      <c r="A6" s="376" t="s">
        <v>291</v>
      </c>
      <c r="B6" s="377">
        <v>2672</v>
      </c>
      <c r="C6" s="378">
        <v>2641</v>
      </c>
      <c r="D6" s="379">
        <v>2524</v>
      </c>
      <c r="E6" s="380">
        <v>2647</v>
      </c>
      <c r="F6" s="381">
        <v>2635</v>
      </c>
      <c r="G6" s="382">
        <v>2577</v>
      </c>
      <c r="H6" s="383">
        <v>2482</v>
      </c>
      <c r="I6" s="384">
        <v>2491</v>
      </c>
      <c r="J6" s="385">
        <v>2455</v>
      </c>
      <c r="K6" s="386">
        <v>10484</v>
      </c>
      <c r="L6" s="387">
        <v>10185</v>
      </c>
    </row>
    <row r="7" spans="1:12" ht="15" customHeight="1" x14ac:dyDescent="0.25">
      <c r="A7" s="376" t="s">
        <v>292</v>
      </c>
      <c r="B7" s="377">
        <v>735</v>
      </c>
      <c r="C7" s="378">
        <v>730</v>
      </c>
      <c r="D7" s="379">
        <v>711</v>
      </c>
      <c r="E7" s="380">
        <v>765</v>
      </c>
      <c r="F7" s="381">
        <v>684</v>
      </c>
      <c r="G7" s="382">
        <v>728</v>
      </c>
      <c r="H7" s="383">
        <v>702</v>
      </c>
      <c r="I7" s="384">
        <v>734</v>
      </c>
      <c r="J7" s="385">
        <v>749</v>
      </c>
      <c r="K7" s="386">
        <v>2941</v>
      </c>
      <c r="L7" s="387">
        <v>2848</v>
      </c>
    </row>
    <row r="8" spans="1:12" ht="15" customHeight="1" x14ac:dyDescent="0.25">
      <c r="A8" s="388" t="s">
        <v>293</v>
      </c>
      <c r="B8" s="377">
        <v>612</v>
      </c>
      <c r="C8" s="389">
        <v>618</v>
      </c>
      <c r="D8" s="390">
        <v>598</v>
      </c>
      <c r="E8" s="391">
        <v>608</v>
      </c>
      <c r="F8" s="381">
        <v>599</v>
      </c>
      <c r="G8" s="389">
        <v>610</v>
      </c>
      <c r="H8" s="390">
        <v>619</v>
      </c>
      <c r="I8" s="391">
        <v>635</v>
      </c>
      <c r="J8" s="392">
        <v>643</v>
      </c>
      <c r="K8" s="393">
        <v>2436</v>
      </c>
      <c r="L8" s="387">
        <v>2463</v>
      </c>
    </row>
    <row r="9" spans="1:12" ht="15" customHeight="1" x14ac:dyDescent="0.25">
      <c r="A9" s="388" t="s">
        <v>294</v>
      </c>
      <c r="B9" s="377">
        <v>-1</v>
      </c>
      <c r="C9" s="389">
        <v>-2</v>
      </c>
      <c r="D9" s="390">
        <v>-2</v>
      </c>
      <c r="E9" s="391">
        <v>24</v>
      </c>
      <c r="F9" s="381">
        <v>-2</v>
      </c>
      <c r="G9" s="389">
        <v>0</v>
      </c>
      <c r="H9" s="390">
        <v>-7</v>
      </c>
      <c r="I9" s="391">
        <v>0</v>
      </c>
      <c r="J9" s="392">
        <v>24</v>
      </c>
      <c r="K9" s="393">
        <v>19</v>
      </c>
      <c r="L9" s="387">
        <v>-9</v>
      </c>
    </row>
    <row r="10" spans="1:12" ht="15" customHeight="1" x14ac:dyDescent="0.25">
      <c r="A10" s="388" t="s">
        <v>295</v>
      </c>
      <c r="B10" s="377">
        <v>124</v>
      </c>
      <c r="C10" s="389">
        <v>114</v>
      </c>
      <c r="D10" s="390">
        <v>115</v>
      </c>
      <c r="E10" s="391">
        <v>133</v>
      </c>
      <c r="F10" s="381">
        <v>87</v>
      </c>
      <c r="G10" s="389">
        <v>118</v>
      </c>
      <c r="H10" s="390">
        <v>90</v>
      </c>
      <c r="I10" s="391">
        <v>99</v>
      </c>
      <c r="J10" s="392">
        <v>82</v>
      </c>
      <c r="K10" s="393">
        <v>486</v>
      </c>
      <c r="L10" s="387">
        <v>394</v>
      </c>
    </row>
    <row r="11" spans="1:12" ht="15" customHeight="1" x14ac:dyDescent="0.25">
      <c r="A11" s="394" t="s">
        <v>296</v>
      </c>
      <c r="B11" s="377">
        <v>3407</v>
      </c>
      <c r="C11" s="378">
        <v>3371</v>
      </c>
      <c r="D11" s="379">
        <v>3235</v>
      </c>
      <c r="E11" s="380">
        <v>3412</v>
      </c>
      <c r="F11" s="381">
        <v>3319</v>
      </c>
      <c r="G11" s="382">
        <v>3305</v>
      </c>
      <c r="H11" s="383">
        <v>3184</v>
      </c>
      <c r="I11" s="384">
        <v>3225</v>
      </c>
      <c r="J11" s="385">
        <v>3204</v>
      </c>
      <c r="K11" s="386">
        <v>13425</v>
      </c>
      <c r="L11" s="387">
        <v>13033</v>
      </c>
    </row>
    <row r="12" spans="1:12" ht="15" customHeight="1" x14ac:dyDescent="0.25">
      <c r="A12" s="376" t="s">
        <v>297</v>
      </c>
      <c r="B12" s="377">
        <v>494</v>
      </c>
      <c r="C12" s="378">
        <v>456</v>
      </c>
      <c r="D12" s="379">
        <v>805</v>
      </c>
      <c r="E12" s="380">
        <v>538</v>
      </c>
      <c r="F12" s="381">
        <v>450</v>
      </c>
      <c r="G12" s="382">
        <v>435</v>
      </c>
      <c r="H12" s="383">
        <v>428</v>
      </c>
      <c r="I12" s="384">
        <v>378</v>
      </c>
      <c r="J12" s="385">
        <v>700</v>
      </c>
      <c r="K12" s="386">
        <v>2293</v>
      </c>
      <c r="L12" s="387">
        <v>1691</v>
      </c>
    </row>
    <row r="13" spans="1:12" ht="15" customHeight="1" x14ac:dyDescent="0.25">
      <c r="A13" s="376" t="s">
        <v>298</v>
      </c>
      <c r="B13" s="377">
        <v>1617</v>
      </c>
      <c r="C13" s="378">
        <v>1596</v>
      </c>
      <c r="D13" s="379">
        <v>1581</v>
      </c>
      <c r="E13" s="380">
        <v>1611</v>
      </c>
      <c r="F13" s="381">
        <v>1578</v>
      </c>
      <c r="G13" s="382">
        <v>1528</v>
      </c>
      <c r="H13" s="383">
        <v>1520</v>
      </c>
      <c r="I13" s="384">
        <v>1499</v>
      </c>
      <c r="J13" s="385">
        <v>1516</v>
      </c>
      <c r="K13" s="386">
        <v>6405</v>
      </c>
      <c r="L13" s="387">
        <v>6125</v>
      </c>
    </row>
    <row r="14" spans="1:12" ht="15" customHeight="1" x14ac:dyDescent="0.25">
      <c r="A14" s="394" t="s">
        <v>273</v>
      </c>
      <c r="B14" s="377">
        <v>1296</v>
      </c>
      <c r="C14" s="378">
        <v>1319</v>
      </c>
      <c r="D14" s="379">
        <v>849</v>
      </c>
      <c r="E14" s="380">
        <v>1263</v>
      </c>
      <c r="F14" s="381">
        <v>1291</v>
      </c>
      <c r="G14" s="382">
        <v>1342</v>
      </c>
      <c r="H14" s="383">
        <v>1236</v>
      </c>
      <c r="I14" s="384">
        <v>1348</v>
      </c>
      <c r="J14" s="385">
        <v>988</v>
      </c>
      <c r="K14" s="386">
        <v>4727</v>
      </c>
      <c r="L14" s="387">
        <v>5217</v>
      </c>
    </row>
    <row r="15" spans="1:12" ht="15" customHeight="1" x14ac:dyDescent="0.25">
      <c r="A15" s="376" t="s">
        <v>299</v>
      </c>
      <c r="B15" s="377">
        <v>355</v>
      </c>
      <c r="C15" s="378">
        <v>361</v>
      </c>
      <c r="D15" s="379">
        <v>236</v>
      </c>
      <c r="E15" s="380">
        <v>350</v>
      </c>
      <c r="F15" s="381">
        <v>357</v>
      </c>
      <c r="G15" s="382">
        <v>365</v>
      </c>
      <c r="H15" s="383">
        <v>343</v>
      </c>
      <c r="I15" s="384">
        <v>375</v>
      </c>
      <c r="J15" s="385">
        <v>279</v>
      </c>
      <c r="K15" s="386">
        <v>1302</v>
      </c>
      <c r="L15" s="387">
        <v>1440</v>
      </c>
    </row>
    <row r="16" spans="1:12" ht="15" customHeight="1" x14ac:dyDescent="0.25">
      <c r="A16" s="394" t="s">
        <v>300</v>
      </c>
      <c r="B16" s="377">
        <v>941</v>
      </c>
      <c r="C16" s="378">
        <v>958</v>
      </c>
      <c r="D16" s="379">
        <v>613</v>
      </c>
      <c r="E16" s="380">
        <v>913</v>
      </c>
      <c r="F16" s="381">
        <v>934</v>
      </c>
      <c r="G16" s="382">
        <v>977</v>
      </c>
      <c r="H16" s="383">
        <v>893</v>
      </c>
      <c r="I16" s="384">
        <v>973</v>
      </c>
      <c r="J16" s="385">
        <v>709</v>
      </c>
      <c r="K16" s="386">
        <v>3425</v>
      </c>
      <c r="L16" s="387">
        <v>3777</v>
      </c>
    </row>
    <row r="17" spans="1:12" ht="15" customHeight="1" x14ac:dyDescent="0.25">
      <c r="A17" s="376" t="s">
        <v>301</v>
      </c>
      <c r="B17" s="377">
        <v>1</v>
      </c>
      <c r="C17" s="378">
        <v>1</v>
      </c>
      <c r="D17" s="379">
        <v>0</v>
      </c>
      <c r="E17" s="380">
        <v>1</v>
      </c>
      <c r="F17" s="395">
        <v>1</v>
      </c>
      <c r="G17" s="379">
        <v>1</v>
      </c>
      <c r="H17" s="379">
        <v>0</v>
      </c>
      <c r="I17" s="380">
        <v>1</v>
      </c>
      <c r="J17" s="385">
        <v>0</v>
      </c>
      <c r="K17" s="386">
        <v>3</v>
      </c>
      <c r="L17" s="387">
        <v>3</v>
      </c>
    </row>
    <row r="18" spans="1:12" ht="15" customHeight="1" x14ac:dyDescent="0.25">
      <c r="A18" s="394" t="s">
        <v>277</v>
      </c>
      <c r="B18" s="377">
        <v>942</v>
      </c>
      <c r="C18" s="378">
        <v>959</v>
      </c>
      <c r="D18" s="379">
        <v>613</v>
      </c>
      <c r="E18" s="380">
        <v>914</v>
      </c>
      <c r="F18" s="396">
        <v>935</v>
      </c>
      <c r="G18" s="397">
        <v>978</v>
      </c>
      <c r="H18" s="398">
        <v>893</v>
      </c>
      <c r="I18" s="399">
        <v>974</v>
      </c>
      <c r="J18" s="385">
        <v>709</v>
      </c>
      <c r="K18" s="386">
        <v>3428</v>
      </c>
      <c r="L18" s="387">
        <v>3780</v>
      </c>
    </row>
    <row r="19" spans="1:12" ht="15" customHeight="1" x14ac:dyDescent="0.25">
      <c r="A19" s="394"/>
      <c r="B19" s="400"/>
      <c r="C19" s="401"/>
      <c r="D19" s="402"/>
      <c r="E19" s="403"/>
      <c r="F19" s="404"/>
      <c r="G19" s="402"/>
      <c r="H19" s="402"/>
      <c r="I19" s="403"/>
      <c r="J19" s="405"/>
      <c r="K19" s="406"/>
      <c r="L19" s="407"/>
    </row>
    <row r="20" spans="1:12" ht="15" customHeight="1" x14ac:dyDescent="0.25">
      <c r="A20" s="394" t="s">
        <v>302</v>
      </c>
      <c r="B20" s="377">
        <v>941</v>
      </c>
      <c r="C20" s="378">
        <v>958</v>
      </c>
      <c r="D20" s="379">
        <v>613</v>
      </c>
      <c r="E20" s="380">
        <v>913</v>
      </c>
      <c r="F20" s="408">
        <v>934</v>
      </c>
      <c r="G20" s="409">
        <v>977</v>
      </c>
      <c r="H20" s="410">
        <v>893</v>
      </c>
      <c r="I20" s="411">
        <v>973</v>
      </c>
      <c r="J20" s="385">
        <v>709</v>
      </c>
      <c r="K20" s="386">
        <v>3425</v>
      </c>
      <c r="L20" s="387">
        <v>3777</v>
      </c>
    </row>
    <row r="21" spans="1:12" ht="15" customHeight="1" x14ac:dyDescent="0.25">
      <c r="A21" s="394"/>
      <c r="B21" s="400"/>
      <c r="C21" s="401"/>
      <c r="D21" s="402"/>
      <c r="E21" s="403"/>
      <c r="F21" s="404"/>
      <c r="G21" s="402"/>
      <c r="H21" s="402"/>
      <c r="I21" s="403"/>
      <c r="J21" s="405"/>
      <c r="K21" s="406"/>
      <c r="L21" s="407"/>
    </row>
    <row r="22" spans="1:12" ht="15" customHeight="1" x14ac:dyDescent="0.25">
      <c r="A22" s="394" t="s">
        <v>303</v>
      </c>
      <c r="B22" s="377">
        <v>942</v>
      </c>
      <c r="C22" s="378">
        <v>959</v>
      </c>
      <c r="D22" s="379">
        <v>613</v>
      </c>
      <c r="E22" s="380">
        <v>914</v>
      </c>
      <c r="F22" s="412">
        <v>935</v>
      </c>
      <c r="G22" s="413">
        <v>978</v>
      </c>
      <c r="H22" s="414">
        <v>893</v>
      </c>
      <c r="I22" s="415">
        <v>974</v>
      </c>
      <c r="J22" s="385">
        <v>709</v>
      </c>
      <c r="K22" s="386">
        <v>3428</v>
      </c>
      <c r="L22" s="387">
        <v>3780</v>
      </c>
    </row>
    <row r="23" spans="1:12" ht="15" customHeight="1" x14ac:dyDescent="0.25">
      <c r="A23" s="416"/>
      <c r="B23" s="417"/>
      <c r="C23" s="418"/>
      <c r="D23" s="419"/>
      <c r="E23" s="420"/>
      <c r="F23" s="421"/>
      <c r="G23" s="422"/>
      <c r="H23" s="422"/>
      <c r="I23" s="420"/>
      <c r="J23" s="423"/>
      <c r="K23" s="424"/>
      <c r="L23" s="425"/>
    </row>
    <row r="24" spans="1:12" ht="15" customHeight="1" x14ac:dyDescent="0.25">
      <c r="A24" s="426" t="s">
        <v>304</v>
      </c>
      <c r="B24" s="359"/>
      <c r="C24" s="360"/>
      <c r="D24" s="427"/>
      <c r="E24" s="361"/>
      <c r="F24" s="362"/>
      <c r="G24" s="363"/>
      <c r="H24" s="363"/>
      <c r="I24" s="361"/>
      <c r="J24" s="428"/>
      <c r="K24" s="429"/>
      <c r="L24" s="430"/>
    </row>
    <row r="25" spans="1:12" ht="15" customHeight="1" x14ac:dyDescent="0.25">
      <c r="A25" s="431" t="s">
        <v>305</v>
      </c>
      <c r="B25" s="432">
        <v>2.2999999999999998</v>
      </c>
      <c r="C25" s="433">
        <v>2.29</v>
      </c>
      <c r="D25" s="434">
        <v>2.27</v>
      </c>
      <c r="E25" s="435">
        <v>2.31</v>
      </c>
      <c r="F25" s="436">
        <v>2.3199999999999998</v>
      </c>
      <c r="G25" s="434">
        <v>2.36</v>
      </c>
      <c r="H25" s="434">
        <v>2.41</v>
      </c>
      <c r="I25" s="435">
        <v>2.41</v>
      </c>
      <c r="J25" s="437">
        <v>2.36</v>
      </c>
      <c r="K25" s="438">
        <v>2.29</v>
      </c>
      <c r="L25" s="439">
        <v>2.38</v>
      </c>
    </row>
    <row r="26" spans="1:12" ht="15" customHeight="1" x14ac:dyDescent="0.25">
      <c r="A26" s="376" t="s">
        <v>306</v>
      </c>
      <c r="B26" s="440">
        <v>0.38</v>
      </c>
      <c r="C26" s="441">
        <v>0.4</v>
      </c>
      <c r="D26" s="442">
        <v>0.38</v>
      </c>
      <c r="E26" s="443">
        <v>0.37</v>
      </c>
      <c r="F26" s="444">
        <v>0.37</v>
      </c>
      <c r="G26" s="442">
        <v>0.28999999999999998</v>
      </c>
      <c r="H26" s="442">
        <v>0.33</v>
      </c>
      <c r="I26" s="443">
        <v>0.28999999999999998</v>
      </c>
      <c r="J26" s="445">
        <v>0.22</v>
      </c>
      <c r="K26" s="446">
        <v>0.38</v>
      </c>
      <c r="L26" s="447">
        <v>0.32</v>
      </c>
    </row>
    <row r="27" spans="1:12" ht="15" customHeight="1" x14ac:dyDescent="0.25">
      <c r="A27" s="394" t="s">
        <v>307</v>
      </c>
      <c r="B27" s="448"/>
      <c r="C27" s="449"/>
      <c r="D27" s="450"/>
      <c r="E27" s="451"/>
      <c r="F27" s="452"/>
      <c r="G27" s="450"/>
      <c r="H27" s="450"/>
      <c r="I27" s="451"/>
      <c r="J27" s="453"/>
      <c r="K27" s="454"/>
      <c r="L27" s="455"/>
    </row>
    <row r="28" spans="1:12" ht="15" customHeight="1" x14ac:dyDescent="0.25">
      <c r="A28" s="388" t="s">
        <v>308</v>
      </c>
      <c r="B28" s="456">
        <v>17.8</v>
      </c>
      <c r="C28" s="457">
        <v>18.399999999999999</v>
      </c>
      <c r="D28" s="458">
        <v>12</v>
      </c>
      <c r="E28" s="459">
        <v>16.7</v>
      </c>
      <c r="F28" s="460">
        <v>17.5</v>
      </c>
      <c r="G28" s="461">
        <v>18.899999999999999</v>
      </c>
      <c r="H28" s="462">
        <v>17.7</v>
      </c>
      <c r="I28" s="463">
        <v>19.3</v>
      </c>
      <c r="J28" s="464">
        <v>14.9</v>
      </c>
      <c r="K28" s="465">
        <v>16.3</v>
      </c>
      <c r="L28" s="466">
        <v>18.3</v>
      </c>
    </row>
    <row r="29" spans="1:12" ht="15" customHeight="1" x14ac:dyDescent="0.25">
      <c r="A29" s="388" t="s">
        <v>309</v>
      </c>
      <c r="B29" s="440">
        <v>0.43</v>
      </c>
      <c r="C29" s="441">
        <v>0.4</v>
      </c>
      <c r="D29" s="442">
        <v>0.72</v>
      </c>
      <c r="E29" s="443">
        <v>0.47</v>
      </c>
      <c r="F29" s="444">
        <v>0.4</v>
      </c>
      <c r="G29" s="442">
        <v>0.39</v>
      </c>
      <c r="H29" s="442">
        <v>0.4</v>
      </c>
      <c r="I29" s="443">
        <v>0.34</v>
      </c>
      <c r="J29" s="445">
        <v>0.63</v>
      </c>
      <c r="K29" s="446">
        <v>0.5</v>
      </c>
      <c r="L29" s="447">
        <v>0.38</v>
      </c>
    </row>
    <row r="30" spans="1:12" ht="15" customHeight="1" x14ac:dyDescent="0.25">
      <c r="A30" s="388" t="s">
        <v>310</v>
      </c>
      <c r="B30" s="440">
        <v>0.41</v>
      </c>
      <c r="C30" s="441">
        <v>0.39</v>
      </c>
      <c r="D30" s="442">
        <v>0.44</v>
      </c>
      <c r="E30" s="443">
        <v>0.43</v>
      </c>
      <c r="F30" s="467">
        <v>0.41</v>
      </c>
      <c r="G30" s="442">
        <v>0.3</v>
      </c>
      <c r="H30" s="442">
        <v>0.37</v>
      </c>
      <c r="I30" s="443">
        <v>0.33</v>
      </c>
      <c r="J30" s="445">
        <v>0.26</v>
      </c>
      <c r="K30" s="446">
        <v>0.41</v>
      </c>
      <c r="L30" s="447">
        <v>0.35</v>
      </c>
    </row>
    <row r="31" spans="1:12" ht="15" customHeight="1" x14ac:dyDescent="0.25">
      <c r="A31" s="388" t="s">
        <v>311</v>
      </c>
      <c r="B31" s="456">
        <v>47.5</v>
      </c>
      <c r="C31" s="457">
        <v>47.3</v>
      </c>
      <c r="D31" s="458">
        <v>48.8</v>
      </c>
      <c r="E31" s="459">
        <v>47.3</v>
      </c>
      <c r="F31" s="468">
        <v>47.5</v>
      </c>
      <c r="G31" s="469">
        <v>46.2</v>
      </c>
      <c r="H31" s="470">
        <v>47.7</v>
      </c>
      <c r="I31" s="471">
        <v>46.5</v>
      </c>
      <c r="J31" s="464">
        <v>47.3</v>
      </c>
      <c r="K31" s="465">
        <v>47.7</v>
      </c>
      <c r="L31" s="466">
        <v>47</v>
      </c>
    </row>
    <row r="32" spans="1:12" ht="15" customHeight="1" x14ac:dyDescent="0.25">
      <c r="A32" s="472" t="s">
        <v>312</v>
      </c>
      <c r="B32" s="473"/>
      <c r="C32" s="474"/>
      <c r="D32" s="475"/>
      <c r="E32" s="476"/>
      <c r="F32" s="477"/>
      <c r="G32" s="475"/>
      <c r="H32" s="475"/>
      <c r="I32" s="476"/>
      <c r="J32" s="478"/>
      <c r="K32" s="479"/>
      <c r="L32" s="480"/>
    </row>
    <row r="33" spans="1:12" ht="15" customHeight="1" x14ac:dyDescent="0.25">
      <c r="A33" s="388" t="s">
        <v>313</v>
      </c>
      <c r="B33" s="456">
        <v>17.8</v>
      </c>
      <c r="C33" s="457">
        <v>18.5</v>
      </c>
      <c r="D33" s="458">
        <v>12</v>
      </c>
      <c r="E33" s="459">
        <v>16.7</v>
      </c>
      <c r="F33" s="481">
        <v>17.5</v>
      </c>
      <c r="G33" s="482">
        <v>19</v>
      </c>
      <c r="H33" s="483">
        <v>17.7</v>
      </c>
      <c r="I33" s="484">
        <v>19.3</v>
      </c>
      <c r="J33" s="464">
        <v>14.9</v>
      </c>
      <c r="K33" s="465">
        <v>16.3</v>
      </c>
      <c r="L33" s="466">
        <v>18.399999999999999</v>
      </c>
    </row>
    <row r="34" spans="1:12" ht="15" customHeight="1" x14ac:dyDescent="0.25">
      <c r="A34" s="485" t="s">
        <v>314</v>
      </c>
      <c r="B34" s="486">
        <v>47.4</v>
      </c>
      <c r="C34" s="487">
        <v>47.3</v>
      </c>
      <c r="D34" s="488">
        <v>48.8</v>
      </c>
      <c r="E34" s="489">
        <v>47.2</v>
      </c>
      <c r="F34" s="490">
        <v>47.5</v>
      </c>
      <c r="G34" s="491">
        <v>46.2</v>
      </c>
      <c r="H34" s="492">
        <v>47.7</v>
      </c>
      <c r="I34" s="493">
        <v>46.4</v>
      </c>
      <c r="J34" s="494">
        <v>47.3</v>
      </c>
      <c r="K34" s="495">
        <v>47.7</v>
      </c>
      <c r="L34" s="496">
        <v>47</v>
      </c>
    </row>
    <row r="35" spans="1:12" ht="15" customHeight="1" x14ac:dyDescent="0.25">
      <c r="A35" s="426" t="s">
        <v>315</v>
      </c>
      <c r="B35" s="359"/>
      <c r="C35" s="360"/>
      <c r="D35" s="363"/>
      <c r="E35" s="361"/>
      <c r="F35" s="362"/>
      <c r="G35" s="363"/>
      <c r="H35" s="363"/>
      <c r="I35" s="361"/>
      <c r="J35" s="428"/>
      <c r="K35" s="429"/>
      <c r="L35" s="430"/>
    </row>
    <row r="36" spans="1:12" ht="15" customHeight="1" x14ac:dyDescent="0.25">
      <c r="A36" s="497" t="s">
        <v>316</v>
      </c>
      <c r="B36" s="498">
        <v>287</v>
      </c>
      <c r="C36" s="499">
        <v>283.8</v>
      </c>
      <c r="D36" s="500">
        <v>282.7</v>
      </c>
      <c r="E36" s="501">
        <v>278.89999999999998</v>
      </c>
      <c r="F36" s="502">
        <v>274.7</v>
      </c>
      <c r="G36" s="503">
        <v>270.8</v>
      </c>
      <c r="H36" s="504">
        <v>267.60000000000002</v>
      </c>
      <c r="I36" s="505">
        <v>268.5</v>
      </c>
      <c r="J36" s="506">
        <v>271.39999999999998</v>
      </c>
      <c r="K36" s="507">
        <v>283.10000000000002</v>
      </c>
      <c r="L36" s="500">
        <v>270.39999999999998</v>
      </c>
    </row>
    <row r="37" spans="1:12" ht="15" customHeight="1" x14ac:dyDescent="0.25">
      <c r="A37" s="508" t="s">
        <v>317</v>
      </c>
      <c r="B37" s="509">
        <v>73.599999999999994</v>
      </c>
      <c r="C37" s="510">
        <v>73.599999999999994</v>
      </c>
      <c r="D37" s="511">
        <v>73.599999999999994</v>
      </c>
      <c r="E37" s="512">
        <v>74.300000000000011</v>
      </c>
      <c r="F37" s="513">
        <v>74.599999999999994</v>
      </c>
      <c r="G37" s="514">
        <v>74.2</v>
      </c>
      <c r="H37" s="515">
        <v>73.8</v>
      </c>
      <c r="I37" s="516">
        <v>73.7</v>
      </c>
      <c r="J37" s="517">
        <v>73.900000000000006</v>
      </c>
      <c r="K37" s="518">
        <v>73.8</v>
      </c>
      <c r="L37" s="511">
        <v>74.099999999999994</v>
      </c>
    </row>
    <row r="38" spans="1:12" ht="15" customHeight="1" x14ac:dyDescent="0.25">
      <c r="A38" s="508" t="s">
        <v>318</v>
      </c>
      <c r="B38" s="509">
        <v>9.6</v>
      </c>
      <c r="C38" s="510">
        <v>9.4</v>
      </c>
      <c r="D38" s="511">
        <v>9.1999999999999993</v>
      </c>
      <c r="E38" s="512">
        <v>9.5</v>
      </c>
      <c r="F38" s="513">
        <v>9.5</v>
      </c>
      <c r="G38" s="514">
        <v>9.3000000000000007</v>
      </c>
      <c r="H38" s="515">
        <v>8.9</v>
      </c>
      <c r="I38" s="516">
        <v>8.8000000000000007</v>
      </c>
      <c r="J38" s="517">
        <v>8.4</v>
      </c>
      <c r="K38" s="518">
        <v>9.4</v>
      </c>
      <c r="L38" s="511">
        <v>9.1</v>
      </c>
    </row>
    <row r="39" spans="1:12" ht="15" customHeight="1" x14ac:dyDescent="0.25">
      <c r="A39" s="508" t="s">
        <v>319</v>
      </c>
      <c r="B39" s="509">
        <v>93.5</v>
      </c>
      <c r="C39" s="510">
        <v>94</v>
      </c>
      <c r="D39" s="511">
        <v>93.4</v>
      </c>
      <c r="E39" s="512">
        <v>94.3</v>
      </c>
      <c r="F39" s="513">
        <v>95.1</v>
      </c>
      <c r="G39" s="514">
        <v>94.3</v>
      </c>
      <c r="H39" s="515">
        <v>92.1</v>
      </c>
      <c r="I39" s="516">
        <v>91.3</v>
      </c>
      <c r="J39" s="517">
        <v>90.1</v>
      </c>
      <c r="K39" s="518">
        <v>93.8</v>
      </c>
      <c r="L39" s="511">
        <v>93.2</v>
      </c>
    </row>
    <row r="40" spans="1:12" ht="15" customHeight="1" x14ac:dyDescent="0.25">
      <c r="A40" s="519" t="s">
        <v>320</v>
      </c>
      <c r="B40" s="509">
        <v>463.7</v>
      </c>
      <c r="C40" s="510">
        <v>460.8</v>
      </c>
      <c r="D40" s="511">
        <v>458.9</v>
      </c>
      <c r="E40" s="512">
        <v>457</v>
      </c>
      <c r="F40" s="513">
        <v>453.9</v>
      </c>
      <c r="G40" s="514">
        <v>448.6</v>
      </c>
      <c r="H40" s="515">
        <v>442.4</v>
      </c>
      <c r="I40" s="516">
        <v>442.3</v>
      </c>
      <c r="J40" s="520">
        <v>443.8</v>
      </c>
      <c r="K40" s="518">
        <v>460.1</v>
      </c>
      <c r="L40" s="521">
        <v>446.8</v>
      </c>
    </row>
    <row r="41" spans="1:12" ht="15" customHeight="1" x14ac:dyDescent="0.25">
      <c r="A41" s="519" t="s">
        <v>321</v>
      </c>
      <c r="B41" s="509">
        <v>2.5</v>
      </c>
      <c r="C41" s="510">
        <v>2.2999999999999998</v>
      </c>
      <c r="D41" s="511">
        <v>2.5</v>
      </c>
      <c r="E41" s="512">
        <v>2.9</v>
      </c>
      <c r="F41" s="513">
        <v>2.9</v>
      </c>
      <c r="G41" s="514">
        <v>2.6</v>
      </c>
      <c r="H41" s="515">
        <v>2.5</v>
      </c>
      <c r="I41" s="516">
        <v>2.6</v>
      </c>
      <c r="J41" s="520">
        <v>3.6</v>
      </c>
      <c r="K41" s="518">
        <v>2.6</v>
      </c>
      <c r="L41" s="521">
        <v>2.7</v>
      </c>
    </row>
    <row r="42" spans="1:12" ht="15" customHeight="1" x14ac:dyDescent="0.25">
      <c r="A42" s="522" t="s">
        <v>322</v>
      </c>
      <c r="B42" s="509">
        <v>466.2</v>
      </c>
      <c r="C42" s="510">
        <v>463.1</v>
      </c>
      <c r="D42" s="511">
        <v>461.4</v>
      </c>
      <c r="E42" s="512">
        <v>459.9</v>
      </c>
      <c r="F42" s="513">
        <v>456.8</v>
      </c>
      <c r="G42" s="514">
        <v>451.2</v>
      </c>
      <c r="H42" s="515">
        <v>444.9</v>
      </c>
      <c r="I42" s="516">
        <v>444.9</v>
      </c>
      <c r="J42" s="520">
        <v>447.4</v>
      </c>
      <c r="K42" s="518">
        <v>462.7</v>
      </c>
      <c r="L42" s="521">
        <v>449.5</v>
      </c>
    </row>
    <row r="43" spans="1:12" ht="15" customHeight="1" x14ac:dyDescent="0.25">
      <c r="A43" s="519" t="s">
        <v>323</v>
      </c>
      <c r="B43" s="509">
        <v>235.9</v>
      </c>
      <c r="C43" s="510">
        <v>237.9</v>
      </c>
      <c r="D43" s="511">
        <v>238.6</v>
      </c>
      <c r="E43" s="512">
        <v>239</v>
      </c>
      <c r="F43" s="513">
        <v>237.1</v>
      </c>
      <c r="G43" s="514">
        <v>233</v>
      </c>
      <c r="H43" s="515">
        <v>231.4</v>
      </c>
      <c r="I43" s="516">
        <v>229.3</v>
      </c>
      <c r="J43" s="520">
        <v>225.5</v>
      </c>
      <c r="K43" s="518">
        <v>237.8</v>
      </c>
      <c r="L43" s="521">
        <v>232.7</v>
      </c>
    </row>
    <row r="44" spans="1:12" ht="15" customHeight="1" x14ac:dyDescent="0.25">
      <c r="A44" s="519" t="s">
        <v>324</v>
      </c>
      <c r="B44" s="509">
        <v>138.9</v>
      </c>
      <c r="C44" s="510">
        <v>138.80000000000001</v>
      </c>
      <c r="D44" s="511">
        <v>140.4</v>
      </c>
      <c r="E44" s="512">
        <v>141.69999999999999</v>
      </c>
      <c r="F44" s="513">
        <v>141.5</v>
      </c>
      <c r="G44" s="514">
        <v>137.80000000000001</v>
      </c>
      <c r="H44" s="515">
        <v>130.5</v>
      </c>
      <c r="I44" s="516">
        <v>129</v>
      </c>
      <c r="J44" s="520">
        <v>127.1</v>
      </c>
      <c r="K44" s="518">
        <v>140</v>
      </c>
      <c r="L44" s="521">
        <v>134.69999999999999</v>
      </c>
    </row>
    <row r="45" spans="1:12" ht="15" customHeight="1" x14ac:dyDescent="0.25">
      <c r="A45" s="522" t="s">
        <v>325</v>
      </c>
      <c r="B45" s="509">
        <v>374.8</v>
      </c>
      <c r="C45" s="510">
        <v>376.7</v>
      </c>
      <c r="D45" s="511">
        <v>379</v>
      </c>
      <c r="E45" s="512">
        <v>380.7</v>
      </c>
      <c r="F45" s="513">
        <v>378.6</v>
      </c>
      <c r="G45" s="514">
        <v>370.8</v>
      </c>
      <c r="H45" s="515">
        <v>361.9</v>
      </c>
      <c r="I45" s="516">
        <v>358.3</v>
      </c>
      <c r="J45" s="520">
        <v>352.6</v>
      </c>
      <c r="K45" s="518">
        <v>377.8</v>
      </c>
      <c r="L45" s="521">
        <v>367.4</v>
      </c>
    </row>
    <row r="46" spans="1:12" ht="15" customHeight="1" x14ac:dyDescent="0.25">
      <c r="A46" s="519" t="s">
        <v>326</v>
      </c>
      <c r="B46" s="509">
        <v>4.3</v>
      </c>
      <c r="C46" s="510">
        <v>4.5</v>
      </c>
      <c r="D46" s="511">
        <v>4.5999999999999996</v>
      </c>
      <c r="E46" s="512">
        <v>5</v>
      </c>
      <c r="F46" s="513">
        <v>6.6</v>
      </c>
      <c r="G46" s="514">
        <v>18.2</v>
      </c>
      <c r="H46" s="515">
        <v>27.2</v>
      </c>
      <c r="I46" s="516">
        <v>34.200000000000003</v>
      </c>
      <c r="J46" s="520">
        <v>33.6</v>
      </c>
      <c r="K46" s="518">
        <v>4.5999999999999659</v>
      </c>
      <c r="L46" s="521">
        <v>21.6</v>
      </c>
    </row>
    <row r="47" spans="1:12" ht="15" customHeight="1" x14ac:dyDescent="0.25">
      <c r="A47" s="523" t="s">
        <v>327</v>
      </c>
      <c r="B47" s="524">
        <v>379.1</v>
      </c>
      <c r="C47" s="525">
        <v>381.2</v>
      </c>
      <c r="D47" s="526">
        <v>383.6</v>
      </c>
      <c r="E47" s="527">
        <v>385.7</v>
      </c>
      <c r="F47" s="528">
        <v>385.2</v>
      </c>
      <c r="G47" s="529">
        <v>389</v>
      </c>
      <c r="H47" s="530">
        <v>389.1</v>
      </c>
      <c r="I47" s="531">
        <v>392.5</v>
      </c>
      <c r="J47" s="532">
        <v>386.2</v>
      </c>
      <c r="K47" s="533">
        <v>382.4</v>
      </c>
      <c r="L47" s="534">
        <v>389</v>
      </c>
    </row>
    <row r="48" spans="1:12" ht="15" customHeight="1" x14ac:dyDescent="0.25">
      <c r="A48" s="426" t="s">
        <v>328</v>
      </c>
      <c r="B48" s="359"/>
      <c r="C48" s="360"/>
      <c r="D48" s="427"/>
      <c r="E48" s="535"/>
      <c r="F48" s="362"/>
      <c r="G48" s="363"/>
      <c r="H48" s="363"/>
      <c r="I48" s="361"/>
      <c r="J48" s="428"/>
      <c r="K48" s="429"/>
      <c r="L48" s="430"/>
    </row>
    <row r="49" spans="1:12" ht="15" customHeight="1" x14ac:dyDescent="0.3">
      <c r="A49" s="519" t="s">
        <v>329</v>
      </c>
      <c r="B49" s="536">
        <v>21019</v>
      </c>
      <c r="C49" s="537">
        <v>21617</v>
      </c>
      <c r="D49" s="538">
        <v>21619</v>
      </c>
      <c r="E49" s="539">
        <v>21461</v>
      </c>
      <c r="F49" s="540">
        <v>21427</v>
      </c>
      <c r="G49" s="541">
        <v>21610</v>
      </c>
      <c r="H49" s="541">
        <v>21644</v>
      </c>
      <c r="I49" s="539">
        <v>21595</v>
      </c>
      <c r="J49" s="542">
        <v>21738</v>
      </c>
      <c r="K49" s="543"/>
      <c r="L49" s="544"/>
    </row>
    <row r="50" spans="1:12" ht="15" customHeight="1" x14ac:dyDescent="0.3">
      <c r="A50" s="519" t="s">
        <v>330</v>
      </c>
      <c r="B50" s="536">
        <v>892</v>
      </c>
      <c r="C50" s="537">
        <v>891</v>
      </c>
      <c r="D50" s="538">
        <v>890</v>
      </c>
      <c r="E50" s="539">
        <v>892</v>
      </c>
      <c r="F50" s="540">
        <v>898</v>
      </c>
      <c r="G50" s="541">
        <v>914</v>
      </c>
      <c r="H50" s="541">
        <v>937</v>
      </c>
      <c r="I50" s="539">
        <v>949</v>
      </c>
      <c r="J50" s="542">
        <v>947</v>
      </c>
      <c r="K50" s="545"/>
      <c r="L50" s="546"/>
    </row>
    <row r="51" spans="1:12" ht="15" customHeight="1" x14ac:dyDescent="0.3">
      <c r="A51" s="547" t="s">
        <v>247</v>
      </c>
      <c r="B51" s="548">
        <v>3542</v>
      </c>
      <c r="C51" s="549">
        <v>3550</v>
      </c>
      <c r="D51" s="550">
        <v>3555</v>
      </c>
      <c r="E51" s="551">
        <v>3562</v>
      </c>
      <c r="F51" s="552">
        <v>3578</v>
      </c>
      <c r="G51" s="553">
        <v>3627</v>
      </c>
      <c r="H51" s="553">
        <v>3682</v>
      </c>
      <c r="I51" s="551">
        <v>3697</v>
      </c>
      <c r="J51" s="554">
        <v>3703</v>
      </c>
      <c r="K51" s="555"/>
      <c r="L51" s="556"/>
    </row>
    <row r="52" spans="1:12" ht="13.05" customHeight="1" x14ac:dyDescent="0.25">
      <c r="A52" s="557"/>
      <c r="B52" s="558"/>
      <c r="C52" s="558"/>
      <c r="D52" s="559"/>
      <c r="E52" s="559"/>
      <c r="F52" s="559"/>
      <c r="G52" s="559"/>
      <c r="H52" s="559"/>
      <c r="I52" s="559"/>
      <c r="J52" s="559"/>
      <c r="K52" s="559"/>
      <c r="L52" s="559"/>
    </row>
    <row r="53" spans="1:12" ht="10.35" customHeight="1" x14ac:dyDescent="0.25">
      <c r="A53" s="2834" t="s">
        <v>331</v>
      </c>
      <c r="B53" s="2834" t="s">
        <v>15</v>
      </c>
      <c r="C53" s="2834" t="s">
        <v>15</v>
      </c>
      <c r="D53" s="2834" t="s">
        <v>15</v>
      </c>
      <c r="E53" s="2834" t="s">
        <v>15</v>
      </c>
      <c r="F53" s="2834" t="s">
        <v>15</v>
      </c>
      <c r="G53" s="2834" t="s">
        <v>15</v>
      </c>
      <c r="H53" s="2834" t="s">
        <v>15</v>
      </c>
      <c r="I53" s="2834" t="s">
        <v>15</v>
      </c>
      <c r="J53" s="2834" t="s">
        <v>15</v>
      </c>
      <c r="K53" s="2834" t="s">
        <v>15</v>
      </c>
      <c r="L53" s="2834" t="s">
        <v>15</v>
      </c>
    </row>
    <row r="54" spans="1:12" ht="10.35" customHeight="1" x14ac:dyDescent="0.25">
      <c r="A54" s="560" t="s">
        <v>332</v>
      </c>
      <c r="B54" s="560"/>
      <c r="C54" s="560"/>
      <c r="D54" s="560"/>
      <c r="E54" s="560"/>
      <c r="F54" s="560"/>
      <c r="G54" s="560"/>
      <c r="H54" s="560"/>
      <c r="I54" s="560"/>
      <c r="J54" s="560"/>
      <c r="K54" s="560"/>
      <c r="L54" s="560"/>
    </row>
    <row r="55" spans="1:12" ht="10.35" customHeight="1" x14ac:dyDescent="0.25">
      <c r="A55" s="560" t="s">
        <v>333</v>
      </c>
      <c r="B55" s="560"/>
      <c r="C55" s="560"/>
      <c r="D55" s="560"/>
      <c r="E55" s="560"/>
      <c r="F55" s="560"/>
      <c r="G55" s="560"/>
      <c r="H55" s="560"/>
      <c r="I55" s="560"/>
      <c r="J55" s="560"/>
      <c r="K55" s="560"/>
      <c r="L55" s="560"/>
    </row>
    <row r="56" spans="1:12" ht="10.35" customHeight="1" x14ac:dyDescent="0.25">
      <c r="A56" s="560" t="s">
        <v>334</v>
      </c>
      <c r="B56" s="560"/>
      <c r="C56" s="560"/>
      <c r="D56" s="560"/>
      <c r="E56" s="560"/>
      <c r="F56" s="560"/>
      <c r="G56" s="560"/>
      <c r="H56" s="560"/>
      <c r="I56" s="560"/>
      <c r="J56" s="560"/>
      <c r="K56" s="560"/>
      <c r="L56" s="560"/>
    </row>
    <row r="57" spans="1:12" ht="10.35" customHeight="1" x14ac:dyDescent="0.25">
      <c r="A57" s="560" t="s">
        <v>335</v>
      </c>
      <c r="B57" s="560"/>
      <c r="C57" s="560"/>
      <c r="D57" s="560"/>
      <c r="E57" s="560"/>
      <c r="F57" s="560"/>
      <c r="G57" s="560"/>
      <c r="H57" s="560"/>
      <c r="I57" s="560"/>
      <c r="J57" s="560"/>
      <c r="K57" s="560"/>
      <c r="L57" s="560"/>
    </row>
    <row r="58" spans="1:12" ht="4.5" hidden="1" customHeight="1" x14ac:dyDescent="0.25">
      <c r="A58" s="2835" t="s">
        <v>336</v>
      </c>
      <c r="B58" s="2835" t="s">
        <v>15</v>
      </c>
      <c r="C58" s="2835" t="s">
        <v>15</v>
      </c>
      <c r="D58" s="2835" t="s">
        <v>15</v>
      </c>
      <c r="E58" s="2835" t="s">
        <v>15</v>
      </c>
      <c r="F58" s="2835" t="s">
        <v>15</v>
      </c>
      <c r="G58" s="2835" t="s">
        <v>15</v>
      </c>
      <c r="H58" s="2835" t="s">
        <v>15</v>
      </c>
      <c r="I58" s="2835" t="s">
        <v>15</v>
      </c>
      <c r="J58" s="2835" t="s">
        <v>15</v>
      </c>
      <c r="K58" s="2835" t="s">
        <v>15</v>
      </c>
      <c r="L58" s="2835" t="s">
        <v>15</v>
      </c>
    </row>
    <row r="59" spans="1:12" ht="5.25" customHeight="1" x14ac:dyDescent="0.25">
      <c r="A59" s="2836" t="s">
        <v>15</v>
      </c>
      <c r="B59" s="2836" t="s">
        <v>15</v>
      </c>
      <c r="C59" s="2836" t="s">
        <v>15</v>
      </c>
      <c r="D59" s="2836" t="s">
        <v>15</v>
      </c>
      <c r="E59" s="2836" t="s">
        <v>15</v>
      </c>
      <c r="F59" s="2836" t="s">
        <v>15</v>
      </c>
      <c r="G59" s="2836" t="s">
        <v>15</v>
      </c>
      <c r="H59" s="2836" t="s">
        <v>15</v>
      </c>
      <c r="I59" s="2836" t="s">
        <v>15</v>
      </c>
      <c r="J59" s="2836" t="s">
        <v>15</v>
      </c>
      <c r="K59" s="2836" t="s">
        <v>15</v>
      </c>
      <c r="L59" s="2836" t="s">
        <v>15</v>
      </c>
    </row>
    <row r="60" spans="1:12" ht="6" customHeight="1" x14ac:dyDescent="0.25">
      <c r="A60" s="2836" t="s">
        <v>15</v>
      </c>
      <c r="B60" s="2836" t="s">
        <v>15</v>
      </c>
      <c r="C60" s="2836" t="s">
        <v>15</v>
      </c>
      <c r="D60" s="2836" t="s">
        <v>15</v>
      </c>
      <c r="E60" s="2836" t="s">
        <v>15</v>
      </c>
      <c r="F60" s="2836" t="s">
        <v>15</v>
      </c>
      <c r="G60" s="2836" t="s">
        <v>15</v>
      </c>
      <c r="H60" s="2836" t="s">
        <v>15</v>
      </c>
      <c r="I60" s="2836" t="s">
        <v>15</v>
      </c>
      <c r="J60" s="2836" t="s">
        <v>15</v>
      </c>
      <c r="K60" s="2836" t="s">
        <v>15</v>
      </c>
      <c r="L60" s="2836" t="s">
        <v>15</v>
      </c>
    </row>
  </sheetData>
  <mergeCells count="4">
    <mergeCell ref="A2:L2"/>
    <mergeCell ref="K3:L3"/>
    <mergeCell ref="A53:L53"/>
    <mergeCell ref="A58:L60"/>
  </mergeCells>
  <hyperlinks>
    <hyperlink ref="A1" location="ToC!A2" display="Back to Table of Contents" xr:uid="{39FAC141-2079-41B1-A807-C9B3068E6B57}"/>
  </hyperlinks>
  <pageMargins left="0.5" right="0.5" top="0.5" bottom="0.5" header="0.25" footer="0.25"/>
  <pageSetup scale="57" orientation="landscape" r:id="rId1"/>
  <headerFooter>
    <oddFooter>&amp;L&amp;G&amp;C&amp;"Scotia,Regular"&amp;9Supplementary Financial Information (SFI)&amp;R4&amp;"Scotia,Regular"&amp;7</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AEA8-A7CD-44BB-8CFF-614DA775225D}">
  <sheetPr>
    <pageSetUpPr fitToPage="1"/>
  </sheetPr>
  <dimension ref="A1:L60"/>
  <sheetViews>
    <sheetView showGridLines="0" zoomScaleNormal="100" workbookViewId="0"/>
  </sheetViews>
  <sheetFormatPr defaultColWidth="8.77734375" defaultRowHeight="13.2" x14ac:dyDescent="0.25"/>
  <cols>
    <col min="1" max="1" width="78.21875" style="23" customWidth="1"/>
    <col min="2" max="12" width="12.77734375" style="23" customWidth="1"/>
    <col min="13" max="16384" width="8.77734375" style="23"/>
  </cols>
  <sheetData>
    <row r="1" spans="1:12" ht="19.95" customHeight="1" x14ac:dyDescent="0.25">
      <c r="A1" s="22" t="s">
        <v>12</v>
      </c>
    </row>
    <row r="2" spans="1:12" ht="25.35" customHeight="1" x14ac:dyDescent="0.25">
      <c r="A2" s="2839" t="s">
        <v>337</v>
      </c>
      <c r="B2" s="2840" t="s">
        <v>15</v>
      </c>
      <c r="C2" s="2840" t="s">
        <v>15</v>
      </c>
      <c r="D2" s="2840" t="s">
        <v>15</v>
      </c>
      <c r="E2" s="2840" t="s">
        <v>15</v>
      </c>
      <c r="F2" s="2840" t="s">
        <v>15</v>
      </c>
      <c r="G2" s="2840" t="s">
        <v>15</v>
      </c>
      <c r="H2" s="2840" t="s">
        <v>15</v>
      </c>
      <c r="I2" s="2840" t="s">
        <v>15</v>
      </c>
      <c r="J2" s="2840" t="s">
        <v>15</v>
      </c>
      <c r="K2" s="2840" t="s">
        <v>15</v>
      </c>
      <c r="L2" s="2840" t="s">
        <v>15</v>
      </c>
    </row>
    <row r="3" spans="1:12" ht="14.55" customHeight="1" x14ac:dyDescent="0.25">
      <c r="A3" s="561"/>
      <c r="B3" s="2841"/>
      <c r="C3" s="2842"/>
      <c r="D3" s="2842"/>
      <c r="E3" s="2843"/>
      <c r="F3" s="2844"/>
      <c r="G3" s="2845"/>
      <c r="H3" s="2845"/>
      <c r="I3" s="2846"/>
      <c r="J3" s="562"/>
      <c r="K3" s="2847" t="s">
        <v>163</v>
      </c>
      <c r="L3" s="2848" t="s">
        <v>15</v>
      </c>
    </row>
    <row r="4" spans="1:12" ht="14.55" customHeight="1" x14ac:dyDescent="0.25">
      <c r="A4" s="563"/>
      <c r="B4" s="564" t="s">
        <v>165</v>
      </c>
      <c r="C4" s="565" t="s">
        <v>166</v>
      </c>
      <c r="D4" s="565" t="s">
        <v>167</v>
      </c>
      <c r="E4" s="566" t="s">
        <v>168</v>
      </c>
      <c r="F4" s="567" t="s">
        <v>169</v>
      </c>
      <c r="G4" s="568" t="s">
        <v>170</v>
      </c>
      <c r="H4" s="568" t="s">
        <v>171</v>
      </c>
      <c r="I4" s="569" t="s">
        <v>172</v>
      </c>
      <c r="J4" s="570" t="s">
        <v>173</v>
      </c>
      <c r="K4" s="571">
        <v>2025</v>
      </c>
      <c r="L4" s="572">
        <v>2024</v>
      </c>
    </row>
    <row r="5" spans="1:12" ht="15" customHeight="1" x14ac:dyDescent="0.25">
      <c r="A5" s="573" t="s">
        <v>338</v>
      </c>
      <c r="B5" s="574"/>
      <c r="C5" s="575"/>
      <c r="D5" s="575"/>
      <c r="E5" s="576"/>
      <c r="F5" s="577"/>
      <c r="G5" s="578"/>
      <c r="H5" s="578"/>
      <c r="I5" s="579"/>
      <c r="J5" s="580"/>
      <c r="K5" s="581"/>
      <c r="L5" s="582"/>
    </row>
    <row r="6" spans="1:12" ht="15" customHeight="1" x14ac:dyDescent="0.25">
      <c r="A6" s="583" t="s">
        <v>339</v>
      </c>
      <c r="B6" s="584">
        <v>2273</v>
      </c>
      <c r="C6" s="585">
        <v>2245</v>
      </c>
      <c r="D6" s="585">
        <v>2179</v>
      </c>
      <c r="E6" s="586">
        <v>2169</v>
      </c>
      <c r="F6" s="587">
        <v>2147</v>
      </c>
      <c r="G6" s="588">
        <v>2226</v>
      </c>
      <c r="H6" s="588">
        <v>2254</v>
      </c>
      <c r="I6" s="589">
        <v>2240</v>
      </c>
      <c r="J6" s="590">
        <v>2125</v>
      </c>
      <c r="K6" s="591">
        <v>8866</v>
      </c>
      <c r="L6" s="592">
        <v>8867</v>
      </c>
    </row>
    <row r="7" spans="1:12" ht="15" customHeight="1" x14ac:dyDescent="0.25">
      <c r="A7" s="583" t="s">
        <v>292</v>
      </c>
      <c r="B7" s="584">
        <v>778</v>
      </c>
      <c r="C7" s="585">
        <v>758</v>
      </c>
      <c r="D7" s="585">
        <v>780</v>
      </c>
      <c r="E7" s="586">
        <v>861</v>
      </c>
      <c r="F7" s="587">
        <v>712</v>
      </c>
      <c r="G7" s="588">
        <v>747</v>
      </c>
      <c r="H7" s="588">
        <v>706</v>
      </c>
      <c r="I7" s="589">
        <v>834</v>
      </c>
      <c r="J7" s="590">
        <v>630</v>
      </c>
      <c r="K7" s="591">
        <v>3177</v>
      </c>
      <c r="L7" s="592">
        <v>2999</v>
      </c>
    </row>
    <row r="8" spans="1:12" ht="15" customHeight="1" x14ac:dyDescent="0.25">
      <c r="A8" s="593" t="s">
        <v>293</v>
      </c>
      <c r="B8" s="584">
        <v>654</v>
      </c>
      <c r="C8" s="594">
        <v>657</v>
      </c>
      <c r="D8" s="594">
        <v>662</v>
      </c>
      <c r="E8" s="595">
        <v>678</v>
      </c>
      <c r="F8" s="587">
        <v>621</v>
      </c>
      <c r="G8" s="588">
        <v>658</v>
      </c>
      <c r="H8" s="588">
        <v>647</v>
      </c>
      <c r="I8" s="589">
        <v>690</v>
      </c>
      <c r="J8" s="596">
        <v>588</v>
      </c>
      <c r="K8" s="591">
        <v>2651</v>
      </c>
      <c r="L8" s="597">
        <v>2616</v>
      </c>
    </row>
    <row r="9" spans="1:12" ht="15" customHeight="1" x14ac:dyDescent="0.25">
      <c r="A9" s="593" t="s">
        <v>294</v>
      </c>
      <c r="B9" s="584">
        <v>40</v>
      </c>
      <c r="C9" s="594">
        <v>39</v>
      </c>
      <c r="D9" s="594">
        <v>38</v>
      </c>
      <c r="E9" s="595">
        <v>35</v>
      </c>
      <c r="F9" s="587">
        <v>36</v>
      </c>
      <c r="G9" s="588">
        <v>36</v>
      </c>
      <c r="H9" s="588">
        <v>24</v>
      </c>
      <c r="I9" s="589">
        <v>34</v>
      </c>
      <c r="J9" s="596">
        <v>29</v>
      </c>
      <c r="K9" s="591">
        <v>152</v>
      </c>
      <c r="L9" s="597">
        <v>130</v>
      </c>
    </row>
    <row r="10" spans="1:12" ht="15" customHeight="1" x14ac:dyDescent="0.25">
      <c r="A10" s="593" t="s">
        <v>295</v>
      </c>
      <c r="B10" s="584">
        <v>84</v>
      </c>
      <c r="C10" s="594">
        <v>62</v>
      </c>
      <c r="D10" s="594">
        <v>80</v>
      </c>
      <c r="E10" s="595">
        <v>148</v>
      </c>
      <c r="F10" s="587">
        <v>55</v>
      </c>
      <c r="G10" s="588">
        <v>53</v>
      </c>
      <c r="H10" s="588">
        <v>35</v>
      </c>
      <c r="I10" s="589">
        <v>110</v>
      </c>
      <c r="J10" s="596">
        <v>13</v>
      </c>
      <c r="K10" s="591">
        <v>374</v>
      </c>
      <c r="L10" s="597">
        <v>253</v>
      </c>
    </row>
    <row r="11" spans="1:12" ht="15" customHeight="1" x14ac:dyDescent="0.25">
      <c r="A11" s="598" t="s">
        <v>296</v>
      </c>
      <c r="B11" s="584">
        <v>3051</v>
      </c>
      <c r="C11" s="585">
        <v>3003</v>
      </c>
      <c r="D11" s="585">
        <v>2959</v>
      </c>
      <c r="E11" s="586">
        <v>3030</v>
      </c>
      <c r="F11" s="587">
        <v>2859</v>
      </c>
      <c r="G11" s="588">
        <v>2973</v>
      </c>
      <c r="H11" s="588">
        <v>2960</v>
      </c>
      <c r="I11" s="589">
        <v>3074</v>
      </c>
      <c r="J11" s="590">
        <v>2755</v>
      </c>
      <c r="K11" s="591">
        <v>12043</v>
      </c>
      <c r="L11" s="592">
        <v>11866</v>
      </c>
    </row>
    <row r="12" spans="1:12" ht="15" customHeight="1" x14ac:dyDescent="0.25">
      <c r="A12" s="583" t="s">
        <v>271</v>
      </c>
      <c r="B12" s="584">
        <v>595</v>
      </c>
      <c r="C12" s="585">
        <v>562</v>
      </c>
      <c r="D12" s="585">
        <v>550</v>
      </c>
      <c r="E12" s="599">
        <v>602</v>
      </c>
      <c r="F12" s="587">
        <v>556</v>
      </c>
      <c r="G12" s="588">
        <v>589</v>
      </c>
      <c r="H12" s="588">
        <v>566</v>
      </c>
      <c r="I12" s="600">
        <v>574</v>
      </c>
      <c r="J12" s="590">
        <v>512</v>
      </c>
      <c r="K12" s="591">
        <v>2309</v>
      </c>
      <c r="L12" s="592">
        <v>2285</v>
      </c>
    </row>
    <row r="13" spans="1:12" ht="15" customHeight="1" x14ac:dyDescent="0.25">
      <c r="A13" s="583" t="s">
        <v>340</v>
      </c>
      <c r="B13" s="584">
        <v>1577</v>
      </c>
      <c r="C13" s="585">
        <v>1511</v>
      </c>
      <c r="D13" s="585">
        <v>1523</v>
      </c>
      <c r="E13" s="599">
        <v>1553</v>
      </c>
      <c r="F13" s="587">
        <v>1491</v>
      </c>
      <c r="G13" s="588">
        <v>1550</v>
      </c>
      <c r="H13" s="588">
        <v>1547</v>
      </c>
      <c r="I13" s="600">
        <v>1582</v>
      </c>
      <c r="J13" s="590">
        <v>1531</v>
      </c>
      <c r="K13" s="591">
        <v>6164</v>
      </c>
      <c r="L13" s="592">
        <v>6170</v>
      </c>
    </row>
    <row r="14" spans="1:12" ht="15" customHeight="1" x14ac:dyDescent="0.25">
      <c r="A14" s="598" t="s">
        <v>273</v>
      </c>
      <c r="B14" s="584">
        <v>879</v>
      </c>
      <c r="C14" s="585">
        <v>930</v>
      </c>
      <c r="D14" s="585">
        <v>886</v>
      </c>
      <c r="E14" s="599">
        <v>875</v>
      </c>
      <c r="F14" s="587">
        <v>812</v>
      </c>
      <c r="G14" s="588">
        <v>834</v>
      </c>
      <c r="H14" s="588">
        <v>847</v>
      </c>
      <c r="I14" s="600">
        <v>918</v>
      </c>
      <c r="J14" s="590">
        <v>712</v>
      </c>
      <c r="K14" s="591">
        <v>3570</v>
      </c>
      <c r="L14" s="592">
        <v>3411</v>
      </c>
    </row>
    <row r="15" spans="1:12" ht="15" customHeight="1" x14ac:dyDescent="0.25">
      <c r="A15" s="583" t="s">
        <v>299</v>
      </c>
      <c r="B15" s="584">
        <v>201</v>
      </c>
      <c r="C15" s="585">
        <v>219</v>
      </c>
      <c r="D15" s="585">
        <v>172</v>
      </c>
      <c r="E15" s="599">
        <v>189</v>
      </c>
      <c r="F15" s="587">
        <v>168</v>
      </c>
      <c r="G15" s="588">
        <v>170</v>
      </c>
      <c r="H15" s="588">
        <v>184</v>
      </c>
      <c r="I15" s="600">
        <v>183</v>
      </c>
      <c r="J15" s="590">
        <v>161</v>
      </c>
      <c r="K15" s="591">
        <v>781</v>
      </c>
      <c r="L15" s="592">
        <v>705</v>
      </c>
    </row>
    <row r="16" spans="1:12" ht="15" customHeight="1" x14ac:dyDescent="0.25">
      <c r="A16" s="598" t="s">
        <v>300</v>
      </c>
      <c r="B16" s="584">
        <v>678</v>
      </c>
      <c r="C16" s="585">
        <v>711</v>
      </c>
      <c r="D16" s="585">
        <v>714</v>
      </c>
      <c r="E16" s="599">
        <v>686</v>
      </c>
      <c r="F16" s="587">
        <v>644</v>
      </c>
      <c r="G16" s="588">
        <v>664</v>
      </c>
      <c r="H16" s="588">
        <v>663</v>
      </c>
      <c r="I16" s="600">
        <v>735</v>
      </c>
      <c r="J16" s="590">
        <v>551</v>
      </c>
      <c r="K16" s="591">
        <v>2789</v>
      </c>
      <c r="L16" s="592">
        <v>2706</v>
      </c>
    </row>
    <row r="17" spans="1:12" ht="15" customHeight="1" x14ac:dyDescent="0.25">
      <c r="A17" s="583" t="s">
        <v>301</v>
      </c>
      <c r="B17" s="584">
        <v>4</v>
      </c>
      <c r="C17" s="585">
        <v>5</v>
      </c>
      <c r="D17" s="585">
        <v>5</v>
      </c>
      <c r="E17" s="599">
        <v>6</v>
      </c>
      <c r="F17" s="587">
        <v>6</v>
      </c>
      <c r="G17" s="588">
        <v>5</v>
      </c>
      <c r="H17" s="588">
        <v>6</v>
      </c>
      <c r="I17" s="600">
        <v>6</v>
      </c>
      <c r="J17" s="590">
        <v>8</v>
      </c>
      <c r="K17" s="591">
        <v>20</v>
      </c>
      <c r="L17" s="592">
        <v>23</v>
      </c>
    </row>
    <row r="18" spans="1:12" ht="15" customHeight="1" x14ac:dyDescent="0.25">
      <c r="A18" s="598" t="s">
        <v>277</v>
      </c>
      <c r="B18" s="584">
        <v>682</v>
      </c>
      <c r="C18" s="585">
        <v>716</v>
      </c>
      <c r="D18" s="585">
        <v>719</v>
      </c>
      <c r="E18" s="599">
        <v>692</v>
      </c>
      <c r="F18" s="587">
        <v>650</v>
      </c>
      <c r="G18" s="588">
        <v>669</v>
      </c>
      <c r="H18" s="588">
        <v>669</v>
      </c>
      <c r="I18" s="600">
        <v>741</v>
      </c>
      <c r="J18" s="590">
        <v>559</v>
      </c>
      <c r="K18" s="601">
        <v>2809</v>
      </c>
      <c r="L18" s="602">
        <v>2729</v>
      </c>
    </row>
    <row r="19" spans="1:12" ht="15" customHeight="1" x14ac:dyDescent="0.25">
      <c r="A19" s="598" t="s">
        <v>341</v>
      </c>
      <c r="B19" s="584">
        <v>44</v>
      </c>
      <c r="C19" s="585">
        <v>41</v>
      </c>
      <c r="D19" s="585">
        <v>38</v>
      </c>
      <c r="E19" s="599">
        <v>35</v>
      </c>
      <c r="F19" s="587">
        <v>44</v>
      </c>
      <c r="G19" s="588">
        <v>35</v>
      </c>
      <c r="H19" s="588">
        <v>24</v>
      </c>
      <c r="I19" s="600">
        <v>22</v>
      </c>
      <c r="J19" s="590">
        <v>32</v>
      </c>
      <c r="K19" s="591">
        <v>158</v>
      </c>
      <c r="L19" s="592">
        <v>125</v>
      </c>
    </row>
    <row r="20" spans="1:12" ht="15" customHeight="1" x14ac:dyDescent="0.25">
      <c r="A20" s="598" t="s">
        <v>342</v>
      </c>
      <c r="B20" s="584">
        <v>634</v>
      </c>
      <c r="C20" s="585">
        <v>670</v>
      </c>
      <c r="D20" s="585">
        <v>676</v>
      </c>
      <c r="E20" s="599">
        <v>651</v>
      </c>
      <c r="F20" s="587">
        <v>600</v>
      </c>
      <c r="G20" s="588">
        <v>629</v>
      </c>
      <c r="H20" s="588">
        <v>639</v>
      </c>
      <c r="I20" s="600">
        <v>713</v>
      </c>
      <c r="J20" s="590">
        <v>519</v>
      </c>
      <c r="K20" s="601">
        <v>2631</v>
      </c>
      <c r="L20" s="602">
        <v>2581</v>
      </c>
    </row>
    <row r="21" spans="1:12" ht="15" customHeight="1" x14ac:dyDescent="0.25">
      <c r="A21" s="598" t="s">
        <v>343</v>
      </c>
      <c r="B21" s="584">
        <v>44</v>
      </c>
      <c r="C21" s="585">
        <v>41</v>
      </c>
      <c r="D21" s="585">
        <v>38</v>
      </c>
      <c r="E21" s="599">
        <v>35</v>
      </c>
      <c r="F21" s="587">
        <v>44</v>
      </c>
      <c r="G21" s="588">
        <v>35</v>
      </c>
      <c r="H21" s="588">
        <v>24</v>
      </c>
      <c r="I21" s="600">
        <v>22</v>
      </c>
      <c r="J21" s="590">
        <v>32</v>
      </c>
      <c r="K21" s="591">
        <v>158</v>
      </c>
      <c r="L21" s="592">
        <v>125</v>
      </c>
    </row>
    <row r="22" spans="1:12" ht="15" customHeight="1" x14ac:dyDescent="0.25">
      <c r="A22" s="598" t="s">
        <v>344</v>
      </c>
      <c r="B22" s="584">
        <v>638</v>
      </c>
      <c r="C22" s="585">
        <v>675</v>
      </c>
      <c r="D22" s="585">
        <v>681</v>
      </c>
      <c r="E22" s="599">
        <v>657</v>
      </c>
      <c r="F22" s="587">
        <v>606</v>
      </c>
      <c r="G22" s="588">
        <v>634</v>
      </c>
      <c r="H22" s="588">
        <v>645</v>
      </c>
      <c r="I22" s="600">
        <v>719</v>
      </c>
      <c r="J22" s="590">
        <v>527</v>
      </c>
      <c r="K22" s="601">
        <v>2651</v>
      </c>
      <c r="L22" s="602">
        <v>2604</v>
      </c>
    </row>
    <row r="23" spans="1:12" ht="15" customHeight="1" x14ac:dyDescent="0.25">
      <c r="A23" s="603" t="s">
        <v>304</v>
      </c>
      <c r="B23" s="604"/>
      <c r="C23" s="605"/>
      <c r="D23" s="605"/>
      <c r="E23" s="606"/>
      <c r="F23" s="607"/>
      <c r="G23" s="605"/>
      <c r="H23" s="605"/>
      <c r="I23" s="608"/>
      <c r="J23" s="609"/>
      <c r="K23" s="610"/>
      <c r="L23" s="611"/>
    </row>
    <row r="24" spans="1:12" ht="15" customHeight="1" x14ac:dyDescent="0.25">
      <c r="A24" s="612" t="s">
        <v>305</v>
      </c>
      <c r="B24" s="613">
        <v>4.54</v>
      </c>
      <c r="C24" s="614">
        <v>4.54</v>
      </c>
      <c r="D24" s="614">
        <v>4.5</v>
      </c>
      <c r="E24" s="615">
        <v>4.4000000000000004</v>
      </c>
      <c r="F24" s="616">
        <v>4.42</v>
      </c>
      <c r="G24" s="614">
        <v>4.41</v>
      </c>
      <c r="H24" s="614">
        <v>4.46</v>
      </c>
      <c r="I24" s="615">
        <v>4.3499999999999996</v>
      </c>
      <c r="J24" s="617">
        <v>4.16</v>
      </c>
      <c r="K24" s="618">
        <v>4.5</v>
      </c>
      <c r="L24" s="619">
        <v>4.41</v>
      </c>
    </row>
    <row r="25" spans="1:12" ht="15" customHeight="1" x14ac:dyDescent="0.25">
      <c r="A25" s="583" t="s">
        <v>306</v>
      </c>
      <c r="B25" s="620">
        <v>1.24</v>
      </c>
      <c r="C25" s="621">
        <v>1.1200000000000001</v>
      </c>
      <c r="D25" s="621">
        <v>1.19</v>
      </c>
      <c r="E25" s="622">
        <v>1.27</v>
      </c>
      <c r="F25" s="623">
        <v>1.31</v>
      </c>
      <c r="G25" s="621">
        <v>1.27</v>
      </c>
      <c r="H25" s="621">
        <v>1.3</v>
      </c>
      <c r="I25" s="622">
        <v>1.1299999999999999</v>
      </c>
      <c r="J25" s="624">
        <v>1.02</v>
      </c>
      <c r="K25" s="625">
        <v>1.21</v>
      </c>
      <c r="L25" s="626">
        <v>1.25</v>
      </c>
    </row>
    <row r="26" spans="1:12" ht="15" customHeight="1" x14ac:dyDescent="0.25">
      <c r="A26" s="598" t="s">
        <v>307</v>
      </c>
      <c r="B26" s="627"/>
      <c r="C26" s="628"/>
      <c r="D26" s="628"/>
      <c r="E26" s="629"/>
      <c r="F26" s="630"/>
      <c r="G26" s="631"/>
      <c r="H26" s="631"/>
      <c r="I26" s="629"/>
      <c r="J26" s="632"/>
      <c r="K26" s="625"/>
      <c r="L26" s="626"/>
    </row>
    <row r="27" spans="1:12" ht="15" customHeight="1" x14ac:dyDescent="0.25">
      <c r="A27" s="633" t="s">
        <v>308</v>
      </c>
      <c r="B27" s="634">
        <v>13.9</v>
      </c>
      <c r="C27" s="635">
        <v>14.9</v>
      </c>
      <c r="D27" s="635">
        <v>15.3</v>
      </c>
      <c r="E27" s="636">
        <v>14.2</v>
      </c>
      <c r="F27" s="637">
        <v>12.7</v>
      </c>
      <c r="G27" s="638">
        <v>13.1</v>
      </c>
      <c r="H27" s="638">
        <v>13.6</v>
      </c>
      <c r="I27" s="639">
        <v>14.5</v>
      </c>
      <c r="J27" s="640">
        <v>11.3</v>
      </c>
      <c r="K27" s="641">
        <v>14.6</v>
      </c>
      <c r="L27" s="642">
        <v>13.5</v>
      </c>
    </row>
    <row r="28" spans="1:12" ht="15" customHeight="1" x14ac:dyDescent="0.25">
      <c r="A28" s="633" t="s">
        <v>309</v>
      </c>
      <c r="B28" s="620">
        <v>1.44</v>
      </c>
      <c r="C28" s="621">
        <v>1.39</v>
      </c>
      <c r="D28" s="621">
        <v>1.37</v>
      </c>
      <c r="E28" s="622">
        <v>1.46</v>
      </c>
      <c r="F28" s="623">
        <v>1.37</v>
      </c>
      <c r="G28" s="621">
        <v>1.39</v>
      </c>
      <c r="H28" s="621">
        <v>1.38</v>
      </c>
      <c r="I28" s="622">
        <v>1.35</v>
      </c>
      <c r="J28" s="624">
        <v>1.19</v>
      </c>
      <c r="K28" s="625">
        <v>1.41</v>
      </c>
      <c r="L28" s="626">
        <v>1.37</v>
      </c>
    </row>
    <row r="29" spans="1:12" ht="15" customHeight="1" x14ac:dyDescent="0.25">
      <c r="A29" s="633" t="s">
        <v>310</v>
      </c>
      <c r="B29" s="620">
        <v>1.35</v>
      </c>
      <c r="C29" s="621">
        <v>1.29</v>
      </c>
      <c r="D29" s="621">
        <v>1.31</v>
      </c>
      <c r="E29" s="622">
        <v>1.39</v>
      </c>
      <c r="F29" s="623">
        <v>1.42</v>
      </c>
      <c r="G29" s="621">
        <v>1.46</v>
      </c>
      <c r="H29" s="621">
        <v>1.38</v>
      </c>
      <c r="I29" s="622">
        <v>1.35</v>
      </c>
      <c r="J29" s="624">
        <v>1.18</v>
      </c>
      <c r="K29" s="625">
        <v>1.34</v>
      </c>
      <c r="L29" s="626">
        <v>1.4</v>
      </c>
    </row>
    <row r="30" spans="1:12" ht="15" customHeight="1" x14ac:dyDescent="0.25">
      <c r="A30" s="633" t="s">
        <v>311</v>
      </c>
      <c r="B30" s="634">
        <v>51.7</v>
      </c>
      <c r="C30" s="635">
        <v>50.3</v>
      </c>
      <c r="D30" s="635">
        <v>51.4</v>
      </c>
      <c r="E30" s="636">
        <v>51.3</v>
      </c>
      <c r="F30" s="637">
        <v>52.2</v>
      </c>
      <c r="G30" s="638">
        <v>52.1</v>
      </c>
      <c r="H30" s="638">
        <v>52.3</v>
      </c>
      <c r="I30" s="639">
        <v>51.5</v>
      </c>
      <c r="J30" s="640">
        <v>55.6</v>
      </c>
      <c r="K30" s="641">
        <v>51.2</v>
      </c>
      <c r="L30" s="642">
        <v>52</v>
      </c>
    </row>
    <row r="31" spans="1:12" ht="15" customHeight="1" x14ac:dyDescent="0.25">
      <c r="A31" s="643" t="s">
        <v>312</v>
      </c>
      <c r="B31" s="644"/>
      <c r="C31" s="645"/>
      <c r="D31" s="645"/>
      <c r="E31" s="646"/>
      <c r="F31" s="647"/>
      <c r="G31" s="648"/>
      <c r="H31" s="648"/>
      <c r="I31" s="646"/>
      <c r="J31" s="649"/>
      <c r="K31" s="650"/>
      <c r="L31" s="651"/>
    </row>
    <row r="32" spans="1:12" ht="15" customHeight="1" x14ac:dyDescent="0.25">
      <c r="A32" s="652" t="s">
        <v>313</v>
      </c>
      <c r="B32" s="653">
        <v>14</v>
      </c>
      <c r="C32" s="654">
        <v>15</v>
      </c>
      <c r="D32" s="654">
        <v>15.5</v>
      </c>
      <c r="E32" s="655">
        <v>14.3</v>
      </c>
      <c r="F32" s="656">
        <v>12.8</v>
      </c>
      <c r="G32" s="654">
        <v>13.2</v>
      </c>
      <c r="H32" s="654">
        <v>13.7</v>
      </c>
      <c r="I32" s="655">
        <v>14.6</v>
      </c>
      <c r="J32" s="657">
        <v>11.4</v>
      </c>
      <c r="K32" s="650">
        <v>14.7</v>
      </c>
      <c r="L32" s="651">
        <v>13.6</v>
      </c>
    </row>
    <row r="33" spans="1:12" ht="15" customHeight="1" x14ac:dyDescent="0.25">
      <c r="A33" s="658" t="s">
        <v>314</v>
      </c>
      <c r="B33" s="659">
        <v>51.5</v>
      </c>
      <c r="C33" s="660">
        <v>50.1</v>
      </c>
      <c r="D33" s="660">
        <v>51.2</v>
      </c>
      <c r="E33" s="661">
        <v>51</v>
      </c>
      <c r="F33" s="656">
        <v>51.9</v>
      </c>
      <c r="G33" s="654">
        <v>51.9</v>
      </c>
      <c r="H33" s="654">
        <v>52</v>
      </c>
      <c r="I33" s="655">
        <v>51.2</v>
      </c>
      <c r="J33" s="657">
        <v>55.2</v>
      </c>
      <c r="K33" s="662">
        <v>51</v>
      </c>
      <c r="L33" s="663">
        <v>51.7</v>
      </c>
    </row>
    <row r="34" spans="1:12" ht="15" customHeight="1" x14ac:dyDescent="0.25">
      <c r="A34" s="603" t="s">
        <v>345</v>
      </c>
      <c r="B34" s="664"/>
      <c r="C34" s="665"/>
      <c r="D34" s="665"/>
      <c r="E34" s="666"/>
      <c r="F34" s="667"/>
      <c r="G34" s="668"/>
      <c r="H34" s="668"/>
      <c r="I34" s="666"/>
      <c r="J34" s="669"/>
      <c r="K34" s="670"/>
      <c r="L34" s="671"/>
    </row>
    <row r="35" spans="1:12" ht="15" customHeight="1" x14ac:dyDescent="0.25">
      <c r="A35" s="672" t="s">
        <v>316</v>
      </c>
      <c r="B35" s="673">
        <v>56.3</v>
      </c>
      <c r="C35" s="674">
        <v>54.9</v>
      </c>
      <c r="D35" s="674">
        <v>54.9</v>
      </c>
      <c r="E35" s="675">
        <v>53.6</v>
      </c>
      <c r="F35" s="676">
        <v>53.1</v>
      </c>
      <c r="G35" s="674">
        <v>54.6</v>
      </c>
      <c r="H35" s="674">
        <v>53.6</v>
      </c>
      <c r="I35" s="675">
        <v>53.9</v>
      </c>
      <c r="J35" s="677">
        <v>53.1</v>
      </c>
      <c r="K35" s="678">
        <v>55</v>
      </c>
      <c r="L35" s="679">
        <v>53.8</v>
      </c>
    </row>
    <row r="36" spans="1:12" ht="15" customHeight="1" x14ac:dyDescent="0.25">
      <c r="A36" s="680" t="s">
        <v>346</v>
      </c>
      <c r="B36" s="653">
        <v>20.8</v>
      </c>
      <c r="C36" s="654">
        <v>19.8</v>
      </c>
      <c r="D36" s="654">
        <v>19.899999999999999</v>
      </c>
      <c r="E36" s="655">
        <v>19.7</v>
      </c>
      <c r="F36" s="656">
        <v>18.899999999999999</v>
      </c>
      <c r="G36" s="654">
        <v>19.100000000000001</v>
      </c>
      <c r="H36" s="654">
        <v>18.8</v>
      </c>
      <c r="I36" s="655">
        <v>18.7</v>
      </c>
      <c r="J36" s="657">
        <v>18.5</v>
      </c>
      <c r="K36" s="650">
        <v>20.100000000000001</v>
      </c>
      <c r="L36" s="651">
        <v>18.8</v>
      </c>
    </row>
    <row r="37" spans="1:12" ht="15" customHeight="1" x14ac:dyDescent="0.25">
      <c r="A37" s="680" t="s">
        <v>347</v>
      </c>
      <c r="B37" s="653">
        <v>8.6</v>
      </c>
      <c r="C37" s="654">
        <v>8.4</v>
      </c>
      <c r="D37" s="654">
        <v>8.6</v>
      </c>
      <c r="E37" s="655">
        <v>8.5</v>
      </c>
      <c r="F37" s="656">
        <v>8.4</v>
      </c>
      <c r="G37" s="654">
        <v>8.8000000000000007</v>
      </c>
      <c r="H37" s="654">
        <v>8.6999999999999993</v>
      </c>
      <c r="I37" s="655">
        <v>8.8000000000000007</v>
      </c>
      <c r="J37" s="657">
        <v>8.6999999999999993</v>
      </c>
      <c r="K37" s="650">
        <v>8.5</v>
      </c>
      <c r="L37" s="651">
        <v>8.6</v>
      </c>
    </row>
    <row r="38" spans="1:12" ht="15" customHeight="1" x14ac:dyDescent="0.25">
      <c r="A38" s="680" t="s">
        <v>319</v>
      </c>
      <c r="B38" s="653">
        <v>82.1</v>
      </c>
      <c r="C38" s="654">
        <v>81.599999999999994</v>
      </c>
      <c r="D38" s="654">
        <v>84.6</v>
      </c>
      <c r="E38" s="655">
        <v>85.8</v>
      </c>
      <c r="F38" s="656">
        <v>85.6</v>
      </c>
      <c r="G38" s="654">
        <v>89.4</v>
      </c>
      <c r="H38" s="654">
        <v>90.2</v>
      </c>
      <c r="I38" s="655">
        <v>92.1</v>
      </c>
      <c r="J38" s="657">
        <v>94.2</v>
      </c>
      <c r="K38" s="650">
        <v>83.500000000000014</v>
      </c>
      <c r="L38" s="651">
        <v>89.3</v>
      </c>
    </row>
    <row r="39" spans="1:12" ht="15" customHeight="1" x14ac:dyDescent="0.25">
      <c r="A39" s="643" t="s">
        <v>348</v>
      </c>
      <c r="B39" s="653">
        <v>167.8</v>
      </c>
      <c r="C39" s="654">
        <v>164.7</v>
      </c>
      <c r="D39" s="654">
        <v>168</v>
      </c>
      <c r="E39" s="655">
        <v>167.6</v>
      </c>
      <c r="F39" s="656">
        <v>166</v>
      </c>
      <c r="G39" s="654">
        <v>171.9</v>
      </c>
      <c r="H39" s="654">
        <v>171.3</v>
      </c>
      <c r="I39" s="655">
        <v>173.5</v>
      </c>
      <c r="J39" s="657">
        <v>174.5</v>
      </c>
      <c r="K39" s="681">
        <v>167.10000000000002</v>
      </c>
      <c r="L39" s="682">
        <v>170.5</v>
      </c>
    </row>
    <row r="40" spans="1:12" ht="15" customHeight="1" x14ac:dyDescent="0.25">
      <c r="A40" s="680" t="s">
        <v>349</v>
      </c>
      <c r="B40" s="653">
        <v>22.2</v>
      </c>
      <c r="C40" s="654">
        <v>21.6</v>
      </c>
      <c r="D40" s="654">
        <v>22.6</v>
      </c>
      <c r="E40" s="655">
        <v>21.8</v>
      </c>
      <c r="F40" s="656">
        <v>20.6</v>
      </c>
      <c r="G40" s="654">
        <v>21.5</v>
      </c>
      <c r="H40" s="654">
        <v>22.9</v>
      </c>
      <c r="I40" s="655">
        <v>22.6</v>
      </c>
      <c r="J40" s="657">
        <v>20.3</v>
      </c>
      <c r="K40" s="681">
        <v>22.1</v>
      </c>
      <c r="L40" s="682">
        <v>21.9</v>
      </c>
    </row>
    <row r="41" spans="1:12" ht="15" customHeight="1" x14ac:dyDescent="0.25">
      <c r="A41" s="680" t="s">
        <v>350</v>
      </c>
      <c r="B41" s="653">
        <v>17.899999999999999</v>
      </c>
      <c r="C41" s="654">
        <v>17.5</v>
      </c>
      <c r="D41" s="654">
        <v>17.7</v>
      </c>
      <c r="E41" s="655">
        <v>17.7</v>
      </c>
      <c r="F41" s="656">
        <v>16.2</v>
      </c>
      <c r="G41" s="654">
        <v>16.600000000000001</v>
      </c>
      <c r="H41" s="654">
        <v>16.600000000000001</v>
      </c>
      <c r="I41" s="655">
        <v>16.100000000000001</v>
      </c>
      <c r="J41" s="657">
        <v>17.2</v>
      </c>
      <c r="K41" s="681">
        <v>17.7</v>
      </c>
      <c r="L41" s="682">
        <v>16.399999999999999</v>
      </c>
    </row>
    <row r="42" spans="1:12" ht="15" customHeight="1" x14ac:dyDescent="0.25">
      <c r="A42" s="680" t="s">
        <v>321</v>
      </c>
      <c r="B42" s="653">
        <v>18.099999999999994</v>
      </c>
      <c r="C42" s="654">
        <v>19.5</v>
      </c>
      <c r="D42" s="654">
        <v>20.8</v>
      </c>
      <c r="E42" s="655">
        <v>21.8</v>
      </c>
      <c r="F42" s="683">
        <v>20.7</v>
      </c>
      <c r="G42" s="654">
        <v>22.6</v>
      </c>
      <c r="H42" s="654">
        <v>23.5</v>
      </c>
      <c r="I42" s="655">
        <v>23.3</v>
      </c>
      <c r="J42" s="657">
        <v>25.2</v>
      </c>
      <c r="K42" s="681">
        <v>19.900000000000006</v>
      </c>
      <c r="L42" s="682">
        <v>22.7</v>
      </c>
    </row>
    <row r="43" spans="1:12" ht="15" customHeight="1" x14ac:dyDescent="0.25">
      <c r="A43" s="643" t="s">
        <v>322</v>
      </c>
      <c r="B43" s="653">
        <v>226</v>
      </c>
      <c r="C43" s="654">
        <v>223.3</v>
      </c>
      <c r="D43" s="654">
        <v>229.1</v>
      </c>
      <c r="E43" s="655">
        <v>228.9</v>
      </c>
      <c r="F43" s="683">
        <v>223.5</v>
      </c>
      <c r="G43" s="654">
        <v>232.6</v>
      </c>
      <c r="H43" s="654">
        <v>234.3</v>
      </c>
      <c r="I43" s="655">
        <v>235.5</v>
      </c>
      <c r="J43" s="657">
        <v>237.2</v>
      </c>
      <c r="K43" s="681">
        <v>226.8</v>
      </c>
      <c r="L43" s="682">
        <v>231.5</v>
      </c>
    </row>
    <row r="44" spans="1:12" ht="15" customHeight="1" x14ac:dyDescent="0.25">
      <c r="A44" s="680" t="s">
        <v>323</v>
      </c>
      <c r="B44" s="653">
        <v>42.1</v>
      </c>
      <c r="C44" s="654">
        <v>40.9</v>
      </c>
      <c r="D44" s="654">
        <v>41.4</v>
      </c>
      <c r="E44" s="655">
        <v>41.1</v>
      </c>
      <c r="F44" s="656">
        <v>40.1</v>
      </c>
      <c r="G44" s="654">
        <v>41.3</v>
      </c>
      <c r="H44" s="654">
        <v>41.2</v>
      </c>
      <c r="I44" s="655">
        <v>41.4</v>
      </c>
      <c r="J44" s="657">
        <v>41</v>
      </c>
      <c r="K44" s="681">
        <v>41.3</v>
      </c>
      <c r="L44" s="682">
        <v>41</v>
      </c>
    </row>
    <row r="45" spans="1:12" ht="15" customHeight="1" x14ac:dyDescent="0.25">
      <c r="A45" s="680" t="s">
        <v>324</v>
      </c>
      <c r="B45" s="653">
        <v>92</v>
      </c>
      <c r="C45" s="654">
        <v>88.8</v>
      </c>
      <c r="D45" s="654">
        <v>89.1</v>
      </c>
      <c r="E45" s="655">
        <v>85.7</v>
      </c>
      <c r="F45" s="656">
        <v>84.6</v>
      </c>
      <c r="G45" s="654">
        <v>90.5</v>
      </c>
      <c r="H45" s="654">
        <v>92.9</v>
      </c>
      <c r="I45" s="655">
        <v>89</v>
      </c>
      <c r="J45" s="684">
        <v>90.1</v>
      </c>
      <c r="K45" s="650">
        <v>88.9</v>
      </c>
      <c r="L45" s="651">
        <v>89.2</v>
      </c>
    </row>
    <row r="46" spans="1:12" ht="15" customHeight="1" x14ac:dyDescent="0.25">
      <c r="A46" s="685" t="s">
        <v>325</v>
      </c>
      <c r="B46" s="686">
        <v>134.1</v>
      </c>
      <c r="C46" s="687">
        <v>129.69999999999999</v>
      </c>
      <c r="D46" s="687">
        <v>130.5</v>
      </c>
      <c r="E46" s="688">
        <v>126.8</v>
      </c>
      <c r="F46" s="689">
        <v>124.7</v>
      </c>
      <c r="G46" s="687">
        <v>131.80000000000001</v>
      </c>
      <c r="H46" s="687">
        <v>134.1</v>
      </c>
      <c r="I46" s="688">
        <v>130.4</v>
      </c>
      <c r="J46" s="690">
        <v>131.1</v>
      </c>
      <c r="K46" s="691">
        <v>130.20000000000002</v>
      </c>
      <c r="L46" s="692">
        <v>130.19999999999999</v>
      </c>
    </row>
    <row r="47" spans="1:12" ht="15" customHeight="1" x14ac:dyDescent="0.25">
      <c r="A47" s="693" t="s">
        <v>326</v>
      </c>
      <c r="B47" s="694">
        <v>43.5</v>
      </c>
      <c r="C47" s="695">
        <v>43</v>
      </c>
      <c r="D47" s="695">
        <v>46.9</v>
      </c>
      <c r="E47" s="696">
        <v>47.3</v>
      </c>
      <c r="F47" s="697">
        <v>46.5</v>
      </c>
      <c r="G47" s="695">
        <v>46.8</v>
      </c>
      <c r="H47" s="695">
        <v>47.7</v>
      </c>
      <c r="I47" s="696">
        <v>52.4</v>
      </c>
      <c r="J47" s="698">
        <v>51.6</v>
      </c>
      <c r="K47" s="699">
        <v>45.199999999999989</v>
      </c>
      <c r="L47" s="700">
        <v>48.4</v>
      </c>
    </row>
    <row r="48" spans="1:12" ht="15" customHeight="1" x14ac:dyDescent="0.25">
      <c r="A48" s="598" t="s">
        <v>327</v>
      </c>
      <c r="B48" s="634">
        <v>177.6</v>
      </c>
      <c r="C48" s="635">
        <v>172.7</v>
      </c>
      <c r="D48" s="635">
        <v>177.4</v>
      </c>
      <c r="E48" s="636">
        <v>174.1</v>
      </c>
      <c r="F48" s="701">
        <v>171.2</v>
      </c>
      <c r="G48" s="635">
        <v>178.6</v>
      </c>
      <c r="H48" s="635">
        <v>181.8</v>
      </c>
      <c r="I48" s="636">
        <v>182.8</v>
      </c>
      <c r="J48" s="640">
        <v>182.7</v>
      </c>
      <c r="K48" s="641">
        <v>175.4</v>
      </c>
      <c r="L48" s="642">
        <v>178.6</v>
      </c>
    </row>
    <row r="49" spans="1:12" ht="15" customHeight="1" x14ac:dyDescent="0.25">
      <c r="A49" s="702" t="s">
        <v>328</v>
      </c>
      <c r="B49" s="703"/>
      <c r="C49" s="704"/>
      <c r="D49" s="704"/>
      <c r="E49" s="705"/>
      <c r="F49" s="706"/>
      <c r="G49" s="704"/>
      <c r="H49" s="704"/>
      <c r="I49" s="707"/>
      <c r="J49" s="708"/>
      <c r="K49" s="709"/>
      <c r="L49" s="710"/>
    </row>
    <row r="50" spans="1:12" ht="15" customHeight="1" x14ac:dyDescent="0.25">
      <c r="A50" s="583" t="s">
        <v>351</v>
      </c>
      <c r="B50" s="584">
        <v>36624</v>
      </c>
      <c r="C50" s="585">
        <v>36885</v>
      </c>
      <c r="D50" s="585">
        <v>36998</v>
      </c>
      <c r="E50" s="711">
        <v>39257</v>
      </c>
      <c r="F50" s="712">
        <v>39397</v>
      </c>
      <c r="G50" s="602">
        <v>40011</v>
      </c>
      <c r="H50" s="602">
        <v>40287</v>
      </c>
      <c r="I50" s="713">
        <v>40488</v>
      </c>
      <c r="J50" s="590">
        <v>40697</v>
      </c>
      <c r="K50" s="714"/>
      <c r="L50" s="715"/>
    </row>
    <row r="51" spans="1:12" ht="15" customHeight="1" x14ac:dyDescent="0.25">
      <c r="A51" s="583" t="s">
        <v>330</v>
      </c>
      <c r="B51" s="584">
        <v>953</v>
      </c>
      <c r="C51" s="585">
        <v>963</v>
      </c>
      <c r="D51" s="585">
        <v>968</v>
      </c>
      <c r="E51" s="599">
        <v>1046</v>
      </c>
      <c r="F51" s="712">
        <v>1050</v>
      </c>
      <c r="G51" s="602">
        <v>1074</v>
      </c>
      <c r="H51" s="602">
        <v>1088</v>
      </c>
      <c r="I51" s="713">
        <v>1112</v>
      </c>
      <c r="J51" s="590">
        <v>1140</v>
      </c>
      <c r="K51" s="716"/>
      <c r="L51" s="717"/>
    </row>
    <row r="52" spans="1:12" ht="15" customHeight="1" x14ac:dyDescent="0.25">
      <c r="A52" s="583" t="s">
        <v>247</v>
      </c>
      <c r="B52" s="718">
        <v>4890</v>
      </c>
      <c r="C52" s="585">
        <v>4899</v>
      </c>
      <c r="D52" s="585">
        <v>4945</v>
      </c>
      <c r="E52" s="599">
        <v>4940</v>
      </c>
      <c r="F52" s="712">
        <v>4955</v>
      </c>
      <c r="G52" s="602">
        <v>4957</v>
      </c>
      <c r="H52" s="602">
        <v>4931</v>
      </c>
      <c r="I52" s="713">
        <v>4949</v>
      </c>
      <c r="J52" s="590">
        <v>4976</v>
      </c>
      <c r="K52" s="719"/>
      <c r="L52" s="717"/>
    </row>
    <row r="53" spans="1:12" ht="15" customHeight="1" x14ac:dyDescent="0.25">
      <c r="A53" s="720" t="s">
        <v>352</v>
      </c>
      <c r="B53" s="721">
        <v>6</v>
      </c>
      <c r="C53" s="722">
        <v>7</v>
      </c>
      <c r="D53" s="722">
        <v>7</v>
      </c>
      <c r="E53" s="723">
        <v>8</v>
      </c>
      <c r="F53" s="724">
        <v>9</v>
      </c>
      <c r="G53" s="725">
        <v>7</v>
      </c>
      <c r="H53" s="725">
        <v>8</v>
      </c>
      <c r="I53" s="726">
        <v>8</v>
      </c>
      <c r="J53" s="727">
        <v>10</v>
      </c>
      <c r="K53" s="728">
        <v>28</v>
      </c>
      <c r="L53" s="729">
        <v>32</v>
      </c>
    </row>
    <row r="54" spans="1:12" ht="14.55" customHeight="1" x14ac:dyDescent="0.25">
      <c r="A54" s="730"/>
      <c r="B54" s="731"/>
      <c r="C54" s="731"/>
      <c r="D54" s="732"/>
      <c r="E54" s="732"/>
      <c r="F54" s="733"/>
      <c r="G54" s="733"/>
      <c r="H54" s="733"/>
      <c r="I54" s="733"/>
      <c r="J54" s="733"/>
      <c r="K54" s="733"/>
      <c r="L54" s="733"/>
    </row>
    <row r="55" spans="1:12" ht="12" customHeight="1" x14ac:dyDescent="0.25">
      <c r="A55" s="2849" t="s">
        <v>353</v>
      </c>
      <c r="B55" s="2849" t="s">
        <v>15</v>
      </c>
      <c r="C55" s="2849" t="s">
        <v>15</v>
      </c>
      <c r="D55" s="2849" t="s">
        <v>15</v>
      </c>
      <c r="E55" s="2849" t="s">
        <v>15</v>
      </c>
      <c r="F55" s="2849" t="s">
        <v>15</v>
      </c>
      <c r="G55" s="2849" t="s">
        <v>15</v>
      </c>
      <c r="H55" s="2849" t="s">
        <v>15</v>
      </c>
      <c r="I55" s="2849" t="s">
        <v>15</v>
      </c>
      <c r="J55" s="2849" t="s">
        <v>15</v>
      </c>
      <c r="K55" s="2849" t="s">
        <v>15</v>
      </c>
      <c r="L55" s="2849" t="s">
        <v>15</v>
      </c>
    </row>
    <row r="56" spans="1:12" ht="12" customHeight="1" x14ac:dyDescent="0.25">
      <c r="A56" s="2837" t="s">
        <v>354</v>
      </c>
      <c r="B56" s="2849" t="s">
        <v>15</v>
      </c>
      <c r="C56" s="2849" t="s">
        <v>15</v>
      </c>
      <c r="D56" s="2849" t="s">
        <v>15</v>
      </c>
      <c r="E56" s="2849" t="s">
        <v>15</v>
      </c>
      <c r="F56" s="2849" t="s">
        <v>15</v>
      </c>
      <c r="G56" s="2849" t="s">
        <v>15</v>
      </c>
      <c r="H56" s="2849" t="s">
        <v>15</v>
      </c>
      <c r="I56" s="2849" t="s">
        <v>15</v>
      </c>
      <c r="J56" s="2849" t="s">
        <v>15</v>
      </c>
      <c r="K56" s="2849" t="s">
        <v>15</v>
      </c>
      <c r="L56" s="2849" t="s">
        <v>15</v>
      </c>
    </row>
    <row r="57" spans="1:12" ht="12" customHeight="1" x14ac:dyDescent="0.25">
      <c r="A57" s="2837" t="s">
        <v>355</v>
      </c>
      <c r="B57" s="2837" t="s">
        <v>15</v>
      </c>
      <c r="C57" s="2837" t="s">
        <v>15</v>
      </c>
      <c r="D57" s="2837" t="s">
        <v>15</v>
      </c>
      <c r="E57" s="2837" t="s">
        <v>15</v>
      </c>
      <c r="F57" s="2837" t="s">
        <v>15</v>
      </c>
      <c r="G57" s="2837" t="s">
        <v>15</v>
      </c>
      <c r="H57" s="2837" t="s">
        <v>15</v>
      </c>
      <c r="I57" s="2837" t="s">
        <v>15</v>
      </c>
      <c r="J57" s="2837" t="s">
        <v>15</v>
      </c>
      <c r="K57" s="734"/>
      <c r="L57" s="734"/>
    </row>
    <row r="58" spans="1:12" ht="12" customHeight="1" x14ac:dyDescent="0.25">
      <c r="A58" s="734" t="s">
        <v>356</v>
      </c>
      <c r="B58" s="734"/>
      <c r="C58" s="735"/>
      <c r="D58" s="734"/>
      <c r="E58" s="734"/>
      <c r="F58" s="734"/>
      <c r="G58" s="734"/>
      <c r="H58" s="734"/>
      <c r="I58" s="734"/>
      <c r="J58" s="734"/>
      <c r="K58" s="734"/>
      <c r="L58" s="734"/>
    </row>
    <row r="59" spans="1:12" ht="12" customHeight="1" x14ac:dyDescent="0.25">
      <c r="A59" s="734" t="s">
        <v>357</v>
      </c>
      <c r="B59" s="734"/>
      <c r="C59" s="735"/>
      <c r="D59" s="734"/>
      <c r="E59" s="734"/>
      <c r="F59" s="734"/>
      <c r="G59" s="734"/>
      <c r="H59" s="734"/>
      <c r="I59" s="734"/>
      <c r="J59" s="734"/>
      <c r="K59" s="734"/>
      <c r="L59" s="734"/>
    </row>
    <row r="60" spans="1:12" ht="10.35" customHeight="1" x14ac:dyDescent="0.25">
      <c r="A60" s="2838"/>
      <c r="B60" s="2838" t="s">
        <v>15</v>
      </c>
      <c r="C60" s="2838" t="s">
        <v>15</v>
      </c>
      <c r="D60" s="2838" t="s">
        <v>15</v>
      </c>
      <c r="E60" s="2838" t="s">
        <v>15</v>
      </c>
      <c r="F60" s="2838" t="s">
        <v>15</v>
      </c>
      <c r="G60" s="2838" t="s">
        <v>15</v>
      </c>
      <c r="H60" s="2838" t="s">
        <v>15</v>
      </c>
      <c r="I60" s="2838" t="s">
        <v>15</v>
      </c>
      <c r="J60" s="2838" t="s">
        <v>15</v>
      </c>
      <c r="K60" s="2838" t="s">
        <v>15</v>
      </c>
      <c r="L60" s="2838" t="s">
        <v>15</v>
      </c>
    </row>
  </sheetData>
  <mergeCells count="8">
    <mergeCell ref="A57:J57"/>
    <mergeCell ref="A60:L60"/>
    <mergeCell ref="A2:L2"/>
    <mergeCell ref="B3:E3"/>
    <mergeCell ref="F3:I3"/>
    <mergeCell ref="K3:L3"/>
    <mergeCell ref="A55:L55"/>
    <mergeCell ref="A56:L56"/>
  </mergeCells>
  <hyperlinks>
    <hyperlink ref="A1" location="ToC!A2" display="Back to Table of Contents" xr:uid="{63608EA5-980F-4836-A570-EB5C866667FD}"/>
  </hyperlinks>
  <pageMargins left="0.5" right="0.5" top="0.5" bottom="0.5" header="0.25" footer="0.25"/>
  <pageSetup scale="58" orientation="landscape" horizontalDpi="72" verticalDpi="72" r:id="rId1"/>
  <headerFooter>
    <oddFooter>&amp;L&amp;G&amp;C&amp;"Scotia,Regular"&amp;9Supplementary Financial Information (SFI)&amp;R5&amp;"Scotia,Regular"&amp;7</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AE55-D268-41D5-8463-8F8DA0A3A22E}">
  <sheetPr>
    <pageSetUpPr fitToPage="1"/>
  </sheetPr>
  <dimension ref="A1:L62"/>
  <sheetViews>
    <sheetView showGridLines="0" zoomScaleNormal="100" workbookViewId="0"/>
  </sheetViews>
  <sheetFormatPr defaultColWidth="8.77734375" defaultRowHeight="13.2" x14ac:dyDescent="0.25"/>
  <cols>
    <col min="1" max="1" width="75.5546875" style="23" customWidth="1"/>
    <col min="2" max="4" width="11.21875" style="23" customWidth="1"/>
    <col min="5" max="12" width="12.5546875" style="23" customWidth="1"/>
    <col min="13" max="16384" width="8.77734375" style="23"/>
  </cols>
  <sheetData>
    <row r="1" spans="1:12" ht="19.95" customHeight="1" x14ac:dyDescent="0.25">
      <c r="A1" s="22" t="s">
        <v>12</v>
      </c>
    </row>
    <row r="2" spans="1:12" ht="25.35" customHeight="1" x14ac:dyDescent="0.25">
      <c r="A2" s="2851" t="s">
        <v>358</v>
      </c>
      <c r="B2" s="2852" t="s">
        <v>15</v>
      </c>
      <c r="C2" s="2852" t="s">
        <v>15</v>
      </c>
      <c r="D2" s="2852" t="s">
        <v>15</v>
      </c>
      <c r="E2" s="2852" t="s">
        <v>15</v>
      </c>
      <c r="F2" s="2852" t="s">
        <v>15</v>
      </c>
      <c r="G2" s="2852" t="s">
        <v>15</v>
      </c>
      <c r="H2" s="2852" t="s">
        <v>15</v>
      </c>
      <c r="I2" s="2852" t="s">
        <v>15</v>
      </c>
      <c r="J2" s="2852" t="s">
        <v>15</v>
      </c>
      <c r="K2" s="2852" t="s">
        <v>15</v>
      </c>
      <c r="L2" s="2852" t="s">
        <v>15</v>
      </c>
    </row>
    <row r="3" spans="1:12" ht="15" customHeight="1" x14ac:dyDescent="0.25">
      <c r="A3" s="736"/>
      <c r="B3" s="2853"/>
      <c r="C3" s="2854"/>
      <c r="D3" s="2854"/>
      <c r="E3" s="2855"/>
      <c r="F3" s="2856"/>
      <c r="G3" s="2857"/>
      <c r="H3" s="2857"/>
      <c r="I3" s="2858"/>
      <c r="J3" s="737"/>
      <c r="K3" s="2859" t="s">
        <v>163</v>
      </c>
      <c r="L3" s="2860" t="s">
        <v>15</v>
      </c>
    </row>
    <row r="4" spans="1:12" ht="15" customHeight="1" x14ac:dyDescent="0.25">
      <c r="A4" s="738"/>
      <c r="B4" s="739" t="s">
        <v>165</v>
      </c>
      <c r="C4" s="740" t="s">
        <v>166</v>
      </c>
      <c r="D4" s="740" t="s">
        <v>167</v>
      </c>
      <c r="E4" s="741" t="s">
        <v>168</v>
      </c>
      <c r="F4" s="742" t="s">
        <v>169</v>
      </c>
      <c r="G4" s="743" t="s">
        <v>170</v>
      </c>
      <c r="H4" s="743" t="s">
        <v>171</v>
      </c>
      <c r="I4" s="744" t="s">
        <v>172</v>
      </c>
      <c r="J4" s="745" t="s">
        <v>173</v>
      </c>
      <c r="K4" s="742">
        <v>2025</v>
      </c>
      <c r="L4" s="746">
        <v>2024</v>
      </c>
    </row>
    <row r="5" spans="1:12" ht="15" customHeight="1" x14ac:dyDescent="0.25">
      <c r="A5" s="747" t="s">
        <v>338</v>
      </c>
      <c r="B5" s="748"/>
      <c r="C5" s="749"/>
      <c r="D5" s="750"/>
      <c r="E5" s="751"/>
      <c r="F5" s="752"/>
      <c r="G5" s="753"/>
      <c r="H5" s="753"/>
      <c r="I5" s="754"/>
      <c r="J5" s="755"/>
      <c r="K5" s="756"/>
      <c r="L5" s="757"/>
    </row>
    <row r="6" spans="1:12" ht="15" customHeight="1" x14ac:dyDescent="0.25">
      <c r="A6" s="758" t="s">
        <v>339</v>
      </c>
      <c r="B6" s="718">
        <v>2273</v>
      </c>
      <c r="C6" s="759">
        <v>2293</v>
      </c>
      <c r="D6" s="759">
        <v>2196</v>
      </c>
      <c r="E6" s="586">
        <v>2220</v>
      </c>
      <c r="F6" s="760">
        <v>2227</v>
      </c>
      <c r="G6" s="602">
        <v>2236</v>
      </c>
      <c r="H6" s="602">
        <v>2273</v>
      </c>
      <c r="I6" s="713">
        <v>2235</v>
      </c>
      <c r="J6" s="590">
        <v>2125</v>
      </c>
      <c r="K6" s="761">
        <v>8866</v>
      </c>
      <c r="L6" s="762">
        <v>8856</v>
      </c>
    </row>
    <row r="7" spans="1:12" ht="15" customHeight="1" x14ac:dyDescent="0.25">
      <c r="A7" s="758" t="s">
        <v>292</v>
      </c>
      <c r="B7" s="718">
        <v>778</v>
      </c>
      <c r="C7" s="759">
        <v>770</v>
      </c>
      <c r="D7" s="759">
        <v>777</v>
      </c>
      <c r="E7" s="586">
        <v>879</v>
      </c>
      <c r="F7" s="712">
        <v>728</v>
      </c>
      <c r="G7" s="602">
        <v>742</v>
      </c>
      <c r="H7" s="602">
        <v>698</v>
      </c>
      <c r="I7" s="713">
        <v>828</v>
      </c>
      <c r="J7" s="590">
        <v>625</v>
      </c>
      <c r="K7" s="761">
        <v>3177</v>
      </c>
      <c r="L7" s="762">
        <v>2980</v>
      </c>
    </row>
    <row r="8" spans="1:12" ht="15" customHeight="1" x14ac:dyDescent="0.25">
      <c r="A8" s="763" t="s">
        <v>293</v>
      </c>
      <c r="B8" s="718">
        <v>654</v>
      </c>
      <c r="C8" s="764">
        <v>672</v>
      </c>
      <c r="D8" s="764">
        <v>670</v>
      </c>
      <c r="E8" s="595">
        <v>696</v>
      </c>
      <c r="F8" s="765">
        <v>647</v>
      </c>
      <c r="G8" s="766">
        <v>659</v>
      </c>
      <c r="H8" s="766">
        <v>646</v>
      </c>
      <c r="I8" s="767">
        <v>692</v>
      </c>
      <c r="J8" s="596">
        <v>590</v>
      </c>
      <c r="K8" s="761">
        <v>2651</v>
      </c>
      <c r="L8" s="768">
        <v>2600</v>
      </c>
    </row>
    <row r="9" spans="1:12" ht="15" customHeight="1" x14ac:dyDescent="0.25">
      <c r="A9" s="763" t="s">
        <v>294</v>
      </c>
      <c r="B9" s="718">
        <v>40</v>
      </c>
      <c r="C9" s="764">
        <v>39</v>
      </c>
      <c r="D9" s="764">
        <v>37</v>
      </c>
      <c r="E9" s="595">
        <v>35</v>
      </c>
      <c r="F9" s="765">
        <v>38</v>
      </c>
      <c r="G9" s="766">
        <v>36</v>
      </c>
      <c r="H9" s="766">
        <v>24</v>
      </c>
      <c r="I9" s="767">
        <v>34</v>
      </c>
      <c r="J9" s="596">
        <v>30</v>
      </c>
      <c r="K9" s="761">
        <v>152</v>
      </c>
      <c r="L9" s="768">
        <v>132</v>
      </c>
    </row>
    <row r="10" spans="1:12" ht="15" customHeight="1" x14ac:dyDescent="0.25">
      <c r="A10" s="763" t="s">
        <v>295</v>
      </c>
      <c r="B10" s="718">
        <v>84</v>
      </c>
      <c r="C10" s="764">
        <v>59</v>
      </c>
      <c r="D10" s="764">
        <v>70</v>
      </c>
      <c r="E10" s="595">
        <v>148</v>
      </c>
      <c r="F10" s="765">
        <v>43</v>
      </c>
      <c r="G10" s="766">
        <v>47</v>
      </c>
      <c r="H10" s="766">
        <v>28</v>
      </c>
      <c r="I10" s="767">
        <v>102</v>
      </c>
      <c r="J10" s="596">
        <v>5</v>
      </c>
      <c r="K10" s="761">
        <v>374</v>
      </c>
      <c r="L10" s="768">
        <v>248</v>
      </c>
    </row>
    <row r="11" spans="1:12" ht="15" customHeight="1" x14ac:dyDescent="0.25">
      <c r="A11" s="769" t="s">
        <v>296</v>
      </c>
      <c r="B11" s="718">
        <v>3051</v>
      </c>
      <c r="C11" s="759">
        <v>3063</v>
      </c>
      <c r="D11" s="759">
        <v>2973</v>
      </c>
      <c r="E11" s="586">
        <v>3099</v>
      </c>
      <c r="F11" s="712">
        <v>2955</v>
      </c>
      <c r="G11" s="602">
        <v>2978</v>
      </c>
      <c r="H11" s="602">
        <v>2971</v>
      </c>
      <c r="I11" s="713">
        <v>3063</v>
      </c>
      <c r="J11" s="590">
        <v>2750</v>
      </c>
      <c r="K11" s="761">
        <v>12043</v>
      </c>
      <c r="L11" s="762">
        <v>11836</v>
      </c>
    </row>
    <row r="12" spans="1:12" ht="15" customHeight="1" x14ac:dyDescent="0.25">
      <c r="A12" s="758" t="s">
        <v>271</v>
      </c>
      <c r="B12" s="718">
        <v>595</v>
      </c>
      <c r="C12" s="585">
        <v>574</v>
      </c>
      <c r="D12" s="585">
        <v>557</v>
      </c>
      <c r="E12" s="599">
        <v>624</v>
      </c>
      <c r="F12" s="712">
        <v>582</v>
      </c>
      <c r="G12" s="602">
        <v>597</v>
      </c>
      <c r="H12" s="602">
        <v>581</v>
      </c>
      <c r="I12" s="713">
        <v>580</v>
      </c>
      <c r="J12" s="590">
        <v>519</v>
      </c>
      <c r="K12" s="761">
        <v>2309</v>
      </c>
      <c r="L12" s="762">
        <v>2293</v>
      </c>
    </row>
    <row r="13" spans="1:12" ht="15" customHeight="1" x14ac:dyDescent="0.25">
      <c r="A13" s="758" t="s">
        <v>340</v>
      </c>
      <c r="B13" s="718">
        <v>1577</v>
      </c>
      <c r="C13" s="585">
        <v>1542</v>
      </c>
      <c r="D13" s="585">
        <v>1542</v>
      </c>
      <c r="E13" s="599">
        <v>1594</v>
      </c>
      <c r="F13" s="712">
        <v>1544</v>
      </c>
      <c r="G13" s="602">
        <v>1551</v>
      </c>
      <c r="H13" s="602">
        <v>1544</v>
      </c>
      <c r="I13" s="713">
        <v>1576</v>
      </c>
      <c r="J13" s="590">
        <v>1532</v>
      </c>
      <c r="K13" s="761">
        <v>6164</v>
      </c>
      <c r="L13" s="762">
        <v>6121</v>
      </c>
    </row>
    <row r="14" spans="1:12" ht="15" customHeight="1" x14ac:dyDescent="0.25">
      <c r="A14" s="769" t="s">
        <v>273</v>
      </c>
      <c r="B14" s="718">
        <v>879</v>
      </c>
      <c r="C14" s="585">
        <v>947</v>
      </c>
      <c r="D14" s="585">
        <v>874</v>
      </c>
      <c r="E14" s="599">
        <v>881</v>
      </c>
      <c r="F14" s="712">
        <v>829</v>
      </c>
      <c r="G14" s="602">
        <v>830</v>
      </c>
      <c r="H14" s="602">
        <v>846</v>
      </c>
      <c r="I14" s="713">
        <v>907</v>
      </c>
      <c r="J14" s="590">
        <v>699</v>
      </c>
      <c r="K14" s="761">
        <v>3570</v>
      </c>
      <c r="L14" s="762">
        <v>3422</v>
      </c>
    </row>
    <row r="15" spans="1:12" ht="15" customHeight="1" x14ac:dyDescent="0.25">
      <c r="A15" s="758" t="s">
        <v>299</v>
      </c>
      <c r="B15" s="718">
        <v>201</v>
      </c>
      <c r="C15" s="585">
        <v>223</v>
      </c>
      <c r="D15" s="585">
        <v>169</v>
      </c>
      <c r="E15" s="599">
        <v>191</v>
      </c>
      <c r="F15" s="712">
        <v>171</v>
      </c>
      <c r="G15" s="602">
        <v>169</v>
      </c>
      <c r="H15" s="602">
        <v>182</v>
      </c>
      <c r="I15" s="713">
        <v>179</v>
      </c>
      <c r="J15" s="590">
        <v>157</v>
      </c>
      <c r="K15" s="761">
        <v>781</v>
      </c>
      <c r="L15" s="762">
        <v>704</v>
      </c>
    </row>
    <row r="16" spans="1:12" ht="15" customHeight="1" x14ac:dyDescent="0.25">
      <c r="A16" s="769" t="s">
        <v>300</v>
      </c>
      <c r="B16" s="770">
        <v>678</v>
      </c>
      <c r="C16" s="771">
        <v>724</v>
      </c>
      <c r="D16" s="771">
        <v>705</v>
      </c>
      <c r="E16" s="772">
        <v>690</v>
      </c>
      <c r="F16" s="712">
        <v>658</v>
      </c>
      <c r="G16" s="602">
        <v>661</v>
      </c>
      <c r="H16" s="602">
        <v>664</v>
      </c>
      <c r="I16" s="713">
        <v>728</v>
      </c>
      <c r="J16" s="590">
        <v>542</v>
      </c>
      <c r="K16" s="761">
        <v>2789</v>
      </c>
      <c r="L16" s="762">
        <v>2718</v>
      </c>
    </row>
    <row r="17" spans="1:12" ht="15" customHeight="1" x14ac:dyDescent="0.25">
      <c r="A17" s="758" t="s">
        <v>359</v>
      </c>
      <c r="B17" s="770">
        <v>4</v>
      </c>
      <c r="C17" s="771">
        <v>5</v>
      </c>
      <c r="D17" s="771">
        <v>5</v>
      </c>
      <c r="E17" s="772">
        <v>6</v>
      </c>
      <c r="F17" s="712">
        <v>6</v>
      </c>
      <c r="G17" s="602">
        <v>6</v>
      </c>
      <c r="H17" s="602">
        <v>6</v>
      </c>
      <c r="I17" s="713">
        <v>6</v>
      </c>
      <c r="J17" s="590">
        <v>7</v>
      </c>
      <c r="K17" s="761">
        <v>20</v>
      </c>
      <c r="L17" s="762">
        <v>23</v>
      </c>
    </row>
    <row r="18" spans="1:12" ht="15" customHeight="1" x14ac:dyDescent="0.25">
      <c r="A18" s="769" t="s">
        <v>360</v>
      </c>
      <c r="B18" s="770">
        <v>682</v>
      </c>
      <c r="C18" s="771">
        <v>729</v>
      </c>
      <c r="D18" s="771">
        <v>710</v>
      </c>
      <c r="E18" s="772">
        <v>696</v>
      </c>
      <c r="F18" s="760">
        <v>664</v>
      </c>
      <c r="G18" s="602">
        <v>667</v>
      </c>
      <c r="H18" s="602">
        <v>670</v>
      </c>
      <c r="I18" s="713">
        <v>734</v>
      </c>
      <c r="J18" s="590">
        <v>549</v>
      </c>
      <c r="K18" s="712">
        <v>2809</v>
      </c>
      <c r="L18" s="602">
        <v>2741</v>
      </c>
    </row>
    <row r="19" spans="1:12" ht="15" customHeight="1" x14ac:dyDescent="0.25">
      <c r="A19" s="769" t="s">
        <v>341</v>
      </c>
      <c r="B19" s="770">
        <v>44</v>
      </c>
      <c r="C19" s="771">
        <v>42</v>
      </c>
      <c r="D19" s="771">
        <v>37</v>
      </c>
      <c r="E19" s="772">
        <v>33</v>
      </c>
      <c r="F19" s="712">
        <v>44</v>
      </c>
      <c r="G19" s="602">
        <v>34</v>
      </c>
      <c r="H19" s="602">
        <v>24</v>
      </c>
      <c r="I19" s="713">
        <v>22</v>
      </c>
      <c r="J19" s="590">
        <v>31</v>
      </c>
      <c r="K19" s="761">
        <v>158</v>
      </c>
      <c r="L19" s="762">
        <v>128</v>
      </c>
    </row>
    <row r="20" spans="1:12" ht="15" customHeight="1" x14ac:dyDescent="0.25">
      <c r="A20" s="769" t="s">
        <v>342</v>
      </c>
      <c r="B20" s="770">
        <v>634</v>
      </c>
      <c r="C20" s="771">
        <v>682</v>
      </c>
      <c r="D20" s="771">
        <v>668</v>
      </c>
      <c r="E20" s="772">
        <v>657</v>
      </c>
      <c r="F20" s="712">
        <v>614</v>
      </c>
      <c r="G20" s="602">
        <v>627</v>
      </c>
      <c r="H20" s="602">
        <v>640</v>
      </c>
      <c r="I20" s="713">
        <v>706</v>
      </c>
      <c r="J20" s="590">
        <v>511</v>
      </c>
      <c r="K20" s="712">
        <v>2631</v>
      </c>
      <c r="L20" s="602">
        <v>2590</v>
      </c>
    </row>
    <row r="21" spans="1:12" ht="15" customHeight="1" x14ac:dyDescent="0.25">
      <c r="A21" s="769" t="s">
        <v>361</v>
      </c>
      <c r="B21" s="770">
        <v>44</v>
      </c>
      <c r="C21" s="771">
        <v>42</v>
      </c>
      <c r="D21" s="771">
        <v>37</v>
      </c>
      <c r="E21" s="772">
        <v>33</v>
      </c>
      <c r="F21" s="712">
        <v>44</v>
      </c>
      <c r="G21" s="602">
        <v>34</v>
      </c>
      <c r="H21" s="602">
        <v>24</v>
      </c>
      <c r="I21" s="713">
        <v>22</v>
      </c>
      <c r="J21" s="590">
        <v>31</v>
      </c>
      <c r="K21" s="761">
        <v>158</v>
      </c>
      <c r="L21" s="762">
        <v>128</v>
      </c>
    </row>
    <row r="22" spans="1:12" ht="15" customHeight="1" x14ac:dyDescent="0.25">
      <c r="A22" s="769" t="s">
        <v>362</v>
      </c>
      <c r="B22" s="770">
        <v>638</v>
      </c>
      <c r="C22" s="771">
        <v>687</v>
      </c>
      <c r="D22" s="771">
        <v>673</v>
      </c>
      <c r="E22" s="772">
        <v>663</v>
      </c>
      <c r="F22" s="712">
        <v>620</v>
      </c>
      <c r="G22" s="602">
        <v>633</v>
      </c>
      <c r="H22" s="602">
        <v>646</v>
      </c>
      <c r="I22" s="713">
        <v>712</v>
      </c>
      <c r="J22" s="590">
        <v>518</v>
      </c>
      <c r="K22" s="712">
        <v>2651</v>
      </c>
      <c r="L22" s="602">
        <v>2613</v>
      </c>
    </row>
    <row r="23" spans="1:12" ht="15" customHeight="1" x14ac:dyDescent="0.25">
      <c r="A23" s="773" t="s">
        <v>363</v>
      </c>
      <c r="B23" s="774"/>
      <c r="C23" s="775"/>
      <c r="D23" s="775"/>
      <c r="E23" s="776"/>
      <c r="F23" s="777"/>
      <c r="G23" s="778"/>
      <c r="H23" s="778"/>
      <c r="I23" s="779"/>
      <c r="J23" s="609"/>
      <c r="K23" s="780"/>
      <c r="L23" s="781"/>
    </row>
    <row r="24" spans="1:12" ht="15" customHeight="1" x14ac:dyDescent="0.25">
      <c r="A24" s="782" t="s">
        <v>364</v>
      </c>
      <c r="B24" s="783">
        <v>4.54</v>
      </c>
      <c r="C24" s="784">
        <v>4.54</v>
      </c>
      <c r="D24" s="784">
        <v>4.5</v>
      </c>
      <c r="E24" s="785">
        <v>4.4000000000000004</v>
      </c>
      <c r="F24" s="616">
        <v>4.42</v>
      </c>
      <c r="G24" s="614">
        <v>4.41</v>
      </c>
      <c r="H24" s="614">
        <v>4.46</v>
      </c>
      <c r="I24" s="615">
        <v>4.3499999999999996</v>
      </c>
      <c r="J24" s="617">
        <v>4.16</v>
      </c>
      <c r="K24" s="786">
        <v>4.5</v>
      </c>
      <c r="L24" s="787">
        <v>4.41</v>
      </c>
    </row>
    <row r="25" spans="1:12" ht="15" customHeight="1" x14ac:dyDescent="0.25">
      <c r="A25" s="758" t="s">
        <v>365</v>
      </c>
      <c r="B25" s="788">
        <v>1.24</v>
      </c>
      <c r="C25" s="789">
        <v>1.1200000000000001</v>
      </c>
      <c r="D25" s="789">
        <v>1.19</v>
      </c>
      <c r="E25" s="790">
        <v>1.27</v>
      </c>
      <c r="F25" s="623">
        <v>1.31</v>
      </c>
      <c r="G25" s="621">
        <v>1.27</v>
      </c>
      <c r="H25" s="621">
        <v>1.3</v>
      </c>
      <c r="I25" s="622">
        <v>1.1299999999999999</v>
      </c>
      <c r="J25" s="624">
        <v>1.02</v>
      </c>
      <c r="K25" s="791">
        <v>1.21</v>
      </c>
      <c r="L25" s="792">
        <v>1.25</v>
      </c>
    </row>
    <row r="26" spans="1:12" ht="15" customHeight="1" x14ac:dyDescent="0.25">
      <c r="A26" s="769" t="s">
        <v>307</v>
      </c>
      <c r="B26" s="793"/>
      <c r="C26" s="794"/>
      <c r="D26" s="794"/>
      <c r="E26" s="795"/>
      <c r="F26" s="796"/>
      <c r="G26" s="794"/>
      <c r="H26" s="794"/>
      <c r="I26" s="795"/>
      <c r="J26" s="632"/>
      <c r="K26" s="797"/>
      <c r="L26" s="798"/>
    </row>
    <row r="27" spans="1:12" ht="15" customHeight="1" x14ac:dyDescent="0.25">
      <c r="A27" s="799" t="s">
        <v>366</v>
      </c>
      <c r="B27" s="800">
        <v>13.9</v>
      </c>
      <c r="C27" s="635">
        <v>14.9</v>
      </c>
      <c r="D27" s="635">
        <v>15.3</v>
      </c>
      <c r="E27" s="636">
        <v>14.2</v>
      </c>
      <c r="F27" s="801">
        <v>12.7</v>
      </c>
      <c r="G27" s="635">
        <v>13.1</v>
      </c>
      <c r="H27" s="635">
        <v>13.6</v>
      </c>
      <c r="I27" s="636">
        <v>14.5</v>
      </c>
      <c r="J27" s="640">
        <v>11.3</v>
      </c>
      <c r="K27" s="802">
        <v>14.6</v>
      </c>
      <c r="L27" s="803">
        <v>13.5</v>
      </c>
    </row>
    <row r="28" spans="1:12" ht="15" customHeight="1" x14ac:dyDescent="0.25">
      <c r="A28" s="799" t="s">
        <v>367</v>
      </c>
      <c r="B28" s="804">
        <v>1.44</v>
      </c>
      <c r="C28" s="621">
        <v>1.39</v>
      </c>
      <c r="D28" s="621">
        <v>1.37</v>
      </c>
      <c r="E28" s="622">
        <v>1.46</v>
      </c>
      <c r="F28" s="623">
        <v>1.37</v>
      </c>
      <c r="G28" s="621">
        <v>1.39</v>
      </c>
      <c r="H28" s="621">
        <v>1.38</v>
      </c>
      <c r="I28" s="622">
        <v>1.35</v>
      </c>
      <c r="J28" s="624">
        <v>1.19</v>
      </c>
      <c r="K28" s="791">
        <v>1.41</v>
      </c>
      <c r="L28" s="792">
        <v>1.37</v>
      </c>
    </row>
    <row r="29" spans="1:12" ht="15" customHeight="1" x14ac:dyDescent="0.25">
      <c r="A29" s="799" t="s">
        <v>368</v>
      </c>
      <c r="B29" s="804">
        <v>1.35</v>
      </c>
      <c r="C29" s="621">
        <v>1.29</v>
      </c>
      <c r="D29" s="621">
        <v>1.31</v>
      </c>
      <c r="E29" s="622">
        <v>1.39</v>
      </c>
      <c r="F29" s="623">
        <v>1.42</v>
      </c>
      <c r="G29" s="621">
        <v>1.46</v>
      </c>
      <c r="H29" s="621">
        <v>1.38</v>
      </c>
      <c r="I29" s="622">
        <v>1.35</v>
      </c>
      <c r="J29" s="624">
        <v>1.18</v>
      </c>
      <c r="K29" s="791">
        <v>1.34</v>
      </c>
      <c r="L29" s="792">
        <v>1.4</v>
      </c>
    </row>
    <row r="30" spans="1:12" ht="15" customHeight="1" x14ac:dyDescent="0.25">
      <c r="A30" s="799" t="s">
        <v>369</v>
      </c>
      <c r="B30" s="800">
        <v>51.7</v>
      </c>
      <c r="C30" s="635">
        <v>50.3</v>
      </c>
      <c r="D30" s="635">
        <v>51.4</v>
      </c>
      <c r="E30" s="636">
        <v>51.3</v>
      </c>
      <c r="F30" s="801">
        <v>52.2</v>
      </c>
      <c r="G30" s="635">
        <v>52.1</v>
      </c>
      <c r="H30" s="635">
        <v>52.3</v>
      </c>
      <c r="I30" s="636">
        <v>51.5</v>
      </c>
      <c r="J30" s="640">
        <v>55.6</v>
      </c>
      <c r="K30" s="802">
        <v>51.2</v>
      </c>
      <c r="L30" s="803">
        <v>52</v>
      </c>
    </row>
    <row r="31" spans="1:12" ht="15" customHeight="1" x14ac:dyDescent="0.25">
      <c r="A31" s="769" t="s">
        <v>370</v>
      </c>
      <c r="B31" s="793"/>
      <c r="C31" s="794"/>
      <c r="D31" s="794"/>
      <c r="E31" s="795"/>
      <c r="F31" s="796"/>
      <c r="G31" s="794"/>
      <c r="H31" s="794"/>
      <c r="I31" s="795"/>
      <c r="J31" s="632"/>
      <c r="K31" s="797"/>
      <c r="L31" s="798"/>
    </row>
    <row r="32" spans="1:12" ht="15" customHeight="1" x14ac:dyDescent="0.25">
      <c r="A32" s="799" t="s">
        <v>313</v>
      </c>
      <c r="B32" s="800">
        <v>14</v>
      </c>
      <c r="C32" s="635">
        <v>15</v>
      </c>
      <c r="D32" s="635">
        <v>15.5</v>
      </c>
      <c r="E32" s="636">
        <v>14.3</v>
      </c>
      <c r="F32" s="801">
        <v>12.8</v>
      </c>
      <c r="G32" s="635">
        <v>13.2</v>
      </c>
      <c r="H32" s="635">
        <v>13.7</v>
      </c>
      <c r="I32" s="636">
        <v>14.6</v>
      </c>
      <c r="J32" s="640">
        <v>11.4</v>
      </c>
      <c r="K32" s="802">
        <v>14.7</v>
      </c>
      <c r="L32" s="803">
        <v>13.6</v>
      </c>
    </row>
    <row r="33" spans="1:12" ht="15" customHeight="1" x14ac:dyDescent="0.25">
      <c r="A33" s="805" t="s">
        <v>314</v>
      </c>
      <c r="B33" s="800">
        <v>51.5</v>
      </c>
      <c r="C33" s="806">
        <v>50.1</v>
      </c>
      <c r="D33" s="806">
        <v>51.2</v>
      </c>
      <c r="E33" s="807">
        <v>51</v>
      </c>
      <c r="F33" s="801">
        <v>51.9</v>
      </c>
      <c r="G33" s="635">
        <v>51.9</v>
      </c>
      <c r="H33" s="635">
        <v>52</v>
      </c>
      <c r="I33" s="636">
        <v>51.2</v>
      </c>
      <c r="J33" s="640">
        <v>55.2</v>
      </c>
      <c r="K33" s="808">
        <v>51</v>
      </c>
      <c r="L33" s="809">
        <v>51.7</v>
      </c>
    </row>
    <row r="34" spans="1:12" ht="15" customHeight="1" x14ac:dyDescent="0.25">
      <c r="A34" s="773" t="s">
        <v>371</v>
      </c>
      <c r="B34" s="774"/>
      <c r="C34" s="775"/>
      <c r="D34" s="775"/>
      <c r="E34" s="776"/>
      <c r="F34" s="777"/>
      <c r="G34" s="778"/>
      <c r="H34" s="778"/>
      <c r="I34" s="779"/>
      <c r="J34" s="609"/>
      <c r="K34" s="742"/>
      <c r="L34" s="781"/>
    </row>
    <row r="35" spans="1:12" ht="15" customHeight="1" x14ac:dyDescent="0.25">
      <c r="A35" s="782" t="s">
        <v>316</v>
      </c>
      <c r="B35" s="810">
        <v>56.3</v>
      </c>
      <c r="C35" s="674">
        <v>55.8</v>
      </c>
      <c r="D35" s="674">
        <v>55.4</v>
      </c>
      <c r="E35" s="675">
        <v>55.1</v>
      </c>
      <c r="F35" s="811">
        <v>54.6</v>
      </c>
      <c r="G35" s="812">
        <v>54</v>
      </c>
      <c r="H35" s="812">
        <v>53.4</v>
      </c>
      <c r="I35" s="813">
        <v>52.8</v>
      </c>
      <c r="J35" s="814">
        <v>52</v>
      </c>
      <c r="K35" s="815">
        <v>55</v>
      </c>
      <c r="L35" s="816">
        <v>53</v>
      </c>
    </row>
    <row r="36" spans="1:12" ht="15" customHeight="1" x14ac:dyDescent="0.25">
      <c r="A36" s="758" t="s">
        <v>346</v>
      </c>
      <c r="B36" s="817">
        <v>20.8</v>
      </c>
      <c r="C36" s="818">
        <v>20.3</v>
      </c>
      <c r="D36" s="818">
        <v>20</v>
      </c>
      <c r="E36" s="819">
        <v>20.2</v>
      </c>
      <c r="F36" s="801">
        <v>19.7</v>
      </c>
      <c r="G36" s="820">
        <v>19.5</v>
      </c>
      <c r="H36" s="820">
        <v>19.3</v>
      </c>
      <c r="I36" s="821">
        <v>19</v>
      </c>
      <c r="J36" s="640">
        <v>18.899999999999999</v>
      </c>
      <c r="K36" s="802">
        <v>20.100000000000001</v>
      </c>
      <c r="L36" s="803">
        <v>19.100000000000001</v>
      </c>
    </row>
    <row r="37" spans="1:12" ht="15" customHeight="1" x14ac:dyDescent="0.25">
      <c r="A37" s="758" t="s">
        <v>347</v>
      </c>
      <c r="B37" s="817">
        <v>8.6</v>
      </c>
      <c r="C37" s="654">
        <v>8.5</v>
      </c>
      <c r="D37" s="654">
        <v>8.5</v>
      </c>
      <c r="E37" s="655">
        <v>8.6</v>
      </c>
      <c r="F37" s="801">
        <v>8.6</v>
      </c>
      <c r="G37" s="820">
        <v>8.8000000000000007</v>
      </c>
      <c r="H37" s="820">
        <v>8.8000000000000007</v>
      </c>
      <c r="I37" s="821">
        <v>8.6999999999999993</v>
      </c>
      <c r="J37" s="640">
        <v>8.6</v>
      </c>
      <c r="K37" s="802">
        <v>8.5</v>
      </c>
      <c r="L37" s="803">
        <v>8.6</v>
      </c>
    </row>
    <row r="38" spans="1:12" ht="15" customHeight="1" x14ac:dyDescent="0.25">
      <c r="A38" s="758" t="s">
        <v>319</v>
      </c>
      <c r="B38" s="817">
        <v>82.1</v>
      </c>
      <c r="C38" s="654">
        <v>82.9</v>
      </c>
      <c r="D38" s="654">
        <v>84.1</v>
      </c>
      <c r="E38" s="655">
        <v>86</v>
      </c>
      <c r="F38" s="801">
        <v>87.9</v>
      </c>
      <c r="G38" s="820">
        <v>90</v>
      </c>
      <c r="H38" s="820">
        <v>91.9</v>
      </c>
      <c r="I38" s="821">
        <v>93.6</v>
      </c>
      <c r="J38" s="640">
        <v>95</v>
      </c>
      <c r="K38" s="802">
        <v>83.500000000000014</v>
      </c>
      <c r="L38" s="803">
        <v>90.6</v>
      </c>
    </row>
    <row r="39" spans="1:12" ht="15" customHeight="1" x14ac:dyDescent="0.25">
      <c r="A39" s="769" t="s">
        <v>348</v>
      </c>
      <c r="B39" s="817">
        <v>167.8</v>
      </c>
      <c r="C39" s="654">
        <v>167.5</v>
      </c>
      <c r="D39" s="654">
        <v>168</v>
      </c>
      <c r="E39" s="655">
        <v>169.89999999999998</v>
      </c>
      <c r="F39" s="801">
        <v>170.79999999999998</v>
      </c>
      <c r="G39" s="820">
        <v>172.3</v>
      </c>
      <c r="H39" s="820">
        <v>173.39999999999998</v>
      </c>
      <c r="I39" s="821">
        <v>174.1</v>
      </c>
      <c r="J39" s="640">
        <v>174.5</v>
      </c>
      <c r="K39" s="701">
        <v>167.10000000000002</v>
      </c>
      <c r="L39" s="820">
        <v>171.29999999999998</v>
      </c>
    </row>
    <row r="40" spans="1:12" ht="15" customHeight="1" x14ac:dyDescent="0.25">
      <c r="A40" s="758" t="s">
        <v>349</v>
      </c>
      <c r="B40" s="817">
        <v>22.2</v>
      </c>
      <c r="C40" s="654">
        <v>22.1</v>
      </c>
      <c r="D40" s="654">
        <v>22.9</v>
      </c>
      <c r="E40" s="655">
        <v>22.3</v>
      </c>
      <c r="F40" s="801">
        <v>21.4</v>
      </c>
      <c r="G40" s="820">
        <v>21.5</v>
      </c>
      <c r="H40" s="820">
        <v>23</v>
      </c>
      <c r="I40" s="821">
        <v>22.4</v>
      </c>
      <c r="J40" s="640">
        <v>20.2</v>
      </c>
      <c r="K40" s="701">
        <v>22.1</v>
      </c>
      <c r="L40" s="820">
        <v>21.8</v>
      </c>
    </row>
    <row r="41" spans="1:12" ht="15" customHeight="1" x14ac:dyDescent="0.25">
      <c r="A41" s="758" t="s">
        <v>350</v>
      </c>
      <c r="B41" s="817">
        <v>17.899999999999999</v>
      </c>
      <c r="C41" s="654">
        <v>17.8</v>
      </c>
      <c r="D41" s="654">
        <v>17.600000000000001</v>
      </c>
      <c r="E41" s="655">
        <v>17.8</v>
      </c>
      <c r="F41" s="801">
        <v>16.7</v>
      </c>
      <c r="G41" s="820">
        <v>16.600000000000001</v>
      </c>
      <c r="H41" s="820">
        <v>16.600000000000001</v>
      </c>
      <c r="I41" s="821">
        <v>16.2</v>
      </c>
      <c r="J41" s="640">
        <v>17.399999999999999</v>
      </c>
      <c r="K41" s="701">
        <v>17.7</v>
      </c>
      <c r="L41" s="820">
        <v>16.399999999999999</v>
      </c>
    </row>
    <row r="42" spans="1:12" ht="15" customHeight="1" x14ac:dyDescent="0.25">
      <c r="A42" s="758" t="s">
        <v>321</v>
      </c>
      <c r="B42" s="817">
        <v>18.099999999999987</v>
      </c>
      <c r="C42" s="654">
        <v>20.199999999999992</v>
      </c>
      <c r="D42" s="654">
        <v>21.300000000000011</v>
      </c>
      <c r="E42" s="655">
        <v>22.600000000000019</v>
      </c>
      <c r="F42" s="801">
        <v>21.500000000000025</v>
      </c>
      <c r="G42" s="820">
        <v>22.699999999999982</v>
      </c>
      <c r="H42" s="820">
        <v>23.600000000000016</v>
      </c>
      <c r="I42" s="821">
        <v>23.100000000000019</v>
      </c>
      <c r="J42" s="640">
        <v>24.499999999999993</v>
      </c>
      <c r="K42" s="701">
        <v>19.900000000000006</v>
      </c>
      <c r="L42" s="820">
        <v>22.400000000000027</v>
      </c>
    </row>
    <row r="43" spans="1:12" ht="15" customHeight="1" x14ac:dyDescent="0.25">
      <c r="A43" s="769" t="s">
        <v>322</v>
      </c>
      <c r="B43" s="817">
        <v>226</v>
      </c>
      <c r="C43" s="654">
        <v>227.6</v>
      </c>
      <c r="D43" s="654">
        <v>229.8</v>
      </c>
      <c r="E43" s="655">
        <v>232.6</v>
      </c>
      <c r="F43" s="801">
        <v>230.4</v>
      </c>
      <c r="G43" s="820">
        <v>233.1</v>
      </c>
      <c r="H43" s="820">
        <v>236.6</v>
      </c>
      <c r="I43" s="821">
        <v>235.8</v>
      </c>
      <c r="J43" s="640">
        <v>236.6</v>
      </c>
      <c r="K43" s="701">
        <v>226.8</v>
      </c>
      <c r="L43" s="820">
        <v>231.9</v>
      </c>
    </row>
    <row r="44" spans="1:12" ht="15" customHeight="1" x14ac:dyDescent="0.25">
      <c r="A44" s="758" t="s">
        <v>323</v>
      </c>
      <c r="B44" s="817">
        <v>42.1</v>
      </c>
      <c r="C44" s="654">
        <v>41.7</v>
      </c>
      <c r="D44" s="654">
        <v>41.7</v>
      </c>
      <c r="E44" s="655">
        <v>41.9</v>
      </c>
      <c r="F44" s="801">
        <v>41.5</v>
      </c>
      <c r="G44" s="820">
        <v>41.4</v>
      </c>
      <c r="H44" s="820">
        <v>41.2</v>
      </c>
      <c r="I44" s="821">
        <v>41.4</v>
      </c>
      <c r="J44" s="640">
        <v>41</v>
      </c>
      <c r="K44" s="701">
        <v>41.3</v>
      </c>
      <c r="L44" s="820">
        <v>40.9</v>
      </c>
    </row>
    <row r="45" spans="1:12" ht="15" customHeight="1" x14ac:dyDescent="0.25">
      <c r="A45" s="758" t="s">
        <v>324</v>
      </c>
      <c r="B45" s="817">
        <v>92</v>
      </c>
      <c r="C45" s="654">
        <v>90.6</v>
      </c>
      <c r="D45" s="654">
        <v>89.8</v>
      </c>
      <c r="E45" s="655">
        <v>87.4</v>
      </c>
      <c r="F45" s="801">
        <v>87.6</v>
      </c>
      <c r="G45" s="820">
        <v>90.4</v>
      </c>
      <c r="H45" s="820">
        <v>92.7</v>
      </c>
      <c r="I45" s="821">
        <v>88.8</v>
      </c>
      <c r="J45" s="640">
        <v>90.1</v>
      </c>
      <c r="K45" s="802">
        <v>88.9</v>
      </c>
      <c r="L45" s="803">
        <v>88.8</v>
      </c>
    </row>
    <row r="46" spans="1:12" ht="15" customHeight="1" x14ac:dyDescent="0.25">
      <c r="A46" s="822" t="s">
        <v>325</v>
      </c>
      <c r="B46" s="823">
        <v>134.1</v>
      </c>
      <c r="C46" s="687">
        <v>132.30000000000001</v>
      </c>
      <c r="D46" s="687">
        <v>131.5</v>
      </c>
      <c r="E46" s="688">
        <v>129.30000000000001</v>
      </c>
      <c r="F46" s="824">
        <v>129.1</v>
      </c>
      <c r="G46" s="825">
        <v>131.80000000000001</v>
      </c>
      <c r="H46" s="825">
        <v>133.9</v>
      </c>
      <c r="I46" s="826">
        <v>130.19999999999999</v>
      </c>
      <c r="J46" s="827">
        <v>131.1</v>
      </c>
      <c r="K46" s="828">
        <v>130.20000000000002</v>
      </c>
      <c r="L46" s="829">
        <v>129.69999999999999</v>
      </c>
    </row>
    <row r="47" spans="1:12" ht="15" customHeight="1" x14ac:dyDescent="0.25">
      <c r="A47" s="830" t="s">
        <v>326</v>
      </c>
      <c r="B47" s="831">
        <v>43.5</v>
      </c>
      <c r="C47" s="695">
        <v>43.599999999999966</v>
      </c>
      <c r="D47" s="695">
        <v>46.799999999999983</v>
      </c>
      <c r="E47" s="696">
        <v>48.5</v>
      </c>
      <c r="F47" s="832">
        <v>47.500000000000028</v>
      </c>
      <c r="G47" s="833">
        <v>46.699999999999989</v>
      </c>
      <c r="H47" s="833">
        <v>48.599999999999994</v>
      </c>
      <c r="I47" s="834">
        <v>51.199999999999989</v>
      </c>
      <c r="J47" s="835">
        <v>50.600000000000023</v>
      </c>
      <c r="K47" s="836">
        <v>45.199999999999989</v>
      </c>
      <c r="L47" s="837">
        <v>48.100000000000023</v>
      </c>
    </row>
    <row r="48" spans="1:12" ht="15" customHeight="1" x14ac:dyDescent="0.25">
      <c r="A48" s="769" t="s">
        <v>327</v>
      </c>
      <c r="B48" s="817">
        <v>177.6</v>
      </c>
      <c r="C48" s="654">
        <v>175.89999999999998</v>
      </c>
      <c r="D48" s="654">
        <v>178.29999999999998</v>
      </c>
      <c r="E48" s="655">
        <v>177.8</v>
      </c>
      <c r="F48" s="801">
        <v>176.60000000000002</v>
      </c>
      <c r="G48" s="820">
        <v>178.5</v>
      </c>
      <c r="H48" s="820">
        <v>182.5</v>
      </c>
      <c r="I48" s="821">
        <v>181.39999999999998</v>
      </c>
      <c r="J48" s="640">
        <v>181.70000000000002</v>
      </c>
      <c r="K48" s="802">
        <v>175.4</v>
      </c>
      <c r="L48" s="803">
        <v>177.8</v>
      </c>
    </row>
    <row r="49" spans="1:12" ht="15" customHeight="1" x14ac:dyDescent="0.25">
      <c r="A49" s="838" t="s">
        <v>328</v>
      </c>
      <c r="B49" s="839"/>
      <c r="C49" s="840"/>
      <c r="D49" s="840"/>
      <c r="E49" s="841"/>
      <c r="F49" s="842"/>
      <c r="G49" s="112"/>
      <c r="H49" s="112"/>
      <c r="I49" s="843"/>
      <c r="J49" s="708"/>
      <c r="K49" s="844"/>
      <c r="L49" s="845"/>
    </row>
    <row r="50" spans="1:12" ht="15" customHeight="1" x14ac:dyDescent="0.25">
      <c r="A50" s="758" t="s">
        <v>372</v>
      </c>
      <c r="B50" s="718">
        <v>36624</v>
      </c>
      <c r="C50" s="846">
        <v>36885</v>
      </c>
      <c r="D50" s="846">
        <v>36998</v>
      </c>
      <c r="E50" s="711">
        <v>39257</v>
      </c>
      <c r="F50" s="712">
        <v>39397</v>
      </c>
      <c r="G50" s="602">
        <v>40011</v>
      </c>
      <c r="H50" s="602">
        <v>40287</v>
      </c>
      <c r="I50" s="713">
        <v>40488</v>
      </c>
      <c r="J50" s="590">
        <v>40697</v>
      </c>
      <c r="K50" s="847"/>
      <c r="L50" s="848"/>
    </row>
    <row r="51" spans="1:12" ht="15" customHeight="1" x14ac:dyDescent="0.25">
      <c r="A51" s="758" t="s">
        <v>330</v>
      </c>
      <c r="B51" s="718">
        <v>953</v>
      </c>
      <c r="C51" s="585">
        <v>963</v>
      </c>
      <c r="D51" s="585">
        <v>968</v>
      </c>
      <c r="E51" s="599">
        <v>1046</v>
      </c>
      <c r="F51" s="712">
        <v>1050</v>
      </c>
      <c r="G51" s="602">
        <v>1074</v>
      </c>
      <c r="H51" s="602">
        <v>1088</v>
      </c>
      <c r="I51" s="713">
        <v>1112</v>
      </c>
      <c r="J51" s="590">
        <v>1140</v>
      </c>
      <c r="K51" s="849"/>
      <c r="L51" s="850"/>
    </row>
    <row r="52" spans="1:12" ht="15" customHeight="1" x14ac:dyDescent="0.25">
      <c r="A52" s="758" t="s">
        <v>247</v>
      </c>
      <c r="B52" s="718">
        <v>4890</v>
      </c>
      <c r="C52" s="585">
        <v>4899</v>
      </c>
      <c r="D52" s="585">
        <v>4945</v>
      </c>
      <c r="E52" s="599">
        <v>4940</v>
      </c>
      <c r="F52" s="712">
        <v>4955</v>
      </c>
      <c r="G52" s="602">
        <v>4957</v>
      </c>
      <c r="H52" s="602">
        <v>4931</v>
      </c>
      <c r="I52" s="713">
        <v>4949</v>
      </c>
      <c r="J52" s="590">
        <v>4976</v>
      </c>
      <c r="K52" s="851"/>
      <c r="L52" s="850"/>
    </row>
    <row r="53" spans="1:12" ht="15" customHeight="1" x14ac:dyDescent="0.25">
      <c r="A53" s="852" t="s">
        <v>352</v>
      </c>
      <c r="B53" s="853">
        <v>6</v>
      </c>
      <c r="C53" s="722">
        <v>7</v>
      </c>
      <c r="D53" s="722">
        <v>7</v>
      </c>
      <c r="E53" s="723">
        <v>8</v>
      </c>
      <c r="F53" s="724">
        <v>8</v>
      </c>
      <c r="G53" s="725">
        <v>8</v>
      </c>
      <c r="H53" s="725">
        <v>8</v>
      </c>
      <c r="I53" s="726">
        <v>8</v>
      </c>
      <c r="J53" s="727">
        <v>9</v>
      </c>
      <c r="K53" s="854">
        <v>28</v>
      </c>
      <c r="L53" s="855">
        <v>32</v>
      </c>
    </row>
    <row r="54" spans="1:12" ht="14.55" customHeight="1" x14ac:dyDescent="0.25">
      <c r="A54" s="856"/>
      <c r="B54" s="857"/>
      <c r="C54" s="857"/>
      <c r="D54" s="858"/>
      <c r="E54" s="858"/>
      <c r="F54" s="859"/>
      <c r="G54" s="859"/>
      <c r="H54" s="859"/>
      <c r="I54" s="859"/>
      <c r="J54" s="859"/>
      <c r="K54" s="859"/>
      <c r="L54" s="859"/>
    </row>
    <row r="55" spans="1:12" ht="24.45" customHeight="1" x14ac:dyDescent="0.25">
      <c r="A55" s="2861" t="s">
        <v>373</v>
      </c>
      <c r="B55" s="2861" t="s">
        <v>15</v>
      </c>
      <c r="C55" s="2861" t="s">
        <v>15</v>
      </c>
      <c r="D55" s="2861" t="s">
        <v>15</v>
      </c>
      <c r="E55" s="2861" t="s">
        <v>15</v>
      </c>
      <c r="F55" s="2861" t="s">
        <v>15</v>
      </c>
      <c r="G55" s="2861" t="s">
        <v>15</v>
      </c>
      <c r="H55" s="2861" t="s">
        <v>15</v>
      </c>
      <c r="I55" s="2861" t="s">
        <v>15</v>
      </c>
      <c r="J55" s="2861" t="s">
        <v>15</v>
      </c>
      <c r="K55" s="2861" t="s">
        <v>15</v>
      </c>
      <c r="L55" s="2861" t="s">
        <v>15</v>
      </c>
    </row>
    <row r="56" spans="1:12" ht="12" customHeight="1" x14ac:dyDescent="0.25">
      <c r="A56" s="2850" t="s">
        <v>374</v>
      </c>
      <c r="B56" s="2850" t="s">
        <v>15</v>
      </c>
      <c r="C56" s="2850" t="s">
        <v>15</v>
      </c>
      <c r="D56" s="2850" t="s">
        <v>15</v>
      </c>
      <c r="E56" s="2850" t="s">
        <v>15</v>
      </c>
      <c r="F56" s="2850" t="s">
        <v>15</v>
      </c>
      <c r="G56" s="2850" t="s">
        <v>15</v>
      </c>
      <c r="H56" s="2850" t="s">
        <v>15</v>
      </c>
      <c r="I56" s="2850" t="s">
        <v>15</v>
      </c>
      <c r="J56" s="2850" t="s">
        <v>15</v>
      </c>
      <c r="K56" s="2850" t="s">
        <v>15</v>
      </c>
      <c r="L56" s="2850" t="s">
        <v>15</v>
      </c>
    </row>
    <row r="57" spans="1:12" ht="12" customHeight="1" x14ac:dyDescent="0.25">
      <c r="A57" s="861" t="s">
        <v>375</v>
      </c>
      <c r="B57" s="861"/>
      <c r="C57" s="862"/>
      <c r="D57" s="861"/>
      <c r="E57" s="861"/>
      <c r="F57" s="861"/>
      <c r="G57" s="861"/>
      <c r="H57" s="861"/>
      <c r="I57" s="861"/>
      <c r="J57" s="861"/>
      <c r="K57" s="861"/>
      <c r="L57" s="861"/>
    </row>
    <row r="58" spans="1:12" ht="12" customHeight="1" x14ac:dyDescent="0.25">
      <c r="A58" s="861" t="s">
        <v>376</v>
      </c>
      <c r="B58" s="861"/>
      <c r="C58" s="862"/>
      <c r="D58" s="861"/>
      <c r="E58" s="861"/>
      <c r="F58" s="861"/>
      <c r="G58" s="861"/>
      <c r="H58" s="861"/>
      <c r="I58" s="861"/>
      <c r="J58" s="861"/>
      <c r="K58" s="861"/>
      <c r="L58" s="861"/>
    </row>
    <row r="59" spans="1:12" ht="12" customHeight="1" x14ac:dyDescent="0.25">
      <c r="A59" s="861" t="s">
        <v>377</v>
      </c>
      <c r="B59" s="861"/>
      <c r="C59" s="862"/>
      <c r="D59" s="861"/>
      <c r="E59" s="861"/>
      <c r="F59" s="861"/>
      <c r="G59" s="861"/>
      <c r="H59" s="861"/>
      <c r="I59" s="861"/>
      <c r="J59" s="861"/>
      <c r="K59" s="861"/>
      <c r="L59" s="861"/>
    </row>
    <row r="60" spans="1:12" ht="12" customHeight="1" x14ac:dyDescent="0.25">
      <c r="A60" s="861" t="s">
        <v>378</v>
      </c>
      <c r="B60" s="861"/>
      <c r="C60" s="862"/>
      <c r="D60" s="861"/>
      <c r="E60" s="861"/>
      <c r="F60" s="861"/>
      <c r="G60" s="861"/>
      <c r="H60" s="861"/>
      <c r="I60" s="861"/>
      <c r="J60" s="861"/>
      <c r="K60" s="861"/>
      <c r="L60" s="861"/>
    </row>
    <row r="61" spans="1:12" ht="12" customHeight="1" x14ac:dyDescent="0.25">
      <c r="A61" s="861" t="s">
        <v>379</v>
      </c>
      <c r="B61" s="861"/>
      <c r="C61" s="862"/>
      <c r="D61" s="861"/>
      <c r="E61" s="861"/>
      <c r="F61" s="861"/>
      <c r="G61" s="861"/>
      <c r="H61" s="861"/>
      <c r="I61" s="861"/>
      <c r="J61" s="861"/>
      <c r="K61" s="861"/>
      <c r="L61" s="861"/>
    </row>
    <row r="62" spans="1:12" ht="12" customHeight="1" x14ac:dyDescent="0.25">
      <c r="A62" s="861"/>
      <c r="B62" s="861"/>
      <c r="C62" s="862"/>
      <c r="D62" s="861"/>
      <c r="E62" s="861"/>
      <c r="F62" s="861"/>
      <c r="G62" s="861"/>
      <c r="H62" s="861"/>
      <c r="I62" s="861"/>
      <c r="J62" s="861"/>
      <c r="K62" s="861"/>
      <c r="L62" s="861"/>
    </row>
  </sheetData>
  <mergeCells count="6">
    <mergeCell ref="A56:L56"/>
    <mergeCell ref="A2:L2"/>
    <mergeCell ref="B3:E3"/>
    <mergeCell ref="F3:I3"/>
    <mergeCell ref="K3:L3"/>
    <mergeCell ref="A55:L55"/>
  </mergeCells>
  <hyperlinks>
    <hyperlink ref="A1" location="ToC!A2" display="Back to Table of Contents" xr:uid="{11AB8783-8AB2-4E13-A2FE-96A4E6A53F13}"/>
  </hyperlinks>
  <pageMargins left="0.5" right="0.5" top="0.5" bottom="0.5" header="0.25" footer="0.25"/>
  <pageSetup scale="58" orientation="landscape" r:id="rId1"/>
  <headerFooter>
    <oddFooter>&amp;L&amp;G&amp;C&amp;"Scotia,Regular"&amp;9Supplementary Financial Information (SFI)&amp;R6&amp;"Scotia,Regular"&amp;7</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81A19-7978-408F-8E42-8FADA3937FE1}">
  <sheetPr>
    <pageSetUpPr fitToPage="1"/>
  </sheetPr>
  <dimension ref="A1:L83"/>
  <sheetViews>
    <sheetView showGridLines="0" zoomScaleNormal="100" workbookViewId="0">
      <selection activeCell="A2" sqref="A2:L2"/>
    </sheetView>
  </sheetViews>
  <sheetFormatPr defaultColWidth="8.77734375" defaultRowHeight="13.2" x14ac:dyDescent="0.25"/>
  <cols>
    <col min="1" max="1" width="78" style="23" customWidth="1"/>
    <col min="2" max="12" width="17.77734375" style="23" customWidth="1"/>
    <col min="13" max="16384" width="8.77734375" style="23"/>
  </cols>
  <sheetData>
    <row r="1" spans="1:12" ht="19.95" customHeight="1" x14ac:dyDescent="0.25">
      <c r="A1" s="22" t="s">
        <v>12</v>
      </c>
    </row>
    <row r="2" spans="1:12" ht="24" customHeight="1" x14ac:dyDescent="0.25">
      <c r="A2" s="2862" t="s">
        <v>380</v>
      </c>
      <c r="B2" s="2862" t="s">
        <v>15</v>
      </c>
      <c r="C2" s="2862" t="s">
        <v>15</v>
      </c>
      <c r="D2" s="2862" t="s">
        <v>15</v>
      </c>
      <c r="E2" s="2862" t="s">
        <v>15</v>
      </c>
      <c r="F2" s="2862" t="s">
        <v>15</v>
      </c>
      <c r="G2" s="2862" t="s">
        <v>15</v>
      </c>
      <c r="H2" s="2862" t="s">
        <v>15</v>
      </c>
      <c r="I2" s="2862" t="s">
        <v>15</v>
      </c>
      <c r="J2" s="2862" t="s">
        <v>15</v>
      </c>
      <c r="K2" s="2862" t="s">
        <v>15</v>
      </c>
      <c r="L2" s="2862" t="s">
        <v>15</v>
      </c>
    </row>
    <row r="3" spans="1:12" ht="14.1" customHeight="1" x14ac:dyDescent="0.25">
      <c r="A3" s="351"/>
      <c r="B3" s="352"/>
      <c r="C3" s="353"/>
      <c r="D3" s="353"/>
      <c r="E3" s="354"/>
      <c r="F3" s="863"/>
      <c r="G3" s="430"/>
      <c r="H3" s="430"/>
      <c r="I3" s="535"/>
      <c r="J3" s="864"/>
      <c r="K3" s="2863" t="s">
        <v>163</v>
      </c>
      <c r="L3" s="2864" t="s">
        <v>15</v>
      </c>
    </row>
    <row r="4" spans="1:12" ht="14.1" customHeight="1" x14ac:dyDescent="0.25">
      <c r="A4" s="351"/>
      <c r="B4" s="359" t="s">
        <v>165</v>
      </c>
      <c r="C4" s="360" t="s">
        <v>166</v>
      </c>
      <c r="D4" s="360" t="s">
        <v>167</v>
      </c>
      <c r="E4" s="361" t="s">
        <v>168</v>
      </c>
      <c r="F4" s="362" t="s">
        <v>169</v>
      </c>
      <c r="G4" s="363" t="s">
        <v>170</v>
      </c>
      <c r="H4" s="363" t="s">
        <v>171</v>
      </c>
      <c r="I4" s="361" t="s">
        <v>172</v>
      </c>
      <c r="J4" s="364" t="s">
        <v>173</v>
      </c>
      <c r="K4" s="865" t="s">
        <v>174</v>
      </c>
      <c r="L4" s="866" t="s">
        <v>175</v>
      </c>
    </row>
    <row r="5" spans="1:12" ht="14.1" customHeight="1" x14ac:dyDescent="0.25">
      <c r="A5" s="867" t="s">
        <v>381</v>
      </c>
      <c r="B5" s="868"/>
      <c r="C5" s="869"/>
      <c r="D5" s="869"/>
      <c r="E5" s="870"/>
      <c r="F5" s="871"/>
      <c r="G5" s="872"/>
      <c r="H5" s="872"/>
      <c r="I5" s="873"/>
      <c r="J5" s="874"/>
      <c r="K5" s="875"/>
      <c r="L5" s="876"/>
    </row>
    <row r="6" spans="1:12" ht="14.1" customHeight="1" x14ac:dyDescent="0.25">
      <c r="A6" s="376" t="s">
        <v>291</v>
      </c>
      <c r="B6" s="377">
        <v>281</v>
      </c>
      <c r="C6" s="378">
        <v>266</v>
      </c>
      <c r="D6" s="379">
        <v>246</v>
      </c>
      <c r="E6" s="380">
        <v>232</v>
      </c>
      <c r="F6" s="877">
        <v>207</v>
      </c>
      <c r="G6" s="387">
        <v>206</v>
      </c>
      <c r="H6" s="387">
        <v>188</v>
      </c>
      <c r="I6" s="878">
        <v>185</v>
      </c>
      <c r="J6" s="385">
        <v>175</v>
      </c>
      <c r="K6" s="877">
        <v>1025</v>
      </c>
      <c r="L6" s="387">
        <v>786</v>
      </c>
    </row>
    <row r="7" spans="1:12" ht="14.1" customHeight="1" x14ac:dyDescent="0.25">
      <c r="A7" s="376" t="s">
        <v>292</v>
      </c>
      <c r="B7" s="377">
        <v>1423</v>
      </c>
      <c r="C7" s="378">
        <v>1338</v>
      </c>
      <c r="D7" s="379">
        <v>1295</v>
      </c>
      <c r="E7" s="380">
        <v>1347</v>
      </c>
      <c r="F7" s="877">
        <v>1259</v>
      </c>
      <c r="G7" s="387">
        <v>1222</v>
      </c>
      <c r="H7" s="387">
        <v>1183</v>
      </c>
      <c r="I7" s="878">
        <v>1139</v>
      </c>
      <c r="J7" s="385">
        <v>1113</v>
      </c>
      <c r="K7" s="877">
        <v>5403</v>
      </c>
      <c r="L7" s="387">
        <v>4803</v>
      </c>
    </row>
    <row r="8" spans="1:12" ht="14.1" customHeight="1" x14ac:dyDescent="0.25">
      <c r="A8" s="879" t="s">
        <v>293</v>
      </c>
      <c r="B8" s="880">
        <v>1420</v>
      </c>
      <c r="C8" s="389">
        <v>1334</v>
      </c>
      <c r="D8" s="390">
        <v>1296</v>
      </c>
      <c r="E8" s="881">
        <v>1340</v>
      </c>
      <c r="F8" s="882">
        <v>1256</v>
      </c>
      <c r="G8" s="883">
        <v>1215</v>
      </c>
      <c r="H8" s="883">
        <v>1176</v>
      </c>
      <c r="I8" s="884">
        <v>1132</v>
      </c>
      <c r="J8" s="392">
        <v>1108</v>
      </c>
      <c r="K8" s="877">
        <v>5390</v>
      </c>
      <c r="L8" s="387">
        <v>4779</v>
      </c>
    </row>
    <row r="9" spans="1:12" ht="14.1" customHeight="1" x14ac:dyDescent="0.25">
      <c r="A9" s="879" t="s">
        <v>295</v>
      </c>
      <c r="B9" s="880">
        <v>3</v>
      </c>
      <c r="C9" s="389">
        <v>4</v>
      </c>
      <c r="D9" s="390">
        <v>-1</v>
      </c>
      <c r="E9" s="881">
        <v>7</v>
      </c>
      <c r="F9" s="882">
        <v>3</v>
      </c>
      <c r="G9" s="883">
        <v>7</v>
      </c>
      <c r="H9" s="883">
        <v>7</v>
      </c>
      <c r="I9" s="884">
        <v>7</v>
      </c>
      <c r="J9" s="392">
        <v>5</v>
      </c>
      <c r="K9" s="877">
        <v>13</v>
      </c>
      <c r="L9" s="387">
        <v>24</v>
      </c>
    </row>
    <row r="10" spans="1:12" ht="14.1" customHeight="1" x14ac:dyDescent="0.25">
      <c r="A10" s="394" t="s">
        <v>296</v>
      </c>
      <c r="B10" s="377">
        <v>1704</v>
      </c>
      <c r="C10" s="378">
        <v>1604</v>
      </c>
      <c r="D10" s="379">
        <v>1541</v>
      </c>
      <c r="E10" s="380">
        <v>1579</v>
      </c>
      <c r="F10" s="877">
        <v>1466</v>
      </c>
      <c r="G10" s="387">
        <v>1428</v>
      </c>
      <c r="H10" s="387">
        <v>1371</v>
      </c>
      <c r="I10" s="878">
        <v>1324</v>
      </c>
      <c r="J10" s="385">
        <v>1288</v>
      </c>
      <c r="K10" s="877">
        <v>6428</v>
      </c>
      <c r="L10" s="387">
        <v>5589</v>
      </c>
    </row>
    <row r="11" spans="1:12" ht="14.1" customHeight="1" x14ac:dyDescent="0.25">
      <c r="A11" s="376" t="s">
        <v>297</v>
      </c>
      <c r="B11" s="377">
        <v>4</v>
      </c>
      <c r="C11" s="378">
        <v>4</v>
      </c>
      <c r="D11" s="379">
        <v>2</v>
      </c>
      <c r="E11" s="380">
        <v>4</v>
      </c>
      <c r="F11" s="877">
        <v>5</v>
      </c>
      <c r="G11" s="387">
        <v>10</v>
      </c>
      <c r="H11" s="387">
        <v>7</v>
      </c>
      <c r="I11" s="878">
        <v>5</v>
      </c>
      <c r="J11" s="385">
        <v>5</v>
      </c>
      <c r="K11" s="877">
        <v>14</v>
      </c>
      <c r="L11" s="387">
        <v>27</v>
      </c>
    </row>
    <row r="12" spans="1:12" ht="14.1" customHeight="1" x14ac:dyDescent="0.25">
      <c r="A12" s="376" t="s">
        <v>298</v>
      </c>
      <c r="B12" s="377">
        <v>1095</v>
      </c>
      <c r="C12" s="378">
        <v>1030</v>
      </c>
      <c r="D12" s="379">
        <v>997</v>
      </c>
      <c r="E12" s="380">
        <v>1022</v>
      </c>
      <c r="F12" s="877">
        <v>949</v>
      </c>
      <c r="G12" s="387">
        <v>926</v>
      </c>
      <c r="H12" s="387">
        <v>906</v>
      </c>
      <c r="I12" s="878">
        <v>874</v>
      </c>
      <c r="J12" s="385">
        <v>897</v>
      </c>
      <c r="K12" s="877">
        <v>4144</v>
      </c>
      <c r="L12" s="387">
        <v>3655</v>
      </c>
    </row>
    <row r="13" spans="1:12" ht="14.1" customHeight="1" x14ac:dyDescent="0.25">
      <c r="A13" s="394" t="s">
        <v>273</v>
      </c>
      <c r="B13" s="377">
        <v>605</v>
      </c>
      <c r="C13" s="378">
        <v>570</v>
      </c>
      <c r="D13" s="379">
        <v>542</v>
      </c>
      <c r="E13" s="380">
        <v>553</v>
      </c>
      <c r="F13" s="877">
        <v>512</v>
      </c>
      <c r="G13" s="387">
        <v>492</v>
      </c>
      <c r="H13" s="387">
        <v>458</v>
      </c>
      <c r="I13" s="878">
        <v>445</v>
      </c>
      <c r="J13" s="385">
        <v>386</v>
      </c>
      <c r="K13" s="877">
        <v>2270</v>
      </c>
      <c r="L13" s="387">
        <v>1907</v>
      </c>
    </row>
    <row r="14" spans="1:12" ht="14.1" customHeight="1" x14ac:dyDescent="0.25">
      <c r="A14" s="376" t="s">
        <v>299</v>
      </c>
      <c r="B14" s="377">
        <v>155</v>
      </c>
      <c r="C14" s="378">
        <v>150</v>
      </c>
      <c r="D14" s="379">
        <v>141</v>
      </c>
      <c r="E14" s="380">
        <v>144</v>
      </c>
      <c r="F14" s="877">
        <v>130</v>
      </c>
      <c r="G14" s="387">
        <v>122</v>
      </c>
      <c r="H14" s="387">
        <v>115</v>
      </c>
      <c r="I14" s="878">
        <v>112</v>
      </c>
      <c r="J14" s="385">
        <v>98</v>
      </c>
      <c r="K14" s="877">
        <v>590</v>
      </c>
      <c r="L14" s="387">
        <v>479</v>
      </c>
    </row>
    <row r="15" spans="1:12" ht="14.1" customHeight="1" x14ac:dyDescent="0.25">
      <c r="A15" s="394" t="s">
        <v>300</v>
      </c>
      <c r="B15" s="377">
        <v>450</v>
      </c>
      <c r="C15" s="378">
        <v>420</v>
      </c>
      <c r="D15" s="379">
        <v>401</v>
      </c>
      <c r="E15" s="380">
        <v>409</v>
      </c>
      <c r="F15" s="877">
        <v>382</v>
      </c>
      <c r="G15" s="387">
        <v>370</v>
      </c>
      <c r="H15" s="387">
        <v>343</v>
      </c>
      <c r="I15" s="878">
        <v>333</v>
      </c>
      <c r="J15" s="385">
        <v>288</v>
      </c>
      <c r="K15" s="877">
        <v>1680</v>
      </c>
      <c r="L15" s="387">
        <v>1428</v>
      </c>
    </row>
    <row r="16" spans="1:12" ht="14.1" customHeight="1" x14ac:dyDescent="0.25">
      <c r="A16" s="376" t="s">
        <v>301</v>
      </c>
      <c r="B16" s="377">
        <v>6</v>
      </c>
      <c r="C16" s="378">
        <v>7</v>
      </c>
      <c r="D16" s="379">
        <v>6</v>
      </c>
      <c r="E16" s="380">
        <v>7</v>
      </c>
      <c r="F16" s="877">
        <v>6</v>
      </c>
      <c r="G16" s="387">
        <v>7</v>
      </c>
      <c r="H16" s="387">
        <v>7</v>
      </c>
      <c r="I16" s="878">
        <v>6</v>
      </c>
      <c r="J16" s="385">
        <v>6</v>
      </c>
      <c r="K16" s="877">
        <v>26</v>
      </c>
      <c r="L16" s="387">
        <v>26</v>
      </c>
    </row>
    <row r="17" spans="1:12" ht="14.1" customHeight="1" x14ac:dyDescent="0.25">
      <c r="A17" s="394" t="s">
        <v>277</v>
      </c>
      <c r="B17" s="377">
        <v>456</v>
      </c>
      <c r="C17" s="378">
        <v>427</v>
      </c>
      <c r="D17" s="379">
        <v>407</v>
      </c>
      <c r="E17" s="380">
        <v>416</v>
      </c>
      <c r="F17" s="877">
        <v>388</v>
      </c>
      <c r="G17" s="387">
        <v>377</v>
      </c>
      <c r="H17" s="387">
        <v>350</v>
      </c>
      <c r="I17" s="878">
        <v>339</v>
      </c>
      <c r="J17" s="385">
        <v>294</v>
      </c>
      <c r="K17" s="877">
        <v>1706</v>
      </c>
      <c r="L17" s="387">
        <v>1454</v>
      </c>
    </row>
    <row r="18" spans="1:12" ht="14.1" customHeight="1" x14ac:dyDescent="0.25">
      <c r="A18" s="394"/>
      <c r="B18" s="885"/>
      <c r="C18" s="401"/>
      <c r="D18" s="402"/>
      <c r="E18" s="403"/>
      <c r="F18" s="886"/>
      <c r="G18" s="407"/>
      <c r="H18" s="407"/>
      <c r="I18" s="887"/>
      <c r="J18" s="405"/>
      <c r="K18" s="886"/>
      <c r="L18" s="407"/>
    </row>
    <row r="19" spans="1:12" ht="14.1" customHeight="1" x14ac:dyDescent="0.25">
      <c r="A19" s="394" t="s">
        <v>341</v>
      </c>
      <c r="B19" s="377">
        <v>3</v>
      </c>
      <c r="C19" s="378">
        <v>3</v>
      </c>
      <c r="D19" s="379">
        <v>2</v>
      </c>
      <c r="E19" s="380">
        <v>2</v>
      </c>
      <c r="F19" s="395">
        <v>2</v>
      </c>
      <c r="G19" s="379">
        <v>3</v>
      </c>
      <c r="H19" s="379">
        <v>2</v>
      </c>
      <c r="I19" s="380">
        <v>3</v>
      </c>
      <c r="J19" s="888">
        <v>2</v>
      </c>
      <c r="K19" s="395">
        <v>10</v>
      </c>
      <c r="L19" s="379">
        <v>10</v>
      </c>
    </row>
    <row r="20" spans="1:12" ht="14.1" customHeight="1" x14ac:dyDescent="0.25">
      <c r="A20" s="394" t="s">
        <v>342</v>
      </c>
      <c r="B20" s="377">
        <v>447</v>
      </c>
      <c r="C20" s="378">
        <v>417</v>
      </c>
      <c r="D20" s="379">
        <v>399</v>
      </c>
      <c r="E20" s="380">
        <v>407</v>
      </c>
      <c r="F20" s="877">
        <v>380</v>
      </c>
      <c r="G20" s="387">
        <v>367</v>
      </c>
      <c r="H20" s="387">
        <v>341</v>
      </c>
      <c r="I20" s="878">
        <v>330</v>
      </c>
      <c r="J20" s="385">
        <v>286</v>
      </c>
      <c r="K20" s="877">
        <v>1670</v>
      </c>
      <c r="L20" s="387">
        <v>1418</v>
      </c>
    </row>
    <row r="21" spans="1:12" ht="14.1" customHeight="1" x14ac:dyDescent="0.25">
      <c r="A21" s="394"/>
      <c r="B21" s="377"/>
      <c r="C21" s="378"/>
      <c r="D21" s="379"/>
      <c r="E21" s="380"/>
      <c r="F21" s="877"/>
      <c r="G21" s="387"/>
      <c r="H21" s="387"/>
      <c r="I21" s="878"/>
      <c r="J21" s="385"/>
      <c r="K21" s="877"/>
      <c r="L21" s="387"/>
    </row>
    <row r="22" spans="1:12" ht="14.1" customHeight="1" x14ac:dyDescent="0.25">
      <c r="A22" s="889" t="s">
        <v>382</v>
      </c>
      <c r="B22" s="377"/>
      <c r="C22" s="378"/>
      <c r="D22" s="379"/>
      <c r="E22" s="380"/>
      <c r="F22" s="877"/>
      <c r="G22" s="387"/>
      <c r="H22" s="387"/>
      <c r="I22" s="878"/>
      <c r="J22" s="385"/>
      <c r="K22" s="877"/>
      <c r="L22" s="387"/>
    </row>
    <row r="23" spans="1:12" ht="14.1" customHeight="1" x14ac:dyDescent="0.25">
      <c r="A23" s="890" t="s">
        <v>383</v>
      </c>
      <c r="B23" s="377">
        <v>384</v>
      </c>
      <c r="C23" s="378">
        <v>354</v>
      </c>
      <c r="D23" s="379">
        <v>343</v>
      </c>
      <c r="E23" s="891">
        <v>353</v>
      </c>
      <c r="F23" s="395">
        <v>332</v>
      </c>
      <c r="G23" s="379">
        <v>315</v>
      </c>
      <c r="H23" s="379">
        <v>288</v>
      </c>
      <c r="I23" s="380">
        <v>277</v>
      </c>
      <c r="J23" s="888">
        <v>249</v>
      </c>
      <c r="K23" s="877">
        <v>1434</v>
      </c>
      <c r="L23" s="379">
        <v>1212</v>
      </c>
    </row>
    <row r="24" spans="1:12" ht="14.1" customHeight="1" x14ac:dyDescent="0.25">
      <c r="A24" s="890" t="s">
        <v>384</v>
      </c>
      <c r="B24" s="377">
        <v>63</v>
      </c>
      <c r="C24" s="378">
        <v>63</v>
      </c>
      <c r="D24" s="379">
        <v>56</v>
      </c>
      <c r="E24" s="891">
        <v>54</v>
      </c>
      <c r="F24" s="395">
        <v>48</v>
      </c>
      <c r="G24" s="379">
        <v>52</v>
      </c>
      <c r="H24" s="379">
        <v>53</v>
      </c>
      <c r="I24" s="380">
        <v>53</v>
      </c>
      <c r="J24" s="888">
        <v>37</v>
      </c>
      <c r="K24" s="877">
        <v>236</v>
      </c>
      <c r="L24" s="379">
        <v>206</v>
      </c>
    </row>
    <row r="25" spans="1:12" ht="14.1" customHeight="1" x14ac:dyDescent="0.25">
      <c r="A25" s="892" t="s">
        <v>385</v>
      </c>
      <c r="B25" s="377">
        <v>55</v>
      </c>
      <c r="C25" s="378">
        <v>55</v>
      </c>
      <c r="D25" s="379">
        <v>47</v>
      </c>
      <c r="E25" s="891">
        <v>46</v>
      </c>
      <c r="F25" s="395">
        <v>42</v>
      </c>
      <c r="G25" s="379">
        <v>46</v>
      </c>
      <c r="H25" s="379">
        <v>44</v>
      </c>
      <c r="I25" s="380">
        <v>45</v>
      </c>
      <c r="J25" s="888">
        <v>30</v>
      </c>
      <c r="K25" s="877">
        <v>203</v>
      </c>
      <c r="L25" s="379">
        <v>177</v>
      </c>
    </row>
    <row r="26" spans="1:12" ht="14.1" customHeight="1" x14ac:dyDescent="0.25">
      <c r="A26" s="892" t="s">
        <v>386</v>
      </c>
      <c r="B26" s="377">
        <v>8</v>
      </c>
      <c r="C26" s="378">
        <v>8</v>
      </c>
      <c r="D26" s="379">
        <v>9</v>
      </c>
      <c r="E26" s="891">
        <v>8</v>
      </c>
      <c r="F26" s="395">
        <v>6</v>
      </c>
      <c r="G26" s="379">
        <v>6</v>
      </c>
      <c r="H26" s="379">
        <v>9</v>
      </c>
      <c r="I26" s="380">
        <v>8</v>
      </c>
      <c r="J26" s="888">
        <v>7</v>
      </c>
      <c r="K26" s="877">
        <v>33</v>
      </c>
      <c r="L26" s="379">
        <v>29</v>
      </c>
    </row>
    <row r="27" spans="1:12" ht="14.1" customHeight="1" x14ac:dyDescent="0.25">
      <c r="A27" s="889" t="s">
        <v>387</v>
      </c>
      <c r="B27" s="377">
        <v>447</v>
      </c>
      <c r="C27" s="378">
        <v>417</v>
      </c>
      <c r="D27" s="379">
        <v>399</v>
      </c>
      <c r="E27" s="891">
        <v>407</v>
      </c>
      <c r="F27" s="395">
        <v>380</v>
      </c>
      <c r="G27" s="379">
        <v>367</v>
      </c>
      <c r="H27" s="379">
        <v>341</v>
      </c>
      <c r="I27" s="380">
        <v>330</v>
      </c>
      <c r="J27" s="888">
        <v>286</v>
      </c>
      <c r="K27" s="877">
        <v>1670</v>
      </c>
      <c r="L27" s="379">
        <v>1418</v>
      </c>
    </row>
    <row r="28" spans="1:12" ht="14.1" customHeight="1" x14ac:dyDescent="0.25">
      <c r="A28" s="893"/>
      <c r="B28" s="885"/>
      <c r="C28" s="401"/>
      <c r="D28" s="402"/>
      <c r="E28" s="403"/>
      <c r="F28" s="886"/>
      <c r="G28" s="407"/>
      <c r="H28" s="407"/>
      <c r="I28" s="887"/>
      <c r="J28" s="405"/>
      <c r="K28" s="886"/>
      <c r="L28" s="407"/>
    </row>
    <row r="29" spans="1:12" ht="14.1" customHeight="1" x14ac:dyDescent="0.25">
      <c r="A29" s="394" t="s">
        <v>388</v>
      </c>
      <c r="B29" s="377">
        <v>3</v>
      </c>
      <c r="C29" s="378">
        <v>3</v>
      </c>
      <c r="D29" s="379">
        <v>2</v>
      </c>
      <c r="E29" s="380">
        <v>2</v>
      </c>
      <c r="F29" s="395">
        <v>2</v>
      </c>
      <c r="G29" s="379">
        <v>3</v>
      </c>
      <c r="H29" s="379">
        <v>2</v>
      </c>
      <c r="I29" s="380">
        <v>3</v>
      </c>
      <c r="J29" s="888">
        <v>2</v>
      </c>
      <c r="K29" s="395">
        <v>10</v>
      </c>
      <c r="L29" s="379">
        <v>10</v>
      </c>
    </row>
    <row r="30" spans="1:12" ht="14.1" customHeight="1" x14ac:dyDescent="0.25">
      <c r="A30" s="394" t="s">
        <v>389</v>
      </c>
      <c r="B30" s="377">
        <v>453</v>
      </c>
      <c r="C30" s="378">
        <v>424</v>
      </c>
      <c r="D30" s="379">
        <v>405</v>
      </c>
      <c r="E30" s="380">
        <v>414</v>
      </c>
      <c r="F30" s="877">
        <v>386</v>
      </c>
      <c r="G30" s="387">
        <v>374</v>
      </c>
      <c r="H30" s="387">
        <v>348</v>
      </c>
      <c r="I30" s="878">
        <v>336</v>
      </c>
      <c r="J30" s="385">
        <v>292</v>
      </c>
      <c r="K30" s="877">
        <v>1696</v>
      </c>
      <c r="L30" s="387">
        <v>1444</v>
      </c>
    </row>
    <row r="31" spans="1:12" ht="14.1" customHeight="1" x14ac:dyDescent="0.25">
      <c r="A31" s="388"/>
      <c r="B31" s="885"/>
      <c r="C31" s="401"/>
      <c r="D31" s="402"/>
      <c r="E31" s="403"/>
      <c r="F31" s="886"/>
      <c r="G31" s="407"/>
      <c r="H31" s="407"/>
      <c r="I31" s="887"/>
      <c r="J31" s="405"/>
      <c r="K31" s="886"/>
      <c r="L31" s="407"/>
    </row>
    <row r="32" spans="1:12" ht="14.1" customHeight="1" x14ac:dyDescent="0.25">
      <c r="A32" s="394" t="s">
        <v>390</v>
      </c>
      <c r="B32" s="885"/>
      <c r="C32" s="401"/>
      <c r="D32" s="402"/>
      <c r="E32" s="403"/>
      <c r="F32" s="886"/>
      <c r="G32" s="407"/>
      <c r="H32" s="407"/>
      <c r="I32" s="887"/>
      <c r="J32" s="405"/>
      <c r="K32" s="404"/>
      <c r="L32" s="402"/>
    </row>
    <row r="33" spans="1:12" ht="14.1" customHeight="1" x14ac:dyDescent="0.25">
      <c r="A33" s="376" t="s">
        <v>383</v>
      </c>
      <c r="B33" s="377">
        <v>390</v>
      </c>
      <c r="C33" s="378">
        <v>360</v>
      </c>
      <c r="D33" s="379">
        <v>348</v>
      </c>
      <c r="E33" s="380">
        <v>360</v>
      </c>
      <c r="F33" s="395">
        <v>337</v>
      </c>
      <c r="G33" s="379">
        <v>321</v>
      </c>
      <c r="H33" s="379">
        <v>295</v>
      </c>
      <c r="I33" s="380">
        <v>283</v>
      </c>
      <c r="J33" s="888">
        <v>255</v>
      </c>
      <c r="K33" s="395">
        <v>1458</v>
      </c>
      <c r="L33" s="379">
        <v>1236</v>
      </c>
    </row>
    <row r="34" spans="1:12" ht="14.1" customHeight="1" x14ac:dyDescent="0.25">
      <c r="A34" s="376" t="s">
        <v>384</v>
      </c>
      <c r="B34" s="377">
        <v>63</v>
      </c>
      <c r="C34" s="378">
        <v>64</v>
      </c>
      <c r="D34" s="379">
        <v>57</v>
      </c>
      <c r="E34" s="380">
        <v>54</v>
      </c>
      <c r="F34" s="877">
        <v>49</v>
      </c>
      <c r="G34" s="387">
        <v>53</v>
      </c>
      <c r="H34" s="387">
        <v>53</v>
      </c>
      <c r="I34" s="878">
        <v>53</v>
      </c>
      <c r="J34" s="385">
        <v>37</v>
      </c>
      <c r="K34" s="395">
        <v>238</v>
      </c>
      <c r="L34" s="379">
        <v>208</v>
      </c>
    </row>
    <row r="35" spans="1:12" ht="14.1" customHeight="1" x14ac:dyDescent="0.25">
      <c r="A35" s="388" t="s">
        <v>385</v>
      </c>
      <c r="B35" s="377">
        <v>55</v>
      </c>
      <c r="C35" s="378">
        <v>55</v>
      </c>
      <c r="D35" s="379">
        <v>47</v>
      </c>
      <c r="E35" s="380">
        <v>46</v>
      </c>
      <c r="F35" s="877">
        <v>43</v>
      </c>
      <c r="G35" s="387">
        <v>45</v>
      </c>
      <c r="H35" s="387">
        <v>44</v>
      </c>
      <c r="I35" s="878">
        <v>45</v>
      </c>
      <c r="J35" s="385">
        <v>30</v>
      </c>
      <c r="K35" s="395">
        <v>203</v>
      </c>
      <c r="L35" s="379">
        <v>177</v>
      </c>
    </row>
    <row r="36" spans="1:12" ht="14.1" customHeight="1" x14ac:dyDescent="0.25">
      <c r="A36" s="388" t="s">
        <v>386</v>
      </c>
      <c r="B36" s="377">
        <v>8</v>
      </c>
      <c r="C36" s="378">
        <v>9</v>
      </c>
      <c r="D36" s="379">
        <v>10</v>
      </c>
      <c r="E36" s="380">
        <v>8</v>
      </c>
      <c r="F36" s="877">
        <v>6</v>
      </c>
      <c r="G36" s="387">
        <v>8</v>
      </c>
      <c r="H36" s="387">
        <v>9</v>
      </c>
      <c r="I36" s="878">
        <v>8</v>
      </c>
      <c r="J36" s="385">
        <v>7</v>
      </c>
      <c r="K36" s="395">
        <v>35</v>
      </c>
      <c r="L36" s="379">
        <v>31</v>
      </c>
    </row>
    <row r="37" spans="1:12" ht="14.1" customHeight="1" x14ac:dyDescent="0.25">
      <c r="A37" s="394" t="s">
        <v>391</v>
      </c>
      <c r="B37" s="377">
        <v>453</v>
      </c>
      <c r="C37" s="378">
        <v>424</v>
      </c>
      <c r="D37" s="379">
        <v>405</v>
      </c>
      <c r="E37" s="380">
        <v>414</v>
      </c>
      <c r="F37" s="877">
        <v>386</v>
      </c>
      <c r="G37" s="387">
        <v>374</v>
      </c>
      <c r="H37" s="387">
        <v>348</v>
      </c>
      <c r="I37" s="878">
        <v>336</v>
      </c>
      <c r="J37" s="385">
        <v>292</v>
      </c>
      <c r="K37" s="395">
        <v>1696</v>
      </c>
      <c r="L37" s="379">
        <v>1444</v>
      </c>
    </row>
    <row r="38" spans="1:12" ht="14.1" customHeight="1" x14ac:dyDescent="0.25">
      <c r="A38" s="376"/>
      <c r="B38" s="885"/>
      <c r="C38" s="401"/>
      <c r="D38" s="402"/>
      <c r="E38" s="403"/>
      <c r="F38" s="886"/>
      <c r="G38" s="407"/>
      <c r="H38" s="407"/>
      <c r="I38" s="887"/>
      <c r="J38" s="405"/>
      <c r="K38" s="886"/>
      <c r="L38" s="407"/>
    </row>
    <row r="39" spans="1:12" ht="14.1" customHeight="1" x14ac:dyDescent="0.25">
      <c r="A39" s="394" t="s">
        <v>392</v>
      </c>
      <c r="B39" s="885"/>
      <c r="C39" s="401"/>
      <c r="D39" s="402"/>
      <c r="E39" s="403"/>
      <c r="F39" s="886"/>
      <c r="G39" s="407"/>
      <c r="H39" s="407"/>
      <c r="I39" s="887"/>
      <c r="J39" s="405"/>
      <c r="K39" s="886"/>
      <c r="L39" s="407"/>
    </row>
    <row r="40" spans="1:12" ht="14.1" customHeight="1" x14ac:dyDescent="0.25">
      <c r="A40" s="376" t="s">
        <v>383</v>
      </c>
      <c r="B40" s="377">
        <v>1480</v>
      </c>
      <c r="C40" s="378">
        <v>1388</v>
      </c>
      <c r="D40" s="379">
        <v>1333</v>
      </c>
      <c r="E40" s="380">
        <v>1371</v>
      </c>
      <c r="F40" s="395">
        <v>1278</v>
      </c>
      <c r="G40" s="379">
        <v>1234</v>
      </c>
      <c r="H40" s="379">
        <v>1179</v>
      </c>
      <c r="I40" s="380">
        <v>1138</v>
      </c>
      <c r="J40" s="888">
        <v>1120</v>
      </c>
      <c r="K40" s="395">
        <v>5572</v>
      </c>
      <c r="L40" s="379">
        <v>4829</v>
      </c>
    </row>
    <row r="41" spans="1:12" ht="14.1" customHeight="1" x14ac:dyDescent="0.25">
      <c r="A41" s="376" t="s">
        <v>384</v>
      </c>
      <c r="B41" s="377">
        <v>224</v>
      </c>
      <c r="C41" s="378">
        <v>216</v>
      </c>
      <c r="D41" s="379">
        <v>208</v>
      </c>
      <c r="E41" s="380">
        <v>208</v>
      </c>
      <c r="F41" s="395">
        <v>188</v>
      </c>
      <c r="G41" s="379">
        <v>194</v>
      </c>
      <c r="H41" s="379">
        <v>192</v>
      </c>
      <c r="I41" s="380">
        <v>186</v>
      </c>
      <c r="J41" s="888">
        <v>168</v>
      </c>
      <c r="K41" s="395">
        <v>856</v>
      </c>
      <c r="L41" s="379">
        <v>760</v>
      </c>
    </row>
    <row r="42" spans="1:12" ht="14.1" customHeight="1" x14ac:dyDescent="0.25">
      <c r="A42" s="388" t="s">
        <v>385</v>
      </c>
      <c r="B42" s="377">
        <v>197</v>
      </c>
      <c r="C42" s="378">
        <v>190</v>
      </c>
      <c r="D42" s="379">
        <v>182</v>
      </c>
      <c r="E42" s="380">
        <v>182</v>
      </c>
      <c r="F42" s="395">
        <v>165</v>
      </c>
      <c r="G42" s="387">
        <v>169</v>
      </c>
      <c r="H42" s="387">
        <v>166</v>
      </c>
      <c r="I42" s="878">
        <v>161</v>
      </c>
      <c r="J42" s="385">
        <v>145</v>
      </c>
      <c r="K42" s="395">
        <v>751</v>
      </c>
      <c r="L42" s="379">
        <v>661</v>
      </c>
    </row>
    <row r="43" spans="1:12" ht="14.1" customHeight="1" x14ac:dyDescent="0.25">
      <c r="A43" s="388" t="s">
        <v>386</v>
      </c>
      <c r="B43" s="377">
        <v>27</v>
      </c>
      <c r="C43" s="378">
        <v>26</v>
      </c>
      <c r="D43" s="379">
        <v>26</v>
      </c>
      <c r="E43" s="380">
        <v>26</v>
      </c>
      <c r="F43" s="877">
        <v>23</v>
      </c>
      <c r="G43" s="387">
        <v>25</v>
      </c>
      <c r="H43" s="387">
        <v>26</v>
      </c>
      <c r="I43" s="878">
        <v>25</v>
      </c>
      <c r="J43" s="385">
        <v>23</v>
      </c>
      <c r="K43" s="395">
        <v>105</v>
      </c>
      <c r="L43" s="379">
        <v>99</v>
      </c>
    </row>
    <row r="44" spans="1:12" ht="14.1" customHeight="1" x14ac:dyDescent="0.25">
      <c r="A44" s="416" t="s">
        <v>393</v>
      </c>
      <c r="B44" s="894">
        <v>1704</v>
      </c>
      <c r="C44" s="895">
        <v>1604</v>
      </c>
      <c r="D44" s="896">
        <v>1541</v>
      </c>
      <c r="E44" s="897">
        <v>1579</v>
      </c>
      <c r="F44" s="898">
        <v>1466</v>
      </c>
      <c r="G44" s="899">
        <v>1428</v>
      </c>
      <c r="H44" s="899">
        <v>1371</v>
      </c>
      <c r="I44" s="900">
        <v>1324</v>
      </c>
      <c r="J44" s="901">
        <v>1288</v>
      </c>
      <c r="K44" s="902">
        <v>6428</v>
      </c>
      <c r="L44" s="896">
        <v>5589</v>
      </c>
    </row>
    <row r="45" spans="1:12" ht="14.1" customHeight="1" x14ac:dyDescent="0.25">
      <c r="A45" s="426" t="s">
        <v>304</v>
      </c>
      <c r="B45" s="903"/>
      <c r="C45" s="904"/>
      <c r="D45" s="905"/>
      <c r="E45" s="906"/>
      <c r="F45" s="907"/>
      <c r="G45" s="905"/>
      <c r="H45" s="905"/>
      <c r="I45" s="906"/>
      <c r="J45" s="908"/>
      <c r="K45" s="907"/>
      <c r="L45" s="905"/>
    </row>
    <row r="46" spans="1:12" ht="14.1" customHeight="1" x14ac:dyDescent="0.25">
      <c r="A46" s="909" t="s">
        <v>307</v>
      </c>
      <c r="B46" s="910"/>
      <c r="C46" s="911"/>
      <c r="D46" s="912"/>
      <c r="E46" s="913"/>
      <c r="F46" s="914"/>
      <c r="G46" s="912"/>
      <c r="H46" s="912"/>
      <c r="I46" s="913"/>
      <c r="J46" s="915"/>
      <c r="K46" s="916"/>
      <c r="L46" s="917"/>
    </row>
    <row r="47" spans="1:12" ht="14.1" customHeight="1" x14ac:dyDescent="0.25">
      <c r="A47" s="388" t="s">
        <v>308</v>
      </c>
      <c r="B47" s="456">
        <v>16.7</v>
      </c>
      <c r="C47" s="457">
        <v>15.7</v>
      </c>
      <c r="D47" s="458">
        <v>15.8</v>
      </c>
      <c r="E47" s="459">
        <v>15.8</v>
      </c>
      <c r="F47" s="918">
        <v>14.8</v>
      </c>
      <c r="G47" s="458">
        <v>14.3</v>
      </c>
      <c r="H47" s="458">
        <v>13.6</v>
      </c>
      <c r="I47" s="459">
        <v>12.9</v>
      </c>
      <c r="J47" s="464">
        <v>11.6</v>
      </c>
      <c r="K47" s="919">
        <v>16</v>
      </c>
      <c r="L47" s="458">
        <v>13.9</v>
      </c>
    </row>
    <row r="48" spans="1:12" ht="14.1" customHeight="1" x14ac:dyDescent="0.25">
      <c r="A48" s="388" t="s">
        <v>311</v>
      </c>
      <c r="B48" s="456">
        <v>64.2</v>
      </c>
      <c r="C48" s="457">
        <v>64.2</v>
      </c>
      <c r="D48" s="458">
        <v>64.7</v>
      </c>
      <c r="E48" s="459">
        <v>64.7</v>
      </c>
      <c r="F48" s="918">
        <v>64.7</v>
      </c>
      <c r="G48" s="458">
        <v>64.8</v>
      </c>
      <c r="H48" s="458">
        <v>66.099999999999994</v>
      </c>
      <c r="I48" s="459">
        <v>66</v>
      </c>
      <c r="J48" s="464">
        <v>69.599999999999994</v>
      </c>
      <c r="K48" s="919">
        <v>64.5</v>
      </c>
      <c r="L48" s="458">
        <v>65.400000000000006</v>
      </c>
    </row>
    <row r="49" spans="1:12" ht="14.1" customHeight="1" x14ac:dyDescent="0.25">
      <c r="A49" s="394" t="s">
        <v>312</v>
      </c>
      <c r="B49" s="920"/>
      <c r="C49" s="474"/>
      <c r="D49" s="475"/>
      <c r="E49" s="476"/>
      <c r="F49" s="921"/>
      <c r="G49" s="475"/>
      <c r="H49" s="475"/>
      <c r="I49" s="476"/>
      <c r="J49" s="478"/>
      <c r="K49" s="919"/>
      <c r="L49" s="458"/>
    </row>
    <row r="50" spans="1:12" ht="14.1" customHeight="1" x14ac:dyDescent="0.25">
      <c r="A50" s="388" t="s">
        <v>313</v>
      </c>
      <c r="B50" s="456">
        <v>17</v>
      </c>
      <c r="C50" s="457">
        <v>15.9</v>
      </c>
      <c r="D50" s="458">
        <v>16.100000000000001</v>
      </c>
      <c r="E50" s="459">
        <v>16.100000000000001</v>
      </c>
      <c r="F50" s="918">
        <v>15</v>
      </c>
      <c r="G50" s="458">
        <v>14.6</v>
      </c>
      <c r="H50" s="458">
        <v>13.8</v>
      </c>
      <c r="I50" s="459">
        <v>13.1</v>
      </c>
      <c r="J50" s="464">
        <v>11.8</v>
      </c>
      <c r="K50" s="919">
        <v>16.3</v>
      </c>
      <c r="L50" s="458">
        <v>14.1</v>
      </c>
    </row>
    <row r="51" spans="1:12" ht="14.1" customHeight="1" x14ac:dyDescent="0.25">
      <c r="A51" s="485" t="s">
        <v>314</v>
      </c>
      <c r="B51" s="486">
        <v>63.7</v>
      </c>
      <c r="C51" s="487">
        <v>63.6</v>
      </c>
      <c r="D51" s="488">
        <v>64.099999999999994</v>
      </c>
      <c r="E51" s="489">
        <v>64.2</v>
      </c>
      <c r="F51" s="922">
        <v>64.099999999999994</v>
      </c>
      <c r="G51" s="488">
        <v>64.2</v>
      </c>
      <c r="H51" s="488">
        <v>65.5</v>
      </c>
      <c r="I51" s="489">
        <v>65.3</v>
      </c>
      <c r="J51" s="494">
        <v>68.900000000000006</v>
      </c>
      <c r="K51" s="923">
        <v>63.9</v>
      </c>
      <c r="L51" s="488">
        <v>64.8</v>
      </c>
    </row>
    <row r="52" spans="1:12" ht="14.1" customHeight="1" x14ac:dyDescent="0.25">
      <c r="A52" s="426" t="s">
        <v>394</v>
      </c>
      <c r="B52" s="903"/>
      <c r="C52" s="904"/>
      <c r="D52" s="905"/>
      <c r="E52" s="906"/>
      <c r="F52" s="907"/>
      <c r="G52" s="905"/>
      <c r="H52" s="905"/>
      <c r="I52" s="906"/>
      <c r="J52" s="908"/>
      <c r="K52" s="924"/>
      <c r="L52" s="925"/>
    </row>
    <row r="53" spans="1:12" ht="14.1" customHeight="1" x14ac:dyDescent="0.25">
      <c r="A53" s="431" t="s">
        <v>320</v>
      </c>
      <c r="B53" s="498">
        <v>29.3</v>
      </c>
      <c r="C53" s="499">
        <v>28.5</v>
      </c>
      <c r="D53" s="500">
        <v>27.6</v>
      </c>
      <c r="E53" s="501">
        <v>27</v>
      </c>
      <c r="F53" s="926">
        <v>26</v>
      </c>
      <c r="G53" s="500">
        <v>25.4</v>
      </c>
      <c r="H53" s="500">
        <v>24.8</v>
      </c>
      <c r="I53" s="501">
        <v>24.3</v>
      </c>
      <c r="J53" s="927">
        <v>24</v>
      </c>
      <c r="K53" s="926">
        <v>28.1</v>
      </c>
      <c r="L53" s="500">
        <v>25.1</v>
      </c>
    </row>
    <row r="54" spans="1:12" ht="14.1" customHeight="1" x14ac:dyDescent="0.25">
      <c r="A54" s="376" t="s">
        <v>321</v>
      </c>
      <c r="B54" s="509">
        <v>10.099999999999998</v>
      </c>
      <c r="C54" s="510">
        <v>10.100000000000001</v>
      </c>
      <c r="D54" s="511">
        <v>10.199999999999996</v>
      </c>
      <c r="E54" s="512">
        <v>10.3</v>
      </c>
      <c r="F54" s="928">
        <v>10.4</v>
      </c>
      <c r="G54" s="511">
        <v>10.3</v>
      </c>
      <c r="H54" s="511">
        <v>10.3</v>
      </c>
      <c r="I54" s="512">
        <v>10.4</v>
      </c>
      <c r="J54" s="517">
        <v>10.3</v>
      </c>
      <c r="K54" s="928">
        <v>10.199999999999996</v>
      </c>
      <c r="L54" s="511">
        <v>10.4</v>
      </c>
    </row>
    <row r="55" spans="1:12" ht="14.1" customHeight="1" x14ac:dyDescent="0.25">
      <c r="A55" s="522" t="s">
        <v>322</v>
      </c>
      <c r="B55" s="509">
        <v>39.4</v>
      </c>
      <c r="C55" s="510">
        <v>38.6</v>
      </c>
      <c r="D55" s="511">
        <v>37.799999999999997</v>
      </c>
      <c r="E55" s="512">
        <v>37.299999999999997</v>
      </c>
      <c r="F55" s="928">
        <v>36.4</v>
      </c>
      <c r="G55" s="511">
        <v>35.700000000000003</v>
      </c>
      <c r="H55" s="511">
        <v>35.1</v>
      </c>
      <c r="I55" s="512">
        <v>34.700000000000003</v>
      </c>
      <c r="J55" s="517">
        <v>34.299999999999997</v>
      </c>
      <c r="K55" s="928">
        <v>38.299999999999997</v>
      </c>
      <c r="L55" s="511">
        <v>35.5</v>
      </c>
    </row>
    <row r="56" spans="1:12" ht="14.1" customHeight="1" x14ac:dyDescent="0.25">
      <c r="A56" s="519" t="s">
        <v>323</v>
      </c>
      <c r="B56" s="509">
        <v>21</v>
      </c>
      <c r="C56" s="510">
        <v>20.9</v>
      </c>
      <c r="D56" s="511">
        <v>21</v>
      </c>
      <c r="E56" s="512">
        <v>19.100000000000001</v>
      </c>
      <c r="F56" s="928">
        <v>18.100000000000001</v>
      </c>
      <c r="G56" s="511">
        <v>18.2</v>
      </c>
      <c r="H56" s="511">
        <v>18.3</v>
      </c>
      <c r="I56" s="512">
        <v>18</v>
      </c>
      <c r="J56" s="517">
        <v>17.7</v>
      </c>
      <c r="K56" s="928">
        <v>20.5</v>
      </c>
      <c r="L56" s="511">
        <v>18.2</v>
      </c>
    </row>
    <row r="57" spans="1:12" ht="14.1" customHeight="1" x14ac:dyDescent="0.25">
      <c r="A57" s="519" t="s">
        <v>324</v>
      </c>
      <c r="B57" s="509">
        <v>29</v>
      </c>
      <c r="C57" s="510">
        <v>26.7</v>
      </c>
      <c r="D57" s="511">
        <v>23.9</v>
      </c>
      <c r="E57" s="512">
        <v>21.3</v>
      </c>
      <c r="F57" s="928">
        <v>19.8</v>
      </c>
      <c r="G57" s="511">
        <v>19.3</v>
      </c>
      <c r="H57" s="511">
        <v>18.600000000000001</v>
      </c>
      <c r="I57" s="512">
        <v>16.3</v>
      </c>
      <c r="J57" s="517">
        <v>15.7</v>
      </c>
      <c r="K57" s="928">
        <v>25.2</v>
      </c>
      <c r="L57" s="511">
        <v>18.5</v>
      </c>
    </row>
    <row r="58" spans="1:12" ht="14.1" customHeight="1" x14ac:dyDescent="0.25">
      <c r="A58" s="522" t="s">
        <v>325</v>
      </c>
      <c r="B58" s="509">
        <v>50</v>
      </c>
      <c r="C58" s="510">
        <v>47.599999999999994</v>
      </c>
      <c r="D58" s="511">
        <v>44.9</v>
      </c>
      <c r="E58" s="512">
        <v>40.4</v>
      </c>
      <c r="F58" s="928">
        <v>37.9</v>
      </c>
      <c r="G58" s="511">
        <v>37.5</v>
      </c>
      <c r="H58" s="511">
        <v>36.9</v>
      </c>
      <c r="I58" s="512">
        <v>34.299999999999997</v>
      </c>
      <c r="J58" s="517">
        <v>33.4</v>
      </c>
      <c r="K58" s="928">
        <v>45.7</v>
      </c>
      <c r="L58" s="511">
        <v>36.700000000000003</v>
      </c>
    </row>
    <row r="59" spans="1:12" ht="14.1" customHeight="1" x14ac:dyDescent="0.25">
      <c r="A59" s="519" t="s">
        <v>326</v>
      </c>
      <c r="B59" s="509">
        <v>2.2000000000000028</v>
      </c>
      <c r="C59" s="510">
        <v>2.2000000000000028</v>
      </c>
      <c r="D59" s="511">
        <v>2.3000000000000043</v>
      </c>
      <c r="E59" s="512">
        <v>2.4</v>
      </c>
      <c r="F59" s="928">
        <v>2.6</v>
      </c>
      <c r="G59" s="511">
        <v>3.2</v>
      </c>
      <c r="H59" s="511">
        <v>5</v>
      </c>
      <c r="I59" s="512">
        <v>6.5</v>
      </c>
      <c r="J59" s="517">
        <v>6.6</v>
      </c>
      <c r="K59" s="928">
        <v>2.2999999999999972</v>
      </c>
      <c r="L59" s="511">
        <v>4.3</v>
      </c>
    </row>
    <row r="60" spans="1:12" ht="14.1" customHeight="1" x14ac:dyDescent="0.25">
      <c r="A60" s="523" t="s">
        <v>327</v>
      </c>
      <c r="B60" s="524">
        <v>52.2</v>
      </c>
      <c r="C60" s="525">
        <v>49.8</v>
      </c>
      <c r="D60" s="526">
        <v>47.2</v>
      </c>
      <c r="E60" s="527">
        <v>42.8</v>
      </c>
      <c r="F60" s="929">
        <v>40.5</v>
      </c>
      <c r="G60" s="526">
        <v>40.700000000000003</v>
      </c>
      <c r="H60" s="526">
        <v>41.9</v>
      </c>
      <c r="I60" s="527">
        <v>40.799999999999997</v>
      </c>
      <c r="J60" s="930">
        <v>40</v>
      </c>
      <c r="K60" s="929">
        <v>48</v>
      </c>
      <c r="L60" s="526">
        <v>41</v>
      </c>
    </row>
    <row r="61" spans="1:12" ht="14.1" customHeight="1" x14ac:dyDescent="0.25">
      <c r="A61" s="426" t="s">
        <v>395</v>
      </c>
      <c r="B61" s="903"/>
      <c r="C61" s="904"/>
      <c r="D61" s="905"/>
      <c r="E61" s="906"/>
      <c r="F61" s="907"/>
      <c r="G61" s="905"/>
      <c r="H61" s="905"/>
      <c r="I61" s="906"/>
      <c r="J61" s="908"/>
      <c r="K61" s="924"/>
      <c r="L61" s="925"/>
    </row>
    <row r="62" spans="1:12" ht="14.1" customHeight="1" x14ac:dyDescent="0.25">
      <c r="A62" s="931" t="s">
        <v>396</v>
      </c>
      <c r="B62" s="932"/>
      <c r="C62" s="933"/>
      <c r="D62" s="934"/>
      <c r="E62" s="935"/>
      <c r="F62" s="936"/>
      <c r="G62" s="934"/>
      <c r="H62" s="934"/>
      <c r="I62" s="935"/>
      <c r="J62" s="937"/>
      <c r="K62" s="936"/>
      <c r="L62" s="934"/>
    </row>
    <row r="63" spans="1:12" ht="14.1" customHeight="1" x14ac:dyDescent="0.25">
      <c r="A63" s="938" t="s">
        <v>383</v>
      </c>
      <c r="B63" s="536">
        <v>629</v>
      </c>
      <c r="C63" s="537">
        <v>591</v>
      </c>
      <c r="D63" s="538">
        <v>553</v>
      </c>
      <c r="E63" s="939">
        <v>581</v>
      </c>
      <c r="F63" s="940">
        <v>556</v>
      </c>
      <c r="G63" s="538">
        <v>543</v>
      </c>
      <c r="H63" s="538">
        <v>519</v>
      </c>
      <c r="I63" s="939">
        <v>506</v>
      </c>
      <c r="J63" s="941">
        <v>470</v>
      </c>
      <c r="K63" s="940">
        <v>629</v>
      </c>
      <c r="L63" s="538">
        <v>556</v>
      </c>
    </row>
    <row r="64" spans="1:12" ht="14.1" customHeight="1" x14ac:dyDescent="0.25">
      <c r="A64" s="938" t="s">
        <v>384</v>
      </c>
      <c r="B64" s="536">
        <v>168</v>
      </c>
      <c r="C64" s="537">
        <v>163</v>
      </c>
      <c r="D64" s="538">
        <v>157</v>
      </c>
      <c r="E64" s="939">
        <v>157</v>
      </c>
      <c r="F64" s="940">
        <v>148</v>
      </c>
      <c r="G64" s="538">
        <v>151</v>
      </c>
      <c r="H64" s="538">
        <v>150</v>
      </c>
      <c r="I64" s="939">
        <v>149</v>
      </c>
      <c r="J64" s="941">
        <v>140</v>
      </c>
      <c r="K64" s="940">
        <v>168</v>
      </c>
      <c r="L64" s="538">
        <v>148</v>
      </c>
    </row>
    <row r="65" spans="1:12" ht="14.1" customHeight="1" x14ac:dyDescent="0.25">
      <c r="A65" s="942" t="s">
        <v>385</v>
      </c>
      <c r="B65" s="377">
        <v>158</v>
      </c>
      <c r="C65" s="378">
        <v>154</v>
      </c>
      <c r="D65" s="379">
        <v>149</v>
      </c>
      <c r="E65" s="380">
        <v>149</v>
      </c>
      <c r="F65" s="877">
        <v>140</v>
      </c>
      <c r="G65" s="387">
        <v>142</v>
      </c>
      <c r="H65" s="387">
        <v>140</v>
      </c>
      <c r="I65" s="878">
        <v>139</v>
      </c>
      <c r="J65" s="385">
        <v>131</v>
      </c>
      <c r="K65" s="395">
        <v>158</v>
      </c>
      <c r="L65" s="379">
        <v>140</v>
      </c>
    </row>
    <row r="66" spans="1:12" ht="14.1" customHeight="1" x14ac:dyDescent="0.25">
      <c r="A66" s="942" t="s">
        <v>386</v>
      </c>
      <c r="B66" s="377">
        <v>10</v>
      </c>
      <c r="C66" s="378">
        <v>9</v>
      </c>
      <c r="D66" s="379">
        <v>8</v>
      </c>
      <c r="E66" s="380">
        <v>8</v>
      </c>
      <c r="F66" s="877">
        <v>8</v>
      </c>
      <c r="G66" s="387">
        <v>9</v>
      </c>
      <c r="H66" s="387">
        <v>10</v>
      </c>
      <c r="I66" s="878">
        <v>10</v>
      </c>
      <c r="J66" s="385">
        <v>9</v>
      </c>
      <c r="K66" s="395">
        <v>10</v>
      </c>
      <c r="L66" s="379">
        <v>8</v>
      </c>
    </row>
    <row r="67" spans="1:12" ht="14.1" customHeight="1" x14ac:dyDescent="0.25">
      <c r="A67" s="943" t="s">
        <v>397</v>
      </c>
      <c r="B67" s="536">
        <v>797</v>
      </c>
      <c r="C67" s="537">
        <v>754</v>
      </c>
      <c r="D67" s="538">
        <v>710</v>
      </c>
      <c r="E67" s="939">
        <v>738</v>
      </c>
      <c r="F67" s="940">
        <v>704</v>
      </c>
      <c r="G67" s="538">
        <v>694</v>
      </c>
      <c r="H67" s="538">
        <v>669</v>
      </c>
      <c r="I67" s="939">
        <v>655</v>
      </c>
      <c r="J67" s="941">
        <v>610</v>
      </c>
      <c r="K67" s="940">
        <v>797</v>
      </c>
      <c r="L67" s="538">
        <v>704</v>
      </c>
    </row>
    <row r="68" spans="1:12" ht="14.1" customHeight="1" x14ac:dyDescent="0.25">
      <c r="A68" s="944" t="s">
        <v>398</v>
      </c>
      <c r="B68" s="945"/>
      <c r="C68" s="946"/>
      <c r="D68" s="947"/>
      <c r="E68" s="948"/>
      <c r="F68" s="949"/>
      <c r="G68" s="947"/>
      <c r="H68" s="947"/>
      <c r="I68" s="948"/>
      <c r="J68" s="950"/>
      <c r="K68" s="949"/>
      <c r="L68" s="947"/>
    </row>
    <row r="69" spans="1:12" ht="14.1" customHeight="1" x14ac:dyDescent="0.25">
      <c r="A69" s="938" t="s">
        <v>383</v>
      </c>
      <c r="B69" s="536">
        <v>383</v>
      </c>
      <c r="C69" s="537">
        <v>362</v>
      </c>
      <c r="D69" s="538">
        <v>338</v>
      </c>
      <c r="E69" s="939">
        <v>353</v>
      </c>
      <c r="F69" s="940">
        <v>333</v>
      </c>
      <c r="G69" s="538">
        <v>325</v>
      </c>
      <c r="H69" s="538">
        <v>310</v>
      </c>
      <c r="I69" s="939">
        <v>304</v>
      </c>
      <c r="J69" s="941">
        <v>281</v>
      </c>
      <c r="K69" s="940">
        <v>383</v>
      </c>
      <c r="L69" s="538">
        <v>333</v>
      </c>
    </row>
    <row r="70" spans="1:12" ht="14.1" customHeight="1" x14ac:dyDescent="0.25">
      <c r="A70" s="938" t="s">
        <v>384</v>
      </c>
      <c r="B70" s="536">
        <v>49</v>
      </c>
      <c r="C70" s="537">
        <v>45</v>
      </c>
      <c r="D70" s="538">
        <v>42</v>
      </c>
      <c r="E70" s="951">
        <v>43</v>
      </c>
      <c r="F70" s="540">
        <v>40</v>
      </c>
      <c r="G70" s="541">
        <v>39</v>
      </c>
      <c r="H70" s="541">
        <v>39</v>
      </c>
      <c r="I70" s="952">
        <v>36</v>
      </c>
      <c r="J70" s="542">
        <v>36</v>
      </c>
      <c r="K70" s="940">
        <v>49</v>
      </c>
      <c r="L70" s="538">
        <v>40</v>
      </c>
    </row>
    <row r="71" spans="1:12" ht="14.1" customHeight="1" x14ac:dyDescent="0.25">
      <c r="A71" s="942" t="s">
        <v>385</v>
      </c>
      <c r="B71" s="377">
        <v>39</v>
      </c>
      <c r="C71" s="378">
        <v>36</v>
      </c>
      <c r="D71" s="379">
        <v>34</v>
      </c>
      <c r="E71" s="380">
        <v>34</v>
      </c>
      <c r="F71" s="877">
        <v>32</v>
      </c>
      <c r="G71" s="387">
        <v>30</v>
      </c>
      <c r="H71" s="387">
        <v>29</v>
      </c>
      <c r="I71" s="878">
        <v>27</v>
      </c>
      <c r="J71" s="385">
        <v>27</v>
      </c>
      <c r="K71" s="395">
        <v>39</v>
      </c>
      <c r="L71" s="379">
        <v>32</v>
      </c>
    </row>
    <row r="72" spans="1:12" ht="14.1" customHeight="1" x14ac:dyDescent="0.25">
      <c r="A72" s="942" t="s">
        <v>386</v>
      </c>
      <c r="B72" s="377">
        <v>10</v>
      </c>
      <c r="C72" s="378">
        <v>9</v>
      </c>
      <c r="D72" s="379">
        <v>8</v>
      </c>
      <c r="E72" s="380">
        <v>9</v>
      </c>
      <c r="F72" s="877">
        <v>8</v>
      </c>
      <c r="G72" s="387">
        <v>9</v>
      </c>
      <c r="H72" s="387">
        <v>10</v>
      </c>
      <c r="I72" s="878">
        <v>9</v>
      </c>
      <c r="J72" s="385">
        <v>9</v>
      </c>
      <c r="K72" s="395">
        <v>10</v>
      </c>
      <c r="L72" s="379">
        <v>8</v>
      </c>
    </row>
    <row r="73" spans="1:12" ht="14.1" customHeight="1" x14ac:dyDescent="0.25">
      <c r="A73" s="943" t="s">
        <v>399</v>
      </c>
      <c r="B73" s="536">
        <v>432</v>
      </c>
      <c r="C73" s="537">
        <v>407</v>
      </c>
      <c r="D73" s="538">
        <v>380</v>
      </c>
      <c r="E73" s="951">
        <v>396</v>
      </c>
      <c r="F73" s="540">
        <v>373</v>
      </c>
      <c r="G73" s="541">
        <v>364</v>
      </c>
      <c r="H73" s="541">
        <v>349</v>
      </c>
      <c r="I73" s="952">
        <v>340</v>
      </c>
      <c r="J73" s="542">
        <v>317</v>
      </c>
      <c r="K73" s="940">
        <v>432</v>
      </c>
      <c r="L73" s="538">
        <v>373</v>
      </c>
    </row>
    <row r="74" spans="1:12" ht="14.1" customHeight="1" x14ac:dyDescent="0.3">
      <c r="A74" s="522" t="s">
        <v>400</v>
      </c>
      <c r="B74" s="953"/>
      <c r="C74" s="954"/>
      <c r="D74" s="955"/>
      <c r="E74" s="956"/>
      <c r="F74" s="957"/>
      <c r="G74" s="958"/>
      <c r="H74" s="958"/>
      <c r="I74" s="959"/>
      <c r="J74" s="960"/>
      <c r="K74" s="404"/>
      <c r="L74" s="961"/>
    </row>
    <row r="75" spans="1:12" ht="14.1" customHeight="1" x14ac:dyDescent="0.3">
      <c r="A75" s="938" t="s">
        <v>401</v>
      </c>
      <c r="B75" s="962">
        <v>6887</v>
      </c>
      <c r="C75" s="537">
        <v>6894</v>
      </c>
      <c r="D75" s="538">
        <v>6688</v>
      </c>
      <c r="E75" s="939">
        <v>6645.9</v>
      </c>
      <c r="F75" s="540">
        <v>6488</v>
      </c>
      <c r="G75" s="541">
        <v>6519</v>
      </c>
      <c r="H75" s="541">
        <v>6411</v>
      </c>
      <c r="I75" s="539">
        <v>6394</v>
      </c>
      <c r="J75" s="542">
        <v>6328</v>
      </c>
      <c r="K75" s="963"/>
      <c r="L75" s="964"/>
    </row>
    <row r="76" spans="1:12" ht="14.1" customHeight="1" x14ac:dyDescent="0.3">
      <c r="A76" s="938" t="s">
        <v>402</v>
      </c>
      <c r="B76" s="962">
        <v>1492</v>
      </c>
      <c r="C76" s="537">
        <v>1499</v>
      </c>
      <c r="D76" s="538">
        <v>1467</v>
      </c>
      <c r="E76" s="939">
        <v>1487</v>
      </c>
      <c r="F76" s="540">
        <v>1465</v>
      </c>
      <c r="G76" s="541">
        <v>1465</v>
      </c>
      <c r="H76" s="541">
        <v>1449</v>
      </c>
      <c r="I76" s="539">
        <v>1450</v>
      </c>
      <c r="J76" s="542">
        <v>1449</v>
      </c>
      <c r="K76" s="963"/>
      <c r="L76" s="964"/>
    </row>
    <row r="77" spans="1:12" ht="14.1" customHeight="1" x14ac:dyDescent="0.3">
      <c r="A77" s="965" t="s">
        <v>403</v>
      </c>
      <c r="B77" s="966">
        <v>8379</v>
      </c>
      <c r="C77" s="549">
        <v>8393</v>
      </c>
      <c r="D77" s="550">
        <v>8155</v>
      </c>
      <c r="E77" s="967">
        <v>8132.9</v>
      </c>
      <c r="F77" s="552">
        <v>7953</v>
      </c>
      <c r="G77" s="553">
        <v>7984</v>
      </c>
      <c r="H77" s="553">
        <v>7860</v>
      </c>
      <c r="I77" s="551">
        <v>7844</v>
      </c>
      <c r="J77" s="554">
        <v>7777</v>
      </c>
      <c r="K77" s="968"/>
      <c r="L77" s="969"/>
    </row>
    <row r="78" spans="1:12" ht="13.35" customHeight="1" x14ac:dyDescent="0.3">
      <c r="A78" s="970"/>
      <c r="B78" s="971"/>
      <c r="C78" s="971"/>
      <c r="D78" s="971"/>
      <c r="E78" s="971"/>
      <c r="F78" s="971"/>
      <c r="G78" s="971"/>
      <c r="H78" s="971"/>
      <c r="I78" s="971"/>
      <c r="J78" s="971"/>
      <c r="K78" s="972"/>
      <c r="L78" s="972"/>
    </row>
    <row r="79" spans="1:12" ht="13.35" customHeight="1" x14ac:dyDescent="0.25">
      <c r="A79" s="2849" t="s">
        <v>353</v>
      </c>
      <c r="B79" s="2849" t="s">
        <v>15</v>
      </c>
      <c r="C79" s="2849" t="s">
        <v>15</v>
      </c>
      <c r="D79" s="2849" t="s">
        <v>15</v>
      </c>
      <c r="E79" s="2849" t="s">
        <v>15</v>
      </c>
      <c r="F79" s="2849" t="s">
        <v>15</v>
      </c>
      <c r="G79" s="2849" t="s">
        <v>15</v>
      </c>
      <c r="H79" s="2849" t="s">
        <v>15</v>
      </c>
      <c r="I79" s="2849" t="s">
        <v>15</v>
      </c>
      <c r="J79" s="2849" t="s">
        <v>15</v>
      </c>
      <c r="K79" s="2849" t="s">
        <v>15</v>
      </c>
      <c r="L79" s="2849" t="s">
        <v>15</v>
      </c>
    </row>
    <row r="80" spans="1:12" ht="13.35" customHeight="1" x14ac:dyDescent="0.25">
      <c r="A80" s="2849" t="s">
        <v>354</v>
      </c>
      <c r="B80" s="2849" t="s">
        <v>15</v>
      </c>
      <c r="C80" s="2849" t="s">
        <v>15</v>
      </c>
      <c r="D80" s="2849" t="s">
        <v>15</v>
      </c>
      <c r="E80" s="2849" t="s">
        <v>15</v>
      </c>
      <c r="F80" s="2849" t="s">
        <v>15</v>
      </c>
      <c r="G80" s="2849" t="s">
        <v>15</v>
      </c>
      <c r="H80" s="2849" t="s">
        <v>15</v>
      </c>
      <c r="I80" s="2849" t="s">
        <v>15</v>
      </c>
      <c r="J80" s="2849" t="s">
        <v>15</v>
      </c>
      <c r="K80" s="2849" t="s">
        <v>15</v>
      </c>
      <c r="L80" s="2849" t="s">
        <v>15</v>
      </c>
    </row>
    <row r="81" spans="1:12" ht="13.35" customHeight="1" x14ac:dyDescent="0.25">
      <c r="A81" s="734" t="s">
        <v>404</v>
      </c>
      <c r="B81" s="734"/>
      <c r="C81" s="734"/>
      <c r="D81" s="734"/>
      <c r="E81" s="734"/>
      <c r="F81" s="734"/>
      <c r="G81" s="734"/>
      <c r="H81" s="734"/>
      <c r="I81" s="734"/>
      <c r="J81" s="734"/>
      <c r="K81" s="734"/>
      <c r="L81" s="734"/>
    </row>
    <row r="82" spans="1:12" ht="13.35" customHeight="1" x14ac:dyDescent="0.25">
      <c r="A82" s="2849" t="s">
        <v>405</v>
      </c>
      <c r="B82" s="2849" t="s">
        <v>15</v>
      </c>
      <c r="C82" s="2849" t="s">
        <v>15</v>
      </c>
      <c r="D82" s="2849" t="s">
        <v>15</v>
      </c>
      <c r="E82" s="2849" t="s">
        <v>15</v>
      </c>
      <c r="F82" s="2849" t="s">
        <v>15</v>
      </c>
      <c r="G82" s="2849" t="s">
        <v>15</v>
      </c>
      <c r="H82" s="2849" t="s">
        <v>15</v>
      </c>
      <c r="I82" s="2849" t="s">
        <v>15</v>
      </c>
      <c r="J82" s="2849" t="s">
        <v>15</v>
      </c>
      <c r="K82" s="2849" t="s">
        <v>15</v>
      </c>
      <c r="L82" s="2849" t="s">
        <v>15</v>
      </c>
    </row>
    <row r="83" spans="1:12" ht="10.35" customHeight="1" x14ac:dyDescent="0.25">
      <c r="A83" s="560"/>
      <c r="B83" s="973"/>
      <c r="C83" s="973"/>
      <c r="D83" s="973"/>
      <c r="E83" s="973"/>
      <c r="F83" s="973"/>
      <c r="G83" s="973"/>
      <c r="H83" s="973"/>
      <c r="I83" s="973"/>
      <c r="J83" s="973"/>
      <c r="K83" s="974"/>
      <c r="L83" s="974"/>
    </row>
  </sheetData>
  <mergeCells count="5">
    <mergeCell ref="A2:L2"/>
    <mergeCell ref="K3:L3"/>
    <mergeCell ref="A79:L79"/>
    <mergeCell ref="A80:L80"/>
    <mergeCell ref="A82:L82"/>
  </mergeCells>
  <hyperlinks>
    <hyperlink ref="A1" location="ToC!A2" display="Back to Table of Contents" xr:uid="{E1C97660-DA83-4EB5-950D-87A1F0663807}"/>
  </hyperlinks>
  <pageMargins left="0.5" right="0.5" top="0.5" bottom="0.5" header="0.25" footer="0.25"/>
  <pageSetup scale="46" orientation="landscape" r:id="rId1"/>
  <headerFooter>
    <oddFooter>&amp;L&amp;G&amp;C&amp;"Scotia,Regular"&amp;9Supplementary Financial Information (SFI)&amp;R7&amp;"Scotia,Regular"&amp;7</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5CD3-FA53-4660-BE6C-C02575DAE883}">
  <sheetPr>
    <pageSetUpPr fitToPage="1"/>
  </sheetPr>
  <dimension ref="A1:L64"/>
  <sheetViews>
    <sheetView showGridLines="0" zoomScaleNormal="100" workbookViewId="0">
      <selection activeCell="A3" sqref="A3"/>
    </sheetView>
  </sheetViews>
  <sheetFormatPr defaultColWidth="8.77734375" defaultRowHeight="13.2" x14ac:dyDescent="0.25"/>
  <cols>
    <col min="1" max="1" width="82.5546875" style="23" customWidth="1"/>
    <col min="2" max="4" width="10.5546875" style="23" customWidth="1"/>
    <col min="5" max="10" width="10.44140625" style="23" customWidth="1"/>
    <col min="11" max="12" width="9.77734375" style="23" customWidth="1"/>
    <col min="13" max="16384" width="8.77734375" style="23"/>
  </cols>
  <sheetData>
    <row r="1" spans="1:12" ht="19.95" customHeight="1" x14ac:dyDescent="0.25">
      <c r="A1" s="22" t="s">
        <v>12</v>
      </c>
    </row>
    <row r="2" spans="1:12" ht="24.6" customHeight="1" x14ac:dyDescent="0.25">
      <c r="A2" s="2823" t="s">
        <v>406</v>
      </c>
      <c r="B2" s="2823" t="s">
        <v>15</v>
      </c>
      <c r="C2" s="2823" t="s">
        <v>15</v>
      </c>
      <c r="D2" s="2823" t="s">
        <v>15</v>
      </c>
      <c r="E2" s="2823" t="s">
        <v>15</v>
      </c>
      <c r="F2" s="2823" t="s">
        <v>15</v>
      </c>
      <c r="G2" s="2823" t="s">
        <v>15</v>
      </c>
      <c r="H2" s="2823" t="s">
        <v>15</v>
      </c>
      <c r="I2" s="2823" t="s">
        <v>15</v>
      </c>
      <c r="J2" s="2823" t="s">
        <v>15</v>
      </c>
      <c r="K2" s="2823" t="s">
        <v>15</v>
      </c>
      <c r="L2" s="2823" t="s">
        <v>15</v>
      </c>
    </row>
    <row r="3" spans="1:12" ht="13.35" customHeight="1" x14ac:dyDescent="0.25">
      <c r="A3" s="107"/>
      <c r="B3" s="2865"/>
      <c r="C3" s="2866"/>
      <c r="D3" s="2866"/>
      <c r="E3" s="2867"/>
      <c r="F3" s="2824"/>
      <c r="G3" s="2825"/>
      <c r="H3" s="2825"/>
      <c r="I3" s="2868"/>
      <c r="J3" s="114"/>
      <c r="K3" s="2824" t="s">
        <v>163</v>
      </c>
      <c r="L3" s="2825" t="s">
        <v>15</v>
      </c>
    </row>
    <row r="4" spans="1:12" ht="13.35" customHeight="1" x14ac:dyDescent="0.25">
      <c r="A4" s="115"/>
      <c r="B4" s="116" t="s">
        <v>165</v>
      </c>
      <c r="C4" s="117" t="s">
        <v>166</v>
      </c>
      <c r="D4" s="117" t="s">
        <v>167</v>
      </c>
      <c r="E4" s="118" t="s">
        <v>168</v>
      </c>
      <c r="F4" s="975" t="s">
        <v>169</v>
      </c>
      <c r="G4" s="117" t="s">
        <v>170</v>
      </c>
      <c r="H4" s="117" t="s">
        <v>171</v>
      </c>
      <c r="I4" s="118" t="s">
        <v>172</v>
      </c>
      <c r="J4" s="976" t="s">
        <v>173</v>
      </c>
      <c r="K4" s="119" t="s">
        <v>174</v>
      </c>
      <c r="L4" s="121">
        <v>2024</v>
      </c>
    </row>
    <row r="5" spans="1:12" ht="13.5" customHeight="1" x14ac:dyDescent="0.25">
      <c r="A5" s="977" t="s">
        <v>407</v>
      </c>
      <c r="B5" s="978"/>
      <c r="C5" s="979"/>
      <c r="D5" s="979"/>
      <c r="E5" s="980"/>
      <c r="F5" s="981"/>
      <c r="G5" s="979"/>
      <c r="H5" s="979"/>
      <c r="I5" s="980"/>
      <c r="J5" s="982"/>
      <c r="K5" s="983"/>
      <c r="L5" s="984"/>
    </row>
    <row r="6" spans="1:12" ht="13.5" customHeight="1" x14ac:dyDescent="0.25">
      <c r="A6" s="343" t="s">
        <v>291</v>
      </c>
      <c r="B6" s="985">
        <v>363</v>
      </c>
      <c r="C6" s="986">
        <v>350</v>
      </c>
      <c r="D6" s="987">
        <v>368</v>
      </c>
      <c r="E6" s="988">
        <v>319</v>
      </c>
      <c r="F6" s="989">
        <v>280</v>
      </c>
      <c r="G6" s="990">
        <v>304</v>
      </c>
      <c r="H6" s="990">
        <v>248</v>
      </c>
      <c r="I6" s="991">
        <v>270</v>
      </c>
      <c r="J6" s="992">
        <v>313</v>
      </c>
      <c r="K6" s="989">
        <v>1400</v>
      </c>
      <c r="L6" s="990">
        <v>1102</v>
      </c>
    </row>
    <row r="7" spans="1:12" ht="13.5" customHeight="1" x14ac:dyDescent="0.25">
      <c r="A7" s="343" t="s">
        <v>292</v>
      </c>
      <c r="B7" s="993">
        <v>1221</v>
      </c>
      <c r="C7" s="994">
        <v>1180</v>
      </c>
      <c r="D7" s="995">
        <v>1090</v>
      </c>
      <c r="E7" s="996">
        <v>1275</v>
      </c>
      <c r="F7" s="997">
        <v>992</v>
      </c>
      <c r="G7" s="998">
        <v>960</v>
      </c>
      <c r="H7" s="998">
        <v>984</v>
      </c>
      <c r="I7" s="999">
        <v>1023</v>
      </c>
      <c r="J7" s="1000">
        <v>954</v>
      </c>
      <c r="K7" s="997">
        <v>4766</v>
      </c>
      <c r="L7" s="998">
        <v>3959</v>
      </c>
    </row>
    <row r="8" spans="1:12" ht="13.5" customHeight="1" x14ac:dyDescent="0.25">
      <c r="A8" s="179" t="s">
        <v>293</v>
      </c>
      <c r="B8" s="1001">
        <v>835</v>
      </c>
      <c r="C8" s="1002">
        <v>695</v>
      </c>
      <c r="D8" s="1003">
        <v>700</v>
      </c>
      <c r="E8" s="1004">
        <v>718</v>
      </c>
      <c r="F8" s="1005">
        <v>600</v>
      </c>
      <c r="G8" s="1006">
        <v>619</v>
      </c>
      <c r="H8" s="1006">
        <v>585</v>
      </c>
      <c r="I8" s="1007">
        <v>544</v>
      </c>
      <c r="J8" s="1008">
        <v>599</v>
      </c>
      <c r="K8" s="1005">
        <v>2948</v>
      </c>
      <c r="L8" s="1006">
        <v>2348</v>
      </c>
    </row>
    <row r="9" spans="1:12" ht="13.5" customHeight="1" x14ac:dyDescent="0.25">
      <c r="A9" s="179" t="s">
        <v>295</v>
      </c>
      <c r="B9" s="1001">
        <v>386</v>
      </c>
      <c r="C9" s="1002">
        <v>485</v>
      </c>
      <c r="D9" s="1003">
        <v>390</v>
      </c>
      <c r="E9" s="1004">
        <v>557</v>
      </c>
      <c r="F9" s="1005">
        <v>392</v>
      </c>
      <c r="G9" s="1006">
        <v>341</v>
      </c>
      <c r="H9" s="1006">
        <v>399</v>
      </c>
      <c r="I9" s="1007">
        <v>479</v>
      </c>
      <c r="J9" s="1008">
        <v>355</v>
      </c>
      <c r="K9" s="1005">
        <v>1818</v>
      </c>
      <c r="L9" s="1006">
        <v>1611</v>
      </c>
    </row>
    <row r="10" spans="1:12" ht="13.5" customHeight="1" x14ac:dyDescent="0.25">
      <c r="A10" s="335" t="s">
        <v>296</v>
      </c>
      <c r="B10" s="1009">
        <v>1584</v>
      </c>
      <c r="C10" s="1010">
        <v>1530</v>
      </c>
      <c r="D10" s="131">
        <v>1458</v>
      </c>
      <c r="E10" s="1011">
        <v>1594</v>
      </c>
      <c r="F10" s="1012">
        <v>1272</v>
      </c>
      <c r="G10" s="134">
        <v>1264</v>
      </c>
      <c r="H10" s="134">
        <v>1232</v>
      </c>
      <c r="I10" s="1013">
        <v>1293</v>
      </c>
      <c r="J10" s="1014">
        <v>1267</v>
      </c>
      <c r="K10" s="1012">
        <v>6166</v>
      </c>
      <c r="L10" s="134">
        <v>5061</v>
      </c>
    </row>
    <row r="11" spans="1:12" ht="13.5" customHeight="1" x14ac:dyDescent="0.25">
      <c r="A11" s="343" t="s">
        <v>271</v>
      </c>
      <c r="B11" s="1009">
        <v>20</v>
      </c>
      <c r="C11" s="1010">
        <v>19</v>
      </c>
      <c r="D11" s="131">
        <v>40</v>
      </c>
      <c r="E11" s="1011">
        <v>18</v>
      </c>
      <c r="F11" s="1012">
        <v>19</v>
      </c>
      <c r="G11" s="134">
        <v>18</v>
      </c>
      <c r="H11" s="134">
        <v>5</v>
      </c>
      <c r="I11" s="1013">
        <v>5</v>
      </c>
      <c r="J11" s="1014">
        <v>39</v>
      </c>
      <c r="K11" s="1012">
        <v>97</v>
      </c>
      <c r="L11" s="134">
        <v>47</v>
      </c>
    </row>
    <row r="12" spans="1:12" ht="13.5" customHeight="1" x14ac:dyDescent="0.25">
      <c r="A12" s="343" t="s">
        <v>298</v>
      </c>
      <c r="B12" s="1015">
        <v>900</v>
      </c>
      <c r="C12" s="1016">
        <v>894</v>
      </c>
      <c r="D12" s="1017">
        <v>878</v>
      </c>
      <c r="E12" s="1018">
        <v>891</v>
      </c>
      <c r="F12" s="1019">
        <v>807</v>
      </c>
      <c r="G12" s="1020">
        <v>773</v>
      </c>
      <c r="H12" s="1020">
        <v>761</v>
      </c>
      <c r="I12" s="1021">
        <v>781</v>
      </c>
      <c r="J12" s="1022">
        <v>758</v>
      </c>
      <c r="K12" s="1019">
        <v>3563</v>
      </c>
      <c r="L12" s="1020">
        <v>3122</v>
      </c>
    </row>
    <row r="13" spans="1:12" ht="13.5" customHeight="1" x14ac:dyDescent="0.25">
      <c r="A13" s="1023" t="s">
        <v>273</v>
      </c>
      <c r="B13" s="377">
        <v>664</v>
      </c>
      <c r="C13" s="378">
        <v>617</v>
      </c>
      <c r="D13" s="379">
        <v>540</v>
      </c>
      <c r="E13" s="380">
        <v>685</v>
      </c>
      <c r="F13" s="877">
        <v>446</v>
      </c>
      <c r="G13" s="387">
        <v>473</v>
      </c>
      <c r="H13" s="387">
        <v>466</v>
      </c>
      <c r="I13" s="878">
        <v>507</v>
      </c>
      <c r="J13" s="385">
        <v>470</v>
      </c>
      <c r="K13" s="877">
        <v>2506</v>
      </c>
      <c r="L13" s="387">
        <v>1892</v>
      </c>
    </row>
    <row r="14" spans="1:12" ht="13.5" customHeight="1" x14ac:dyDescent="0.25">
      <c r="A14" s="343" t="s">
        <v>299</v>
      </c>
      <c r="B14" s="377">
        <v>145</v>
      </c>
      <c r="C14" s="378">
        <v>144</v>
      </c>
      <c r="D14" s="379">
        <v>128</v>
      </c>
      <c r="E14" s="380">
        <v>168</v>
      </c>
      <c r="F14" s="877">
        <v>99</v>
      </c>
      <c r="G14" s="387">
        <v>105</v>
      </c>
      <c r="H14" s="387">
        <v>91</v>
      </c>
      <c r="I14" s="878">
        <v>119</v>
      </c>
      <c r="J14" s="385">
        <v>106</v>
      </c>
      <c r="K14" s="877">
        <v>585</v>
      </c>
      <c r="L14" s="387">
        <v>414</v>
      </c>
    </row>
    <row r="15" spans="1:12" ht="13.5" customHeight="1" x14ac:dyDescent="0.25">
      <c r="A15" s="1023" t="s">
        <v>300</v>
      </c>
      <c r="B15" s="377">
        <v>519</v>
      </c>
      <c r="C15" s="378">
        <v>473</v>
      </c>
      <c r="D15" s="379">
        <v>412</v>
      </c>
      <c r="E15" s="380">
        <v>517</v>
      </c>
      <c r="F15" s="877">
        <v>347</v>
      </c>
      <c r="G15" s="387">
        <v>368</v>
      </c>
      <c r="H15" s="387">
        <v>375</v>
      </c>
      <c r="I15" s="878">
        <v>388</v>
      </c>
      <c r="J15" s="385">
        <v>364</v>
      </c>
      <c r="K15" s="877">
        <v>1921</v>
      </c>
      <c r="L15" s="387">
        <v>1478</v>
      </c>
    </row>
    <row r="16" spans="1:12" ht="13.5" customHeight="1" x14ac:dyDescent="0.25">
      <c r="A16" s="129"/>
      <c r="B16" s="154"/>
      <c r="C16" s="1024"/>
      <c r="D16" s="148"/>
      <c r="E16" s="149"/>
      <c r="F16" s="150"/>
      <c r="G16" s="151"/>
      <c r="H16" s="151"/>
      <c r="I16" s="152"/>
      <c r="J16" s="153"/>
      <c r="K16" s="154"/>
      <c r="L16" s="151"/>
    </row>
    <row r="17" spans="1:12" ht="13.5" customHeight="1" x14ac:dyDescent="0.25">
      <c r="A17" s="1023" t="s">
        <v>341</v>
      </c>
      <c r="B17" s="377">
        <v>0</v>
      </c>
      <c r="C17" s="378">
        <v>0</v>
      </c>
      <c r="D17" s="379">
        <v>-1</v>
      </c>
      <c r="E17" s="380">
        <v>0</v>
      </c>
      <c r="F17" s="877">
        <v>0</v>
      </c>
      <c r="G17" s="387">
        <v>0</v>
      </c>
      <c r="H17" s="387">
        <v>0</v>
      </c>
      <c r="I17" s="878">
        <v>0</v>
      </c>
      <c r="J17" s="385">
        <v>0</v>
      </c>
      <c r="K17" s="877">
        <v>-1</v>
      </c>
      <c r="L17" s="387">
        <v>0</v>
      </c>
    </row>
    <row r="18" spans="1:12" ht="13.5" customHeight="1" x14ac:dyDescent="0.25">
      <c r="A18" s="1023" t="s">
        <v>342</v>
      </c>
      <c r="B18" s="377">
        <v>519</v>
      </c>
      <c r="C18" s="378">
        <v>473</v>
      </c>
      <c r="D18" s="379">
        <v>413</v>
      </c>
      <c r="E18" s="380">
        <v>517</v>
      </c>
      <c r="F18" s="877">
        <v>347</v>
      </c>
      <c r="G18" s="387">
        <v>368</v>
      </c>
      <c r="H18" s="387">
        <v>375</v>
      </c>
      <c r="I18" s="878">
        <v>388</v>
      </c>
      <c r="J18" s="385">
        <v>364</v>
      </c>
      <c r="K18" s="877">
        <v>1922</v>
      </c>
      <c r="L18" s="387">
        <v>1478</v>
      </c>
    </row>
    <row r="19" spans="1:12" ht="13.5" customHeight="1" x14ac:dyDescent="0.25">
      <c r="A19" s="129"/>
      <c r="B19" s="154"/>
      <c r="C19" s="1024"/>
      <c r="D19" s="148"/>
      <c r="E19" s="149"/>
      <c r="F19" s="150"/>
      <c r="G19" s="151"/>
      <c r="H19" s="151"/>
      <c r="I19" s="152"/>
      <c r="J19" s="153"/>
      <c r="K19" s="154"/>
      <c r="L19" s="151"/>
    </row>
    <row r="20" spans="1:12" ht="13.5" customHeight="1" x14ac:dyDescent="0.25">
      <c r="A20" s="1023" t="s">
        <v>408</v>
      </c>
      <c r="B20" s="377"/>
      <c r="C20" s="378"/>
      <c r="D20" s="379"/>
      <c r="E20" s="380"/>
      <c r="F20" s="877"/>
      <c r="G20" s="387"/>
      <c r="H20" s="387"/>
      <c r="I20" s="878"/>
      <c r="J20" s="385"/>
      <c r="K20" s="877"/>
      <c r="L20" s="387"/>
    </row>
    <row r="21" spans="1:12" ht="13.5" customHeight="1" x14ac:dyDescent="0.25">
      <c r="A21" s="179" t="s">
        <v>409</v>
      </c>
      <c r="B21" s="1001">
        <v>755</v>
      </c>
      <c r="C21" s="1002">
        <v>690</v>
      </c>
      <c r="D21" s="1003">
        <v>723</v>
      </c>
      <c r="E21" s="1004">
        <v>741</v>
      </c>
      <c r="F21" s="1005">
        <v>693</v>
      </c>
      <c r="G21" s="1006">
        <v>716</v>
      </c>
      <c r="H21" s="1006">
        <v>656</v>
      </c>
      <c r="I21" s="1007">
        <v>688</v>
      </c>
      <c r="J21" s="1008">
        <v>728</v>
      </c>
      <c r="K21" s="1005">
        <v>2909</v>
      </c>
      <c r="L21" s="1006">
        <v>2753</v>
      </c>
    </row>
    <row r="22" spans="1:12" ht="13.5" customHeight="1" x14ac:dyDescent="0.25">
      <c r="A22" s="179" t="s">
        <v>410</v>
      </c>
      <c r="B22" s="1001">
        <v>829</v>
      </c>
      <c r="C22" s="1002">
        <v>840</v>
      </c>
      <c r="D22" s="1003">
        <v>735</v>
      </c>
      <c r="E22" s="1004">
        <v>853</v>
      </c>
      <c r="F22" s="1005">
        <v>579</v>
      </c>
      <c r="G22" s="1006">
        <v>548</v>
      </c>
      <c r="H22" s="1006">
        <v>576</v>
      </c>
      <c r="I22" s="1007">
        <v>605</v>
      </c>
      <c r="J22" s="1008">
        <v>539</v>
      </c>
      <c r="K22" s="1005">
        <v>3257</v>
      </c>
      <c r="L22" s="1006">
        <v>2308</v>
      </c>
    </row>
    <row r="23" spans="1:12" ht="13.5" customHeight="1" x14ac:dyDescent="0.25">
      <c r="A23" s="335" t="s">
        <v>296</v>
      </c>
      <c r="B23" s="1009">
        <v>1584</v>
      </c>
      <c r="C23" s="1010">
        <v>1530</v>
      </c>
      <c r="D23" s="131">
        <v>1458</v>
      </c>
      <c r="E23" s="1011">
        <v>1594</v>
      </c>
      <c r="F23" s="1012">
        <v>1272</v>
      </c>
      <c r="G23" s="134">
        <v>1264</v>
      </c>
      <c r="H23" s="134">
        <v>1232</v>
      </c>
      <c r="I23" s="1013">
        <v>1293</v>
      </c>
      <c r="J23" s="1014">
        <v>1267</v>
      </c>
      <c r="K23" s="1012">
        <v>6166</v>
      </c>
      <c r="L23" s="134">
        <v>5061</v>
      </c>
    </row>
    <row r="24" spans="1:12" ht="13.5" customHeight="1" x14ac:dyDescent="0.25">
      <c r="A24" s="129"/>
      <c r="B24" s="154"/>
      <c r="C24" s="1024"/>
      <c r="D24" s="148"/>
      <c r="E24" s="149"/>
      <c r="F24" s="150"/>
      <c r="G24" s="151"/>
      <c r="H24" s="151"/>
      <c r="I24" s="152"/>
      <c r="J24" s="153"/>
      <c r="K24" s="154"/>
      <c r="L24" s="151"/>
    </row>
    <row r="25" spans="1:12" ht="13.5" customHeight="1" x14ac:dyDescent="0.25">
      <c r="A25" s="335" t="s">
        <v>411</v>
      </c>
      <c r="B25" s="1009"/>
      <c r="C25" s="1010"/>
      <c r="D25" s="131"/>
      <c r="E25" s="1011"/>
      <c r="F25" s="1012"/>
      <c r="G25" s="134"/>
      <c r="H25" s="134"/>
      <c r="I25" s="1013"/>
      <c r="J25" s="1014"/>
      <c r="K25" s="1012"/>
      <c r="L25" s="134"/>
    </row>
    <row r="26" spans="1:12" ht="13.5" customHeight="1" x14ac:dyDescent="0.25">
      <c r="A26" s="343" t="s">
        <v>412</v>
      </c>
      <c r="B26" s="1001">
        <v>375</v>
      </c>
      <c r="C26" s="1002">
        <v>432</v>
      </c>
      <c r="D26" s="1003">
        <v>320</v>
      </c>
      <c r="E26" s="1004">
        <v>355</v>
      </c>
      <c r="F26" s="1005">
        <v>259</v>
      </c>
      <c r="G26" s="1006">
        <v>233</v>
      </c>
      <c r="H26" s="1006">
        <v>277</v>
      </c>
      <c r="I26" s="1007">
        <v>264</v>
      </c>
      <c r="J26" s="1008">
        <v>210</v>
      </c>
      <c r="K26" s="1005">
        <v>1482</v>
      </c>
      <c r="L26" s="1006">
        <v>1033</v>
      </c>
    </row>
    <row r="27" spans="1:12" ht="13.5" customHeight="1" x14ac:dyDescent="0.25">
      <c r="A27" s="343" t="s">
        <v>413</v>
      </c>
      <c r="B27" s="1001">
        <v>322</v>
      </c>
      <c r="C27" s="1002">
        <v>289</v>
      </c>
      <c r="D27" s="1003">
        <v>266</v>
      </c>
      <c r="E27" s="1004">
        <v>352</v>
      </c>
      <c r="F27" s="1005">
        <v>218</v>
      </c>
      <c r="G27" s="1006">
        <v>216</v>
      </c>
      <c r="H27" s="1006">
        <v>195</v>
      </c>
      <c r="I27" s="1007">
        <v>220</v>
      </c>
      <c r="J27" s="1008">
        <v>222</v>
      </c>
      <c r="K27" s="1005">
        <v>1229</v>
      </c>
      <c r="L27" s="1006">
        <v>849</v>
      </c>
    </row>
    <row r="28" spans="1:12" ht="13.5" customHeight="1" x14ac:dyDescent="0.25">
      <c r="A28" s="343" t="s">
        <v>414</v>
      </c>
      <c r="B28" s="1001">
        <v>31</v>
      </c>
      <c r="C28" s="1002">
        <v>20</v>
      </c>
      <c r="D28" s="1003">
        <v>32</v>
      </c>
      <c r="E28" s="1004">
        <v>27</v>
      </c>
      <c r="F28" s="1005">
        <v>23</v>
      </c>
      <c r="G28" s="1006">
        <v>8</v>
      </c>
      <c r="H28" s="1006">
        <v>23</v>
      </c>
      <c r="I28" s="1007">
        <v>27</v>
      </c>
      <c r="J28" s="1008">
        <v>22</v>
      </c>
      <c r="K28" s="1005">
        <v>110</v>
      </c>
      <c r="L28" s="1006">
        <v>81</v>
      </c>
    </row>
    <row r="29" spans="1:12" ht="13.5" customHeight="1" x14ac:dyDescent="0.25">
      <c r="A29" s="343" t="s">
        <v>415</v>
      </c>
      <c r="B29" s="1001">
        <v>101</v>
      </c>
      <c r="C29" s="1002">
        <v>99</v>
      </c>
      <c r="D29" s="1003">
        <v>117</v>
      </c>
      <c r="E29" s="1004">
        <v>119</v>
      </c>
      <c r="F29" s="1005">
        <v>79</v>
      </c>
      <c r="G29" s="1006">
        <v>91</v>
      </c>
      <c r="H29" s="1006">
        <v>81</v>
      </c>
      <c r="I29" s="1007">
        <v>94</v>
      </c>
      <c r="J29" s="1008">
        <v>85</v>
      </c>
      <c r="K29" s="1005">
        <v>436</v>
      </c>
      <c r="L29" s="1006">
        <v>345</v>
      </c>
    </row>
    <row r="30" spans="1:12" ht="13.5" customHeight="1" x14ac:dyDescent="0.25">
      <c r="A30" s="1023" t="s">
        <v>416</v>
      </c>
      <c r="B30" s="377">
        <v>829</v>
      </c>
      <c r="C30" s="378">
        <v>840</v>
      </c>
      <c r="D30" s="379">
        <v>735</v>
      </c>
      <c r="E30" s="380">
        <v>853</v>
      </c>
      <c r="F30" s="877">
        <v>579</v>
      </c>
      <c r="G30" s="387">
        <v>548</v>
      </c>
      <c r="H30" s="387">
        <v>576</v>
      </c>
      <c r="I30" s="878">
        <v>605</v>
      </c>
      <c r="J30" s="385">
        <v>539</v>
      </c>
      <c r="K30" s="877">
        <v>3257</v>
      </c>
      <c r="L30" s="387">
        <v>2308</v>
      </c>
    </row>
    <row r="31" spans="1:12" ht="13.5" customHeight="1" x14ac:dyDescent="0.25">
      <c r="A31" s="115" t="s">
        <v>304</v>
      </c>
      <c r="B31" s="975"/>
      <c r="C31" s="164"/>
      <c r="D31" s="117"/>
      <c r="E31" s="118"/>
      <c r="F31" s="116"/>
      <c r="G31" s="164"/>
      <c r="H31" s="164"/>
      <c r="I31" s="165"/>
      <c r="J31" s="166"/>
      <c r="K31" s="167"/>
      <c r="L31" s="168"/>
    </row>
    <row r="32" spans="1:12" ht="13.5" customHeight="1" x14ac:dyDescent="0.25">
      <c r="A32" s="1025" t="s">
        <v>417</v>
      </c>
      <c r="B32" s="1026">
        <v>1.9122673489573312</v>
      </c>
      <c r="C32" s="1027">
        <v>1.7722150278079261</v>
      </c>
      <c r="D32" s="1027">
        <v>1.7552151394411217</v>
      </c>
      <c r="E32" s="1028">
        <v>1.6472497834756752</v>
      </c>
      <c r="F32" s="1029">
        <v>1.62</v>
      </c>
      <c r="G32" s="1030">
        <v>1.59</v>
      </c>
      <c r="H32" s="1030">
        <v>1.46</v>
      </c>
      <c r="I32" s="1031">
        <v>1.55</v>
      </c>
      <c r="J32" s="1032">
        <v>1.57</v>
      </c>
      <c r="K32" s="1033">
        <v>1.7676970870606028</v>
      </c>
      <c r="L32" s="1034">
        <v>1.55</v>
      </c>
    </row>
    <row r="33" spans="1:12" ht="13.5" customHeight="1" x14ac:dyDescent="0.25">
      <c r="A33" s="1035" t="s">
        <v>418</v>
      </c>
      <c r="B33" s="1036">
        <v>0.03</v>
      </c>
      <c r="C33" s="1037">
        <v>0.09</v>
      </c>
      <c r="D33" s="1037">
        <v>0.13</v>
      </c>
      <c r="E33" s="1038">
        <v>0</v>
      </c>
      <c r="F33" s="1039">
        <v>0</v>
      </c>
      <c r="G33" s="1040">
        <v>0</v>
      </c>
      <c r="H33" s="1040">
        <v>0</v>
      </c>
      <c r="I33" s="1041">
        <v>-0.02</v>
      </c>
      <c r="J33" s="1042">
        <v>-0.02</v>
      </c>
      <c r="K33" s="1043">
        <v>0.06</v>
      </c>
      <c r="L33" s="1044">
        <v>0</v>
      </c>
    </row>
    <row r="34" spans="1:12" ht="13.5" customHeight="1" x14ac:dyDescent="0.25">
      <c r="A34" s="1023" t="s">
        <v>307</v>
      </c>
      <c r="B34" s="377"/>
      <c r="C34" s="378"/>
      <c r="D34" s="379"/>
      <c r="E34" s="380"/>
      <c r="F34" s="877"/>
      <c r="G34" s="387"/>
      <c r="H34" s="387"/>
      <c r="I34" s="878"/>
      <c r="J34" s="385"/>
      <c r="K34" s="877"/>
      <c r="L34" s="387"/>
    </row>
    <row r="35" spans="1:12" ht="13.5" customHeight="1" x14ac:dyDescent="0.25">
      <c r="A35" s="179" t="s">
        <v>419</v>
      </c>
      <c r="B35" s="147">
        <v>14.1</v>
      </c>
      <c r="C35" s="148">
        <v>12.6</v>
      </c>
      <c r="D35" s="148">
        <v>11.3</v>
      </c>
      <c r="E35" s="149">
        <v>13.3</v>
      </c>
      <c r="F35" s="150">
        <v>9</v>
      </c>
      <c r="G35" s="151">
        <v>9.5</v>
      </c>
      <c r="H35" s="151">
        <v>10.199999999999999</v>
      </c>
      <c r="I35" s="152">
        <v>9.8000000000000007</v>
      </c>
      <c r="J35" s="153">
        <v>10.8</v>
      </c>
      <c r="K35" s="1045">
        <v>12.8</v>
      </c>
      <c r="L35" s="1046">
        <v>9.6</v>
      </c>
    </row>
    <row r="36" spans="1:12" ht="13.5" customHeight="1" x14ac:dyDescent="0.25">
      <c r="A36" s="179" t="s">
        <v>420</v>
      </c>
      <c r="B36" s="146">
        <v>7.0000000000000007E-2</v>
      </c>
      <c r="C36" s="139">
        <v>7.0000000000000007E-2</v>
      </c>
      <c r="D36" s="139">
        <v>0.14000000000000001</v>
      </c>
      <c r="E36" s="140">
        <v>0.06</v>
      </c>
      <c r="F36" s="141">
        <v>0.06</v>
      </c>
      <c r="G36" s="142">
        <v>0.06</v>
      </c>
      <c r="H36" s="142">
        <v>0.02</v>
      </c>
      <c r="I36" s="143">
        <v>0.02</v>
      </c>
      <c r="J36" s="144">
        <v>0.11</v>
      </c>
      <c r="K36" s="1047">
        <v>0.08</v>
      </c>
      <c r="L36" s="1048">
        <v>0.04</v>
      </c>
    </row>
    <row r="37" spans="1:12" ht="13.5" customHeight="1" x14ac:dyDescent="0.25">
      <c r="A37" s="179" t="s">
        <v>421</v>
      </c>
      <c r="B37" s="146">
        <v>0.04</v>
      </c>
      <c r="C37" s="139">
        <v>0.01</v>
      </c>
      <c r="D37" s="139">
        <v>0.15</v>
      </c>
      <c r="E37" s="140">
        <v>0</v>
      </c>
      <c r="F37" s="141">
        <v>0.02</v>
      </c>
      <c r="G37" s="142">
        <v>0.01</v>
      </c>
      <c r="H37" s="142">
        <v>0</v>
      </c>
      <c r="I37" s="143">
        <v>-0.02</v>
      </c>
      <c r="J37" s="144">
        <v>0.03</v>
      </c>
      <c r="K37" s="1047">
        <v>0.05</v>
      </c>
      <c r="L37" s="1048">
        <v>0</v>
      </c>
    </row>
    <row r="38" spans="1:12" ht="13.5" customHeight="1" x14ac:dyDescent="0.25">
      <c r="A38" s="179" t="s">
        <v>422</v>
      </c>
      <c r="B38" s="147">
        <v>56.8</v>
      </c>
      <c r="C38" s="148">
        <v>58.5</v>
      </c>
      <c r="D38" s="148">
        <v>60.2</v>
      </c>
      <c r="E38" s="149">
        <v>55.9</v>
      </c>
      <c r="F38" s="150">
        <v>63.4</v>
      </c>
      <c r="G38" s="151">
        <v>61.1</v>
      </c>
      <c r="H38" s="151">
        <v>61.8</v>
      </c>
      <c r="I38" s="152">
        <v>60.4</v>
      </c>
      <c r="J38" s="153">
        <v>59.8</v>
      </c>
      <c r="K38" s="1049">
        <v>57.8</v>
      </c>
      <c r="L38" s="1050">
        <v>61.7</v>
      </c>
    </row>
    <row r="39" spans="1:12" ht="13.5" customHeight="1" x14ac:dyDescent="0.25">
      <c r="A39" s="115" t="s">
        <v>423</v>
      </c>
      <c r="B39" s="975"/>
      <c r="C39" s="164"/>
      <c r="D39" s="117"/>
      <c r="E39" s="118"/>
      <c r="F39" s="116"/>
      <c r="G39" s="164"/>
      <c r="H39" s="164"/>
      <c r="I39" s="165"/>
      <c r="J39" s="166"/>
      <c r="K39" s="116"/>
      <c r="L39" s="164"/>
    </row>
    <row r="40" spans="1:12" ht="13.5" customHeight="1" x14ac:dyDescent="0.25">
      <c r="A40" s="1051" t="s">
        <v>319</v>
      </c>
      <c r="B40" s="1052">
        <v>93.3</v>
      </c>
      <c r="C40" s="171">
        <v>93.7</v>
      </c>
      <c r="D40" s="171">
        <v>96.3</v>
      </c>
      <c r="E40" s="172">
        <v>103.4</v>
      </c>
      <c r="F40" s="173">
        <v>101.1</v>
      </c>
      <c r="G40" s="174">
        <v>108.8</v>
      </c>
      <c r="H40" s="174">
        <v>114.9</v>
      </c>
      <c r="I40" s="175">
        <v>121.9</v>
      </c>
      <c r="J40" s="176">
        <v>123.1</v>
      </c>
      <c r="K40" s="1053">
        <v>96.7</v>
      </c>
      <c r="L40" s="1054">
        <v>111.7</v>
      </c>
    </row>
    <row r="41" spans="1:12" ht="13.5" customHeight="1" x14ac:dyDescent="0.25">
      <c r="A41" s="343" t="s">
        <v>424</v>
      </c>
      <c r="B41" s="147">
        <v>226.1</v>
      </c>
      <c r="C41" s="148">
        <v>197</v>
      </c>
      <c r="D41" s="148">
        <v>202</v>
      </c>
      <c r="E41" s="149">
        <v>196.7</v>
      </c>
      <c r="F41" s="1055">
        <v>192.2</v>
      </c>
      <c r="G41" s="1056">
        <v>185.1</v>
      </c>
      <c r="H41" s="1056">
        <v>187.3</v>
      </c>
      <c r="I41" s="1057">
        <v>191.4</v>
      </c>
      <c r="J41" s="1058">
        <v>192.6</v>
      </c>
      <c r="K41" s="1059">
        <v>205.5</v>
      </c>
      <c r="L41" s="1060">
        <v>189</v>
      </c>
    </row>
    <row r="42" spans="1:12" ht="13.5" customHeight="1" x14ac:dyDescent="0.25">
      <c r="A42" s="343" t="s">
        <v>425</v>
      </c>
      <c r="B42" s="147">
        <v>145.60000000000002</v>
      </c>
      <c r="C42" s="148">
        <v>135.69999999999999</v>
      </c>
      <c r="D42" s="148">
        <v>134.6</v>
      </c>
      <c r="E42" s="149">
        <v>141.70000000000002</v>
      </c>
      <c r="F42" s="150">
        <v>131.19999999999999</v>
      </c>
      <c r="G42" s="151">
        <v>138.5</v>
      </c>
      <c r="H42" s="151">
        <v>130.1</v>
      </c>
      <c r="I42" s="152">
        <v>129</v>
      </c>
      <c r="J42" s="153">
        <v>112.7</v>
      </c>
      <c r="K42" s="1059">
        <v>139.5</v>
      </c>
      <c r="L42" s="1060">
        <v>132.19999999999999</v>
      </c>
    </row>
    <row r="43" spans="1:12" ht="13.5" customHeight="1" x14ac:dyDescent="0.25">
      <c r="A43" s="179" t="s">
        <v>426</v>
      </c>
      <c r="B43" s="147">
        <v>137.80000000000001</v>
      </c>
      <c r="C43" s="148">
        <v>127.8</v>
      </c>
      <c r="D43" s="148">
        <v>126.8</v>
      </c>
      <c r="E43" s="149">
        <v>133.80000000000001</v>
      </c>
      <c r="F43" s="1055">
        <v>123.3</v>
      </c>
      <c r="G43" s="1056">
        <v>131</v>
      </c>
      <c r="H43" s="1056">
        <v>122.6</v>
      </c>
      <c r="I43" s="1057">
        <v>121.5</v>
      </c>
      <c r="J43" s="1058">
        <v>104.2</v>
      </c>
      <c r="K43" s="1059">
        <v>131.6</v>
      </c>
      <c r="L43" s="1060">
        <v>124.6</v>
      </c>
    </row>
    <row r="44" spans="1:12" ht="13.5" customHeight="1" x14ac:dyDescent="0.25">
      <c r="A44" s="179" t="s">
        <v>427</v>
      </c>
      <c r="B44" s="147">
        <v>7.8</v>
      </c>
      <c r="C44" s="148">
        <v>7.9</v>
      </c>
      <c r="D44" s="148">
        <v>7.8</v>
      </c>
      <c r="E44" s="149">
        <v>7.9</v>
      </c>
      <c r="F44" s="150">
        <v>7.9</v>
      </c>
      <c r="G44" s="151">
        <v>7.5</v>
      </c>
      <c r="H44" s="151">
        <v>7.5</v>
      </c>
      <c r="I44" s="152">
        <v>7.5</v>
      </c>
      <c r="J44" s="153">
        <v>8.5</v>
      </c>
      <c r="K44" s="1061">
        <v>7.9</v>
      </c>
      <c r="L44" s="1062">
        <v>7.6</v>
      </c>
    </row>
    <row r="45" spans="1:12" ht="13.5" customHeight="1" x14ac:dyDescent="0.25">
      <c r="A45" s="343" t="s">
        <v>349</v>
      </c>
      <c r="B45" s="147">
        <v>2</v>
      </c>
      <c r="C45" s="148">
        <v>2</v>
      </c>
      <c r="D45" s="148">
        <v>2.4</v>
      </c>
      <c r="E45" s="149">
        <v>2.6</v>
      </c>
      <c r="F45" s="1055">
        <v>2.7</v>
      </c>
      <c r="G45" s="1056">
        <v>2.8</v>
      </c>
      <c r="H45" s="1056">
        <v>3</v>
      </c>
      <c r="I45" s="1057">
        <v>3.1</v>
      </c>
      <c r="J45" s="1058">
        <v>5.7</v>
      </c>
      <c r="K45" s="1063">
        <v>2.2000000000000002</v>
      </c>
      <c r="L45" s="1064">
        <v>2.9</v>
      </c>
    </row>
    <row r="46" spans="1:12" ht="13.5" customHeight="1" x14ac:dyDescent="0.25">
      <c r="A46" s="343" t="s">
        <v>350</v>
      </c>
      <c r="B46" s="147">
        <v>0.6</v>
      </c>
      <c r="C46" s="148">
        <v>1.8</v>
      </c>
      <c r="D46" s="148">
        <v>1.2</v>
      </c>
      <c r="E46" s="149">
        <v>1.5</v>
      </c>
      <c r="F46" s="150">
        <v>1.7</v>
      </c>
      <c r="G46" s="151">
        <v>0.6</v>
      </c>
      <c r="H46" s="151">
        <v>0.9</v>
      </c>
      <c r="I46" s="152">
        <v>0.4</v>
      </c>
      <c r="J46" s="153">
        <v>1.2</v>
      </c>
      <c r="K46" s="154">
        <v>1.3</v>
      </c>
      <c r="L46" s="148">
        <v>0.9</v>
      </c>
    </row>
    <row r="47" spans="1:12" ht="13.5" customHeight="1" x14ac:dyDescent="0.25">
      <c r="A47" s="343" t="s">
        <v>321</v>
      </c>
      <c r="B47" s="147">
        <v>63.5</v>
      </c>
      <c r="C47" s="148">
        <v>63</v>
      </c>
      <c r="D47" s="148">
        <v>65.099999999999994</v>
      </c>
      <c r="E47" s="149">
        <v>65</v>
      </c>
      <c r="F47" s="150">
        <v>57.1</v>
      </c>
      <c r="G47" s="151">
        <v>56.9</v>
      </c>
      <c r="H47" s="151">
        <v>58</v>
      </c>
      <c r="I47" s="152">
        <v>59.7</v>
      </c>
      <c r="J47" s="153">
        <v>64.5</v>
      </c>
      <c r="K47" s="154">
        <v>64.099999999999994</v>
      </c>
      <c r="L47" s="148">
        <v>57.9</v>
      </c>
    </row>
    <row r="48" spans="1:12" ht="13.5" customHeight="1" x14ac:dyDescent="0.25">
      <c r="A48" s="1023" t="s">
        <v>322</v>
      </c>
      <c r="B48" s="147">
        <v>531.1</v>
      </c>
      <c r="C48" s="148">
        <v>493.2</v>
      </c>
      <c r="D48" s="148">
        <v>501.6</v>
      </c>
      <c r="E48" s="149">
        <v>510.9</v>
      </c>
      <c r="F48" s="150">
        <v>486</v>
      </c>
      <c r="G48" s="151">
        <v>492.7</v>
      </c>
      <c r="H48" s="151">
        <v>494.2</v>
      </c>
      <c r="I48" s="152">
        <v>505.5</v>
      </c>
      <c r="J48" s="153">
        <v>499.8</v>
      </c>
      <c r="K48" s="154">
        <v>509.3</v>
      </c>
      <c r="L48" s="148">
        <v>494.6</v>
      </c>
    </row>
    <row r="49" spans="1:12" ht="13.5" customHeight="1" x14ac:dyDescent="0.25">
      <c r="A49" s="343" t="s">
        <v>428</v>
      </c>
      <c r="B49" s="147">
        <v>177.3</v>
      </c>
      <c r="C49" s="148">
        <v>171</v>
      </c>
      <c r="D49" s="148">
        <v>177.9</v>
      </c>
      <c r="E49" s="149">
        <v>179.4</v>
      </c>
      <c r="F49" s="1055">
        <v>170.9</v>
      </c>
      <c r="G49" s="1056">
        <v>171</v>
      </c>
      <c r="H49" s="1056">
        <v>171.7</v>
      </c>
      <c r="I49" s="1057">
        <v>174.5</v>
      </c>
      <c r="J49" s="1058">
        <v>182.1</v>
      </c>
      <c r="K49" s="154">
        <v>176.4</v>
      </c>
      <c r="L49" s="148">
        <v>172</v>
      </c>
    </row>
    <row r="50" spans="1:12" ht="13.5" customHeight="1" x14ac:dyDescent="0.25">
      <c r="A50" s="343" t="s">
        <v>326</v>
      </c>
      <c r="B50" s="147">
        <v>363.49999999999994</v>
      </c>
      <c r="C50" s="148">
        <v>342.2</v>
      </c>
      <c r="D50" s="148">
        <v>338.1</v>
      </c>
      <c r="E50" s="149">
        <v>331.20000000000005</v>
      </c>
      <c r="F50" s="1055">
        <v>307.39999999999998</v>
      </c>
      <c r="G50" s="1056">
        <v>304.8</v>
      </c>
      <c r="H50" s="1056">
        <v>298.60000000000002</v>
      </c>
      <c r="I50" s="1057">
        <v>301.89999999999998</v>
      </c>
      <c r="J50" s="1058">
        <v>288.39999999999998</v>
      </c>
      <c r="K50" s="154">
        <v>343.80000000000007</v>
      </c>
      <c r="L50" s="148">
        <v>303.2</v>
      </c>
    </row>
    <row r="51" spans="1:12" ht="13.5" customHeight="1" x14ac:dyDescent="0.25">
      <c r="A51" s="1023" t="s">
        <v>327</v>
      </c>
      <c r="B51" s="147">
        <v>540.79999999999995</v>
      </c>
      <c r="C51" s="148">
        <v>513.20000000000005</v>
      </c>
      <c r="D51" s="148">
        <v>516</v>
      </c>
      <c r="E51" s="149">
        <v>510.6</v>
      </c>
      <c r="F51" s="150">
        <v>478.3</v>
      </c>
      <c r="G51" s="151">
        <v>475.8</v>
      </c>
      <c r="H51" s="151">
        <v>470.3</v>
      </c>
      <c r="I51" s="152">
        <v>476.4</v>
      </c>
      <c r="J51" s="153">
        <v>470.5</v>
      </c>
      <c r="K51" s="154">
        <v>520.20000000000005</v>
      </c>
      <c r="L51" s="148">
        <v>475.2</v>
      </c>
    </row>
    <row r="52" spans="1:12" ht="13.5" customHeight="1" x14ac:dyDescent="0.25">
      <c r="A52" s="115" t="s">
        <v>328</v>
      </c>
      <c r="B52" s="975"/>
      <c r="C52" s="164"/>
      <c r="D52" s="117"/>
      <c r="E52" s="118"/>
      <c r="F52" s="116"/>
      <c r="G52" s="164"/>
      <c r="H52" s="164"/>
      <c r="I52" s="165"/>
      <c r="J52" s="166"/>
      <c r="K52" s="167"/>
      <c r="L52" s="168"/>
    </row>
    <row r="53" spans="1:12" ht="13.5" customHeight="1" x14ac:dyDescent="0.25">
      <c r="A53" s="1065" t="s">
        <v>429</v>
      </c>
      <c r="B53" s="1066"/>
      <c r="C53" s="1067"/>
      <c r="D53" s="171"/>
      <c r="E53" s="172"/>
      <c r="F53" s="173"/>
      <c r="G53" s="174"/>
      <c r="H53" s="174"/>
      <c r="I53" s="175"/>
      <c r="J53" s="176"/>
      <c r="K53" s="177"/>
      <c r="L53" s="178"/>
    </row>
    <row r="54" spans="1:12" ht="13.5" customHeight="1" x14ac:dyDescent="0.25">
      <c r="A54" s="179" t="s">
        <v>401</v>
      </c>
      <c r="B54" s="130">
        <v>1093</v>
      </c>
      <c r="C54" s="131">
        <v>1099</v>
      </c>
      <c r="D54" s="131">
        <v>1085</v>
      </c>
      <c r="E54" s="132">
        <v>1099</v>
      </c>
      <c r="F54" s="133">
        <v>1115</v>
      </c>
      <c r="G54" s="134">
        <v>1114</v>
      </c>
      <c r="H54" s="134">
        <v>1099</v>
      </c>
      <c r="I54" s="135">
        <v>1113</v>
      </c>
      <c r="J54" s="136">
        <v>1121</v>
      </c>
      <c r="K54" s="1068"/>
      <c r="L54" s="1069"/>
    </row>
    <row r="55" spans="1:12" ht="13.5" customHeight="1" x14ac:dyDescent="0.25">
      <c r="A55" s="179" t="s">
        <v>402</v>
      </c>
      <c r="B55" s="130">
        <v>1162</v>
      </c>
      <c r="C55" s="131">
        <v>1206</v>
      </c>
      <c r="D55" s="131">
        <v>1139</v>
      </c>
      <c r="E55" s="132">
        <v>1120</v>
      </c>
      <c r="F55" s="133">
        <v>1101</v>
      </c>
      <c r="G55" s="134">
        <v>1092</v>
      </c>
      <c r="H55" s="134">
        <v>1024</v>
      </c>
      <c r="I55" s="135">
        <v>1024</v>
      </c>
      <c r="J55" s="136">
        <v>1031</v>
      </c>
      <c r="K55" s="1068"/>
      <c r="L55" s="1069"/>
    </row>
    <row r="56" spans="1:12" ht="13.5" customHeight="1" x14ac:dyDescent="0.25">
      <c r="A56" s="1070" t="s">
        <v>403</v>
      </c>
      <c r="B56" s="1071">
        <v>2255</v>
      </c>
      <c r="C56" s="1072">
        <v>2305</v>
      </c>
      <c r="D56" s="1072">
        <v>2224</v>
      </c>
      <c r="E56" s="1073">
        <v>2219</v>
      </c>
      <c r="F56" s="1074">
        <v>2216</v>
      </c>
      <c r="G56" s="1072">
        <v>2206</v>
      </c>
      <c r="H56" s="1072">
        <v>2123</v>
      </c>
      <c r="I56" s="1073">
        <v>2137</v>
      </c>
      <c r="J56" s="1075">
        <v>2152</v>
      </c>
      <c r="K56" s="1076"/>
      <c r="L56" s="1077"/>
    </row>
    <row r="57" spans="1:12" ht="13.35" customHeight="1" x14ac:dyDescent="0.25">
      <c r="A57" s="2826"/>
      <c r="B57" s="2826" t="s">
        <v>15</v>
      </c>
      <c r="C57" s="2826" t="s">
        <v>15</v>
      </c>
      <c r="D57" s="2826" t="s">
        <v>15</v>
      </c>
      <c r="E57" s="2826" t="s">
        <v>15</v>
      </c>
      <c r="F57" s="2826" t="s">
        <v>15</v>
      </c>
      <c r="G57" s="2826" t="s">
        <v>15</v>
      </c>
      <c r="H57" s="2826" t="s">
        <v>15</v>
      </c>
      <c r="I57" s="2826" t="s">
        <v>15</v>
      </c>
      <c r="J57" s="2826" t="s">
        <v>15</v>
      </c>
      <c r="K57" s="2826" t="s">
        <v>15</v>
      </c>
      <c r="L57" s="2826" t="s">
        <v>15</v>
      </c>
    </row>
    <row r="58" spans="1:12" ht="9" customHeight="1" x14ac:dyDescent="0.25">
      <c r="A58" s="2869" t="s">
        <v>430</v>
      </c>
      <c r="B58" s="2822" t="s">
        <v>15</v>
      </c>
      <c r="C58" s="2822" t="s">
        <v>15</v>
      </c>
      <c r="D58" s="2822" t="s">
        <v>15</v>
      </c>
      <c r="E58" s="2822" t="s">
        <v>15</v>
      </c>
      <c r="F58" s="2822" t="s">
        <v>15</v>
      </c>
      <c r="G58" s="2822" t="s">
        <v>15</v>
      </c>
      <c r="H58" s="2822" t="s">
        <v>15</v>
      </c>
      <c r="I58" s="2822" t="s">
        <v>15</v>
      </c>
      <c r="J58" s="2822" t="s">
        <v>15</v>
      </c>
      <c r="K58" s="2822" t="s">
        <v>15</v>
      </c>
      <c r="L58" s="2822" t="s">
        <v>15</v>
      </c>
    </row>
    <row r="59" spans="1:12" ht="9" customHeight="1" x14ac:dyDescent="0.25">
      <c r="A59" s="2869" t="s">
        <v>431</v>
      </c>
      <c r="B59" s="2822" t="s">
        <v>15</v>
      </c>
      <c r="C59" s="2822" t="s">
        <v>15</v>
      </c>
      <c r="D59" s="2822" t="s">
        <v>15</v>
      </c>
      <c r="E59" s="2822" t="s">
        <v>15</v>
      </c>
      <c r="F59" s="2822" t="s">
        <v>15</v>
      </c>
      <c r="G59" s="2822" t="s">
        <v>15</v>
      </c>
      <c r="H59" s="2822" t="s">
        <v>15</v>
      </c>
      <c r="I59" s="2822" t="s">
        <v>15</v>
      </c>
      <c r="J59" s="2822" t="s">
        <v>15</v>
      </c>
      <c r="K59" s="2822" t="s">
        <v>15</v>
      </c>
      <c r="L59" s="2822" t="s">
        <v>15</v>
      </c>
    </row>
    <row r="60" spans="1:12" ht="9" customHeight="1" x14ac:dyDescent="0.25">
      <c r="A60" s="2869" t="s">
        <v>432</v>
      </c>
      <c r="B60" s="2822" t="s">
        <v>15</v>
      </c>
      <c r="C60" s="2822" t="s">
        <v>15</v>
      </c>
      <c r="D60" s="2822" t="s">
        <v>15</v>
      </c>
      <c r="E60" s="2822" t="s">
        <v>15</v>
      </c>
      <c r="F60" s="2822" t="s">
        <v>15</v>
      </c>
      <c r="G60" s="2822" t="s">
        <v>15</v>
      </c>
      <c r="H60" s="2822" t="s">
        <v>15</v>
      </c>
      <c r="I60" s="2822" t="s">
        <v>15</v>
      </c>
      <c r="J60" s="2822" t="s">
        <v>15</v>
      </c>
      <c r="K60" s="2822" t="s">
        <v>15</v>
      </c>
      <c r="L60" s="2822" t="s">
        <v>15</v>
      </c>
    </row>
    <row r="61" spans="1:12" ht="9" customHeight="1" x14ac:dyDescent="0.25">
      <c r="A61" s="2869" t="s">
        <v>433</v>
      </c>
      <c r="B61" s="2822" t="s">
        <v>15</v>
      </c>
      <c r="C61" s="2822" t="s">
        <v>15</v>
      </c>
      <c r="D61" s="2822" t="s">
        <v>15</v>
      </c>
      <c r="E61" s="2822" t="s">
        <v>15</v>
      </c>
      <c r="F61" s="2822" t="s">
        <v>15</v>
      </c>
      <c r="G61" s="2822" t="s">
        <v>15</v>
      </c>
      <c r="H61" s="2822" t="s">
        <v>15</v>
      </c>
      <c r="I61" s="2822" t="s">
        <v>15</v>
      </c>
      <c r="J61" s="2822" t="s">
        <v>15</v>
      </c>
      <c r="K61" s="2822" t="s">
        <v>15</v>
      </c>
      <c r="L61" s="2822" t="s">
        <v>15</v>
      </c>
    </row>
    <row r="62" spans="1:12" ht="9" customHeight="1" x14ac:dyDescent="0.25">
      <c r="A62" s="2869" t="s">
        <v>434</v>
      </c>
      <c r="B62" s="2822" t="s">
        <v>15</v>
      </c>
      <c r="C62" s="2822" t="s">
        <v>15</v>
      </c>
      <c r="D62" s="2822" t="s">
        <v>15</v>
      </c>
      <c r="E62" s="2822" t="s">
        <v>15</v>
      </c>
      <c r="F62" s="2822" t="s">
        <v>15</v>
      </c>
      <c r="G62" s="2822" t="s">
        <v>15</v>
      </c>
      <c r="H62" s="2822" t="s">
        <v>15</v>
      </c>
      <c r="I62" s="2822" t="s">
        <v>15</v>
      </c>
      <c r="J62" s="2822" t="s">
        <v>15</v>
      </c>
      <c r="K62" s="2822" t="s">
        <v>15</v>
      </c>
      <c r="L62" s="2822" t="s">
        <v>15</v>
      </c>
    </row>
    <row r="63" spans="1:12" ht="9" customHeight="1" x14ac:dyDescent="0.25">
      <c r="A63" s="2822"/>
      <c r="B63" s="2822" t="s">
        <v>15</v>
      </c>
      <c r="C63" s="2822" t="s">
        <v>15</v>
      </c>
      <c r="D63" s="2822" t="s">
        <v>15</v>
      </c>
      <c r="E63" s="2822" t="s">
        <v>15</v>
      </c>
      <c r="F63" s="2822" t="s">
        <v>15</v>
      </c>
      <c r="G63" s="2822" t="s">
        <v>15</v>
      </c>
      <c r="H63" s="2822" t="s">
        <v>15</v>
      </c>
      <c r="I63" s="2822" t="s">
        <v>15</v>
      </c>
      <c r="J63" s="2822" t="s">
        <v>15</v>
      </c>
      <c r="K63" s="2822" t="s">
        <v>15</v>
      </c>
      <c r="L63" s="2822" t="s">
        <v>15</v>
      </c>
    </row>
    <row r="64" spans="1:12" ht="9" customHeight="1" x14ac:dyDescent="0.25">
      <c r="A64" s="2822"/>
      <c r="B64" s="2822" t="s">
        <v>15</v>
      </c>
      <c r="C64" s="2822" t="s">
        <v>15</v>
      </c>
      <c r="D64" s="2822" t="s">
        <v>15</v>
      </c>
      <c r="E64" s="2822" t="s">
        <v>15</v>
      </c>
      <c r="F64" s="2822" t="s">
        <v>15</v>
      </c>
      <c r="G64" s="2822" t="s">
        <v>15</v>
      </c>
      <c r="H64" s="2822" t="s">
        <v>15</v>
      </c>
      <c r="I64" s="2822" t="s">
        <v>15</v>
      </c>
      <c r="J64" s="2822" t="s">
        <v>15</v>
      </c>
      <c r="K64" s="2822" t="s">
        <v>15</v>
      </c>
      <c r="L64" s="2822" t="s">
        <v>15</v>
      </c>
    </row>
  </sheetData>
  <mergeCells count="12">
    <mergeCell ref="A64:L64"/>
    <mergeCell ref="A2:L2"/>
    <mergeCell ref="B3:E3"/>
    <mergeCell ref="F3:I3"/>
    <mergeCell ref="K3:L3"/>
    <mergeCell ref="A57:L57"/>
    <mergeCell ref="A58:L58"/>
    <mergeCell ref="A59:L59"/>
    <mergeCell ref="A60:L60"/>
    <mergeCell ref="A61:L61"/>
    <mergeCell ref="A62:L62"/>
    <mergeCell ref="A63:L63"/>
  </mergeCells>
  <hyperlinks>
    <hyperlink ref="A1" location="ToC!A2" display="Back to Table of Contents" xr:uid="{BAA7696C-2CD9-46C4-9F7A-AAB69F357111}"/>
  </hyperlinks>
  <pageMargins left="0.5" right="0.5" top="0.5" bottom="0.5" header="0.25" footer="0.25"/>
  <pageSetup scale="63" orientation="landscape" r:id="rId1"/>
  <headerFooter>
    <oddFooter>&amp;L&amp;G&amp;C&amp;"Scotia,Regular"&amp;9Supplementary Financial Information (SFI)&amp;R8&amp;"Scotia,Regular"&amp;7</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CA373-C9E3-44A4-8653-8072FF41FDC8}">
  <sheetPr>
    <pageSetUpPr fitToPage="1"/>
  </sheetPr>
  <dimension ref="A1:L44"/>
  <sheetViews>
    <sheetView showGridLines="0" zoomScaleNormal="100" workbookViewId="0"/>
  </sheetViews>
  <sheetFormatPr defaultColWidth="8.77734375" defaultRowHeight="13.2" x14ac:dyDescent="0.25"/>
  <cols>
    <col min="1" max="1" width="61.5546875" style="23" customWidth="1"/>
    <col min="2" max="12" width="11.77734375" style="23" customWidth="1"/>
    <col min="13" max="16384" width="8.77734375" style="23"/>
  </cols>
  <sheetData>
    <row r="1" spans="1:12" ht="19.95" customHeight="1" x14ac:dyDescent="0.25">
      <c r="A1" s="22" t="s">
        <v>12</v>
      </c>
    </row>
    <row r="2" spans="1:12" ht="24.6" customHeight="1" x14ac:dyDescent="0.25">
      <c r="A2" s="2870" t="s">
        <v>435</v>
      </c>
      <c r="B2" s="2870" t="s">
        <v>15</v>
      </c>
      <c r="C2" s="2870" t="s">
        <v>15</v>
      </c>
      <c r="D2" s="2870" t="s">
        <v>15</v>
      </c>
      <c r="E2" s="2870" t="s">
        <v>15</v>
      </c>
      <c r="F2" s="2870" t="s">
        <v>15</v>
      </c>
      <c r="G2" s="2870" t="s">
        <v>15</v>
      </c>
      <c r="H2" s="2870" t="s">
        <v>15</v>
      </c>
      <c r="I2" s="2870" t="s">
        <v>15</v>
      </c>
      <c r="J2" s="2870" t="s">
        <v>15</v>
      </c>
      <c r="K2" s="2870" t="s">
        <v>15</v>
      </c>
      <c r="L2" s="2870" t="s">
        <v>15</v>
      </c>
    </row>
    <row r="3" spans="1:12" ht="20.100000000000001" customHeight="1" x14ac:dyDescent="0.25">
      <c r="A3" s="1079"/>
      <c r="B3" s="1080"/>
      <c r="C3" s="1081"/>
      <c r="D3" s="1081"/>
      <c r="E3" s="1082"/>
      <c r="F3" s="1083"/>
      <c r="G3" s="1084"/>
      <c r="H3" s="1084"/>
      <c r="I3" s="1085"/>
      <c r="J3" s="1086"/>
      <c r="K3" s="2871" t="s">
        <v>163</v>
      </c>
      <c r="L3" s="2872" t="s">
        <v>15</v>
      </c>
    </row>
    <row r="4" spans="1:12" ht="20.100000000000001" customHeight="1" x14ac:dyDescent="0.25">
      <c r="A4" s="1087"/>
      <c r="B4" s="1088" t="s">
        <v>165</v>
      </c>
      <c r="C4" s="1089" t="s">
        <v>166</v>
      </c>
      <c r="D4" s="1089" t="s">
        <v>167</v>
      </c>
      <c r="E4" s="1090" t="s">
        <v>168</v>
      </c>
      <c r="F4" s="1091" t="s">
        <v>169</v>
      </c>
      <c r="G4" s="1089" t="s">
        <v>170</v>
      </c>
      <c r="H4" s="1089" t="s">
        <v>171</v>
      </c>
      <c r="I4" s="1090" t="s">
        <v>172</v>
      </c>
      <c r="J4" s="1092" t="s">
        <v>173</v>
      </c>
      <c r="K4" s="1091">
        <v>2025</v>
      </c>
      <c r="L4" s="1093">
        <v>2024</v>
      </c>
    </row>
    <row r="5" spans="1:12" ht="28.5" customHeight="1" x14ac:dyDescent="0.25">
      <c r="A5" s="1094" t="s">
        <v>436</v>
      </c>
      <c r="B5" s="1095"/>
      <c r="C5" s="1096"/>
      <c r="D5" s="1096"/>
      <c r="E5" s="1097"/>
      <c r="F5" s="1091"/>
      <c r="G5" s="1089"/>
      <c r="H5" s="1089"/>
      <c r="I5" s="1090"/>
      <c r="J5" s="1092"/>
      <c r="K5" s="1091"/>
      <c r="L5" s="1098"/>
    </row>
    <row r="6" spans="1:12" ht="20.100000000000001" customHeight="1" x14ac:dyDescent="0.25">
      <c r="A6" s="1099" t="s">
        <v>437</v>
      </c>
      <c r="B6" s="1100">
        <v>-3</v>
      </c>
      <c r="C6" s="1101">
        <v>-9</v>
      </c>
      <c r="D6" s="1102">
        <v>-47</v>
      </c>
      <c r="E6" s="1103">
        <v>-194</v>
      </c>
      <c r="F6" s="1104">
        <v>-346</v>
      </c>
      <c r="G6" s="1105">
        <v>-451</v>
      </c>
      <c r="H6" s="1106">
        <v>-478</v>
      </c>
      <c r="I6" s="1107">
        <v>-413</v>
      </c>
      <c r="J6" s="1108">
        <v>-402</v>
      </c>
      <c r="K6" s="1104">
        <v>-253</v>
      </c>
      <c r="L6" s="1105">
        <v>-1688</v>
      </c>
    </row>
    <row r="7" spans="1:12" ht="20.100000000000001" customHeight="1" x14ac:dyDescent="0.25">
      <c r="A7" s="1109" t="s">
        <v>438</v>
      </c>
      <c r="B7" s="1110">
        <v>60</v>
      </c>
      <c r="C7" s="1111">
        <v>-13</v>
      </c>
      <c r="D7" s="1112">
        <v>-66</v>
      </c>
      <c r="E7" s="1113">
        <v>-49</v>
      </c>
      <c r="F7" s="1114">
        <v>-44</v>
      </c>
      <c r="G7" s="1115">
        <v>-155</v>
      </c>
      <c r="H7" s="1116">
        <v>78</v>
      </c>
      <c r="I7" s="1117">
        <v>-70</v>
      </c>
      <c r="J7" s="1118">
        <v>160</v>
      </c>
      <c r="K7" s="1114">
        <v>-68</v>
      </c>
      <c r="L7" s="1115">
        <v>-191</v>
      </c>
    </row>
    <row r="8" spans="1:12" ht="20.100000000000001" customHeight="1" x14ac:dyDescent="0.25">
      <c r="A8" s="1119" t="s">
        <v>293</v>
      </c>
      <c r="B8" s="1110">
        <v>-170</v>
      </c>
      <c r="C8" s="1111">
        <v>-126</v>
      </c>
      <c r="D8" s="1112">
        <v>-149</v>
      </c>
      <c r="E8" s="1113">
        <v>-115</v>
      </c>
      <c r="F8" s="1114">
        <v>-121</v>
      </c>
      <c r="G8" s="1115">
        <v>-91</v>
      </c>
      <c r="H8" s="1116">
        <v>-31</v>
      </c>
      <c r="I8" s="1117">
        <v>-46</v>
      </c>
      <c r="J8" s="1118">
        <v>-3</v>
      </c>
      <c r="K8" s="1114">
        <v>-560</v>
      </c>
      <c r="L8" s="1115">
        <v>-289</v>
      </c>
    </row>
    <row r="9" spans="1:12" ht="20.100000000000001" customHeight="1" x14ac:dyDescent="0.25">
      <c r="A9" s="1119" t="s">
        <v>294</v>
      </c>
      <c r="B9" s="1120">
        <v>139</v>
      </c>
      <c r="C9" s="1121">
        <v>120</v>
      </c>
      <c r="D9" s="1122">
        <v>123</v>
      </c>
      <c r="E9" s="1123">
        <v>54</v>
      </c>
      <c r="F9" s="1124">
        <v>7</v>
      </c>
      <c r="G9" s="1125">
        <v>18</v>
      </c>
      <c r="H9" s="1122">
        <v>40</v>
      </c>
      <c r="I9" s="1123">
        <v>12</v>
      </c>
      <c r="J9" s="1126">
        <v>-36</v>
      </c>
      <c r="K9" s="1124">
        <v>436</v>
      </c>
      <c r="L9" s="1125">
        <v>77</v>
      </c>
    </row>
    <row r="10" spans="1:12" ht="20.100000000000001" customHeight="1" x14ac:dyDescent="0.25">
      <c r="A10" s="1119" t="s">
        <v>295</v>
      </c>
      <c r="B10" s="1120">
        <v>91</v>
      </c>
      <c r="C10" s="1121">
        <v>-7</v>
      </c>
      <c r="D10" s="1122">
        <v>-40</v>
      </c>
      <c r="E10" s="1123">
        <v>12</v>
      </c>
      <c r="F10" s="1124">
        <v>70</v>
      </c>
      <c r="G10" s="1125">
        <v>-82</v>
      </c>
      <c r="H10" s="1122">
        <v>69</v>
      </c>
      <c r="I10" s="1123">
        <v>-36</v>
      </c>
      <c r="J10" s="1126">
        <v>199</v>
      </c>
      <c r="K10" s="1124">
        <v>56</v>
      </c>
      <c r="L10" s="1125">
        <v>21</v>
      </c>
    </row>
    <row r="11" spans="1:12" ht="20.100000000000001" customHeight="1" x14ac:dyDescent="0.25">
      <c r="A11" s="1127" t="s">
        <v>439</v>
      </c>
      <c r="B11" s="1110">
        <v>57</v>
      </c>
      <c r="C11" s="1111">
        <v>-22</v>
      </c>
      <c r="D11" s="1128">
        <v>-113</v>
      </c>
      <c r="E11" s="1113">
        <v>-243</v>
      </c>
      <c r="F11" s="1114">
        <v>-390</v>
      </c>
      <c r="G11" s="1115">
        <v>-606</v>
      </c>
      <c r="H11" s="1115">
        <v>-400</v>
      </c>
      <c r="I11" s="1117">
        <v>-483</v>
      </c>
      <c r="J11" s="1118">
        <v>-242</v>
      </c>
      <c r="K11" s="1114">
        <v>-321</v>
      </c>
      <c r="L11" s="1115">
        <v>-1879</v>
      </c>
    </row>
    <row r="12" spans="1:12" ht="20.100000000000001" customHeight="1" x14ac:dyDescent="0.25">
      <c r="A12" s="1109" t="s">
        <v>271</v>
      </c>
      <c r="B12" s="1110">
        <v>0</v>
      </c>
      <c r="C12" s="1111">
        <v>0</v>
      </c>
      <c r="D12" s="1128">
        <v>1</v>
      </c>
      <c r="E12" s="1113">
        <v>0</v>
      </c>
      <c r="F12" s="1114">
        <v>0</v>
      </c>
      <c r="G12" s="1115">
        <v>0</v>
      </c>
      <c r="H12" s="1115">
        <v>1</v>
      </c>
      <c r="I12" s="1117">
        <v>0</v>
      </c>
      <c r="J12" s="1118">
        <v>0</v>
      </c>
      <c r="K12" s="1114">
        <v>1</v>
      </c>
      <c r="L12" s="1115">
        <v>1</v>
      </c>
    </row>
    <row r="13" spans="1:12" ht="20.100000000000001" customHeight="1" x14ac:dyDescent="0.25">
      <c r="A13" s="1109" t="s">
        <v>440</v>
      </c>
      <c r="B13" s="1110">
        <v>639</v>
      </c>
      <c r="C13" s="1111">
        <v>58</v>
      </c>
      <c r="D13" s="1128">
        <v>131</v>
      </c>
      <c r="E13" s="1113">
        <v>1414</v>
      </c>
      <c r="F13" s="1114">
        <v>471</v>
      </c>
      <c r="G13" s="1115">
        <v>172</v>
      </c>
      <c r="H13" s="1115">
        <v>-23</v>
      </c>
      <c r="I13" s="1117">
        <v>3</v>
      </c>
      <c r="J13" s="1118">
        <v>825</v>
      </c>
      <c r="K13" s="1114">
        <v>2242</v>
      </c>
      <c r="L13" s="1115">
        <v>623</v>
      </c>
    </row>
    <row r="14" spans="1:12" ht="20.100000000000001" customHeight="1" x14ac:dyDescent="0.25">
      <c r="A14" s="1127" t="s">
        <v>273</v>
      </c>
      <c r="B14" s="1110">
        <v>-582</v>
      </c>
      <c r="C14" s="1111">
        <v>-80</v>
      </c>
      <c r="D14" s="1128">
        <v>-245</v>
      </c>
      <c r="E14" s="1113">
        <v>-1657</v>
      </c>
      <c r="F14" s="1114">
        <v>-861</v>
      </c>
      <c r="G14" s="1115">
        <v>-778</v>
      </c>
      <c r="H14" s="1115">
        <v>-378</v>
      </c>
      <c r="I14" s="1117">
        <v>-486</v>
      </c>
      <c r="J14" s="1118">
        <v>-1067</v>
      </c>
      <c r="K14" s="1114">
        <v>-2564</v>
      </c>
      <c r="L14" s="1115">
        <v>-2503</v>
      </c>
    </row>
    <row r="15" spans="1:12" ht="20.100000000000001" customHeight="1" x14ac:dyDescent="0.25">
      <c r="A15" s="1109" t="s">
        <v>441</v>
      </c>
      <c r="B15" s="1110">
        <v>-200</v>
      </c>
      <c r="C15" s="1111">
        <v>-45</v>
      </c>
      <c r="D15" s="1128">
        <v>-137</v>
      </c>
      <c r="E15" s="1113">
        <v>-125</v>
      </c>
      <c r="F15" s="1114">
        <v>-243</v>
      </c>
      <c r="G15" s="1115">
        <v>-311</v>
      </c>
      <c r="H15" s="1115">
        <v>-196</v>
      </c>
      <c r="I15" s="1117">
        <v>-256</v>
      </c>
      <c r="J15" s="1118">
        <v>-509</v>
      </c>
      <c r="K15" s="1114">
        <v>-507</v>
      </c>
      <c r="L15" s="1115">
        <v>-1006</v>
      </c>
    </row>
    <row r="16" spans="1:12" ht="20.100000000000001" customHeight="1" x14ac:dyDescent="0.25">
      <c r="A16" s="1127" t="s">
        <v>442</v>
      </c>
      <c r="B16" s="1110">
        <v>-382</v>
      </c>
      <c r="C16" s="1111">
        <v>-35</v>
      </c>
      <c r="D16" s="1128">
        <v>-108</v>
      </c>
      <c r="E16" s="1113">
        <v>-1532</v>
      </c>
      <c r="F16" s="1114">
        <v>-618</v>
      </c>
      <c r="G16" s="1115">
        <v>-467</v>
      </c>
      <c r="H16" s="1115">
        <v>-182</v>
      </c>
      <c r="I16" s="1117">
        <v>-230</v>
      </c>
      <c r="J16" s="1118">
        <v>-558</v>
      </c>
      <c r="K16" s="1114">
        <v>-2057</v>
      </c>
      <c r="L16" s="1115">
        <v>-1497</v>
      </c>
    </row>
    <row r="17" spans="1:12" ht="20.100000000000001" customHeight="1" x14ac:dyDescent="0.25">
      <c r="A17" s="1127"/>
      <c r="B17" s="1110"/>
      <c r="C17" s="1111"/>
      <c r="D17" s="1128"/>
      <c r="E17" s="1113"/>
      <c r="F17" s="1114"/>
      <c r="G17" s="1115"/>
      <c r="H17" s="1115"/>
      <c r="I17" s="1117"/>
      <c r="J17" s="1118"/>
      <c r="K17" s="1114"/>
      <c r="L17" s="1115"/>
    </row>
    <row r="18" spans="1:12" ht="20.100000000000001" customHeight="1" x14ac:dyDescent="0.25">
      <c r="A18" s="1109" t="s">
        <v>443</v>
      </c>
      <c r="B18" s="1110">
        <v>468</v>
      </c>
      <c r="C18" s="1111">
        <v>-15</v>
      </c>
      <c r="D18" s="1128">
        <v>44</v>
      </c>
      <c r="E18" s="1113">
        <v>1362</v>
      </c>
      <c r="F18" s="1114">
        <v>493</v>
      </c>
      <c r="G18" s="1115">
        <v>312</v>
      </c>
      <c r="H18" s="1115">
        <v>0</v>
      </c>
      <c r="I18" s="1117">
        <v>0</v>
      </c>
      <c r="J18" s="1118">
        <v>420</v>
      </c>
      <c r="K18" s="1114">
        <v>1859</v>
      </c>
      <c r="L18" s="1115">
        <v>805</v>
      </c>
    </row>
    <row r="19" spans="1:12" ht="20.100000000000001" customHeight="1" x14ac:dyDescent="0.25">
      <c r="A19" s="1127" t="s">
        <v>444</v>
      </c>
      <c r="B19" s="1110">
        <v>-114</v>
      </c>
      <c r="C19" s="1111">
        <v>-95</v>
      </c>
      <c r="D19" s="1128">
        <v>-201</v>
      </c>
      <c r="E19" s="1113">
        <v>-295</v>
      </c>
      <c r="F19" s="1129">
        <v>-368</v>
      </c>
      <c r="G19" s="1128">
        <v>-466</v>
      </c>
      <c r="H19" s="1128">
        <v>-378</v>
      </c>
      <c r="I19" s="1113">
        <v>-486</v>
      </c>
      <c r="J19" s="1130">
        <v>-647</v>
      </c>
      <c r="K19" s="1129">
        <v>-705</v>
      </c>
      <c r="L19" s="1128">
        <v>-1698</v>
      </c>
    </row>
    <row r="20" spans="1:12" ht="20.100000000000001" customHeight="1" x14ac:dyDescent="0.25">
      <c r="A20" s="1109" t="s">
        <v>445</v>
      </c>
      <c r="B20" s="1110">
        <v>341</v>
      </c>
      <c r="C20" s="1111">
        <v>-22</v>
      </c>
      <c r="D20" s="1128">
        <v>29</v>
      </c>
      <c r="E20" s="1113">
        <v>1355</v>
      </c>
      <c r="F20" s="1114">
        <v>417</v>
      </c>
      <c r="G20" s="1115">
        <v>266</v>
      </c>
      <c r="H20" s="1115">
        <v>0</v>
      </c>
      <c r="I20" s="1117">
        <v>0</v>
      </c>
      <c r="J20" s="1118">
        <v>275</v>
      </c>
      <c r="K20" s="1114">
        <v>1703</v>
      </c>
      <c r="L20" s="1115">
        <v>683</v>
      </c>
    </row>
    <row r="21" spans="1:12" ht="20.100000000000001" customHeight="1" x14ac:dyDescent="0.25">
      <c r="A21" s="1127" t="s">
        <v>446</v>
      </c>
      <c r="B21" s="1110">
        <v>-41</v>
      </c>
      <c r="C21" s="1111">
        <v>-57</v>
      </c>
      <c r="D21" s="1128">
        <v>-79</v>
      </c>
      <c r="E21" s="1113">
        <v>-177</v>
      </c>
      <c r="F21" s="1114">
        <v>-201</v>
      </c>
      <c r="G21" s="1115">
        <v>-201</v>
      </c>
      <c r="H21" s="1115">
        <v>-182</v>
      </c>
      <c r="I21" s="1117">
        <v>-230</v>
      </c>
      <c r="J21" s="1118">
        <v>-283</v>
      </c>
      <c r="K21" s="1114">
        <v>-354</v>
      </c>
      <c r="L21" s="1115">
        <v>-814</v>
      </c>
    </row>
    <row r="22" spans="1:12" ht="20.100000000000001" customHeight="1" x14ac:dyDescent="0.25">
      <c r="A22" s="1127"/>
      <c r="B22" s="1110"/>
      <c r="C22" s="1111"/>
      <c r="D22" s="1128"/>
      <c r="E22" s="1131"/>
      <c r="F22" s="1132"/>
      <c r="G22" s="1133"/>
      <c r="H22" s="1133"/>
      <c r="I22" s="1134"/>
      <c r="J22" s="1135"/>
      <c r="K22" s="1132"/>
      <c r="L22" s="1133"/>
    </row>
    <row r="23" spans="1:12" ht="20.100000000000001" customHeight="1" x14ac:dyDescent="0.25">
      <c r="A23" s="1127" t="s">
        <v>447</v>
      </c>
      <c r="B23" s="1110">
        <v>-60</v>
      </c>
      <c r="C23" s="1111">
        <v>36</v>
      </c>
      <c r="D23" s="1128">
        <v>17</v>
      </c>
      <c r="E23" s="1113">
        <v>-191</v>
      </c>
      <c r="F23" s="1129">
        <v>1</v>
      </c>
      <c r="G23" s="1128">
        <v>-2</v>
      </c>
      <c r="H23" s="1128">
        <v>0</v>
      </c>
      <c r="I23" s="1113">
        <v>0</v>
      </c>
      <c r="J23" s="1130">
        <v>-3</v>
      </c>
      <c r="K23" s="1129">
        <v>-198</v>
      </c>
      <c r="L23" s="1128">
        <v>-1</v>
      </c>
    </row>
    <row r="24" spans="1:12" ht="20.100000000000001" customHeight="1" x14ac:dyDescent="0.25">
      <c r="A24" s="1127" t="s">
        <v>302</v>
      </c>
      <c r="B24" s="1110">
        <v>-322</v>
      </c>
      <c r="C24" s="1111">
        <v>-71</v>
      </c>
      <c r="D24" s="1128">
        <v>-125</v>
      </c>
      <c r="E24" s="1113">
        <v>-1341</v>
      </c>
      <c r="F24" s="1114">
        <v>-619</v>
      </c>
      <c r="G24" s="1115">
        <v>-465</v>
      </c>
      <c r="H24" s="1115">
        <v>-182</v>
      </c>
      <c r="I24" s="1117">
        <v>-230</v>
      </c>
      <c r="J24" s="1118">
        <v>-555</v>
      </c>
      <c r="K24" s="1114">
        <v>-1859</v>
      </c>
      <c r="L24" s="1115">
        <v>-1496</v>
      </c>
    </row>
    <row r="25" spans="1:12" ht="20.100000000000001" customHeight="1" x14ac:dyDescent="0.25">
      <c r="A25" s="1127"/>
      <c r="B25" s="1110"/>
      <c r="C25" s="1111"/>
      <c r="D25" s="1128"/>
      <c r="E25" s="1131"/>
      <c r="F25" s="1132"/>
      <c r="G25" s="1133"/>
      <c r="H25" s="1133"/>
      <c r="I25" s="1134"/>
      <c r="J25" s="1135"/>
      <c r="K25" s="1132"/>
      <c r="L25" s="1133"/>
    </row>
    <row r="26" spans="1:12" ht="20.100000000000001" customHeight="1" x14ac:dyDescent="0.25">
      <c r="A26" s="1127" t="s">
        <v>448</v>
      </c>
      <c r="B26" s="1110">
        <v>-7</v>
      </c>
      <c r="C26" s="1111">
        <v>-1</v>
      </c>
      <c r="D26" s="1128">
        <v>1</v>
      </c>
      <c r="E26" s="1113">
        <v>0</v>
      </c>
      <c r="F26" s="1129">
        <v>1</v>
      </c>
      <c r="G26" s="1128">
        <v>0</v>
      </c>
      <c r="H26" s="1128">
        <v>0</v>
      </c>
      <c r="I26" s="1113">
        <v>0</v>
      </c>
      <c r="J26" s="1130">
        <v>0</v>
      </c>
      <c r="K26" s="1129">
        <v>-7</v>
      </c>
      <c r="L26" s="1128">
        <v>1</v>
      </c>
    </row>
    <row r="27" spans="1:12" ht="20.100000000000001" customHeight="1" x14ac:dyDescent="0.25">
      <c r="A27" s="1136" t="s">
        <v>449</v>
      </c>
      <c r="B27" s="1137">
        <v>-34</v>
      </c>
      <c r="C27" s="1138">
        <v>-56</v>
      </c>
      <c r="D27" s="1139">
        <v>-80</v>
      </c>
      <c r="E27" s="1140">
        <v>-177</v>
      </c>
      <c r="F27" s="1141">
        <v>-202</v>
      </c>
      <c r="G27" s="1142">
        <v>-201</v>
      </c>
      <c r="H27" s="1142">
        <v>-182</v>
      </c>
      <c r="I27" s="1143">
        <v>-230</v>
      </c>
      <c r="J27" s="1144">
        <v>-283</v>
      </c>
      <c r="K27" s="1141">
        <v>-347</v>
      </c>
      <c r="L27" s="1142">
        <v>-815</v>
      </c>
    </row>
    <row r="28" spans="1:12" ht="20.100000000000001" customHeight="1" x14ac:dyDescent="0.25">
      <c r="A28" s="1145" t="s">
        <v>450</v>
      </c>
      <c r="B28" s="1146"/>
      <c r="C28" s="1147"/>
      <c r="D28" s="1148"/>
      <c r="E28" s="1149"/>
      <c r="F28" s="1150"/>
      <c r="G28" s="1151"/>
      <c r="H28" s="1151"/>
      <c r="I28" s="1152"/>
      <c r="J28" s="1153"/>
      <c r="K28" s="1150"/>
      <c r="L28" s="1151"/>
    </row>
    <row r="29" spans="1:12" ht="20.100000000000001" customHeight="1" x14ac:dyDescent="0.25">
      <c r="A29" s="1154" t="s">
        <v>322</v>
      </c>
      <c r="B29" s="1155">
        <v>223.8</v>
      </c>
      <c r="C29" s="1156">
        <v>227.7</v>
      </c>
      <c r="D29" s="1157">
        <v>238.4</v>
      </c>
      <c r="E29" s="1158">
        <v>223.6</v>
      </c>
      <c r="F29" s="1159">
        <v>216.1</v>
      </c>
      <c r="G29" s="1160">
        <v>210.5</v>
      </c>
      <c r="H29" s="1160">
        <v>202.7</v>
      </c>
      <c r="I29" s="1161">
        <v>202.7</v>
      </c>
      <c r="J29" s="1162">
        <v>191.4</v>
      </c>
      <c r="K29" s="1163">
        <v>228.2</v>
      </c>
      <c r="L29" s="1157">
        <v>208.2</v>
      </c>
    </row>
    <row r="30" spans="1:12" ht="20.100000000000001" customHeight="1" x14ac:dyDescent="0.25">
      <c r="A30" s="1136" t="s">
        <v>327</v>
      </c>
      <c r="B30" s="1164">
        <v>250.2</v>
      </c>
      <c r="C30" s="1165">
        <v>243.2</v>
      </c>
      <c r="D30" s="1166">
        <v>257.60000000000002</v>
      </c>
      <c r="E30" s="1167">
        <v>262.8</v>
      </c>
      <c r="F30" s="1168">
        <v>260</v>
      </c>
      <c r="G30" s="1166">
        <v>256.5</v>
      </c>
      <c r="H30" s="1166">
        <v>247.3</v>
      </c>
      <c r="I30" s="1167">
        <v>251.6</v>
      </c>
      <c r="J30" s="1169">
        <v>252.6</v>
      </c>
      <c r="K30" s="1170">
        <v>253.5</v>
      </c>
      <c r="L30" s="1166">
        <v>254</v>
      </c>
    </row>
    <row r="31" spans="1:12" ht="20.100000000000001" customHeight="1" x14ac:dyDescent="0.25">
      <c r="A31" s="1145" t="s">
        <v>451</v>
      </c>
      <c r="B31" s="1146"/>
      <c r="C31" s="1147"/>
      <c r="D31" s="1148"/>
      <c r="E31" s="1149"/>
      <c r="F31" s="1150"/>
      <c r="G31" s="1151"/>
      <c r="H31" s="1151"/>
      <c r="I31" s="1152"/>
      <c r="J31" s="1153"/>
      <c r="K31" s="1150"/>
      <c r="L31" s="1151"/>
    </row>
    <row r="32" spans="1:12" ht="20.100000000000001" customHeight="1" x14ac:dyDescent="0.25">
      <c r="A32" s="1109" t="s">
        <v>452</v>
      </c>
      <c r="B32" s="1110">
        <v>0</v>
      </c>
      <c r="C32" s="1111">
        <v>0</v>
      </c>
      <c r="D32" s="1128">
        <v>0</v>
      </c>
      <c r="E32" s="1171">
        <v>0</v>
      </c>
      <c r="F32" s="1114">
        <v>0</v>
      </c>
      <c r="G32" s="1115">
        <v>1</v>
      </c>
      <c r="H32" s="1115">
        <v>0</v>
      </c>
      <c r="I32" s="1117">
        <v>2</v>
      </c>
      <c r="J32" s="1118">
        <v>7</v>
      </c>
      <c r="K32" s="1129">
        <v>0</v>
      </c>
      <c r="L32" s="1115">
        <v>3</v>
      </c>
    </row>
    <row r="33" spans="1:12" ht="20.100000000000001" customHeight="1" x14ac:dyDescent="0.25">
      <c r="A33" s="1109" t="s">
        <v>453</v>
      </c>
      <c r="B33" s="1110">
        <v>0</v>
      </c>
      <c r="C33" s="1111">
        <v>0</v>
      </c>
      <c r="D33" s="1128">
        <v>0</v>
      </c>
      <c r="E33" s="1113">
        <v>0</v>
      </c>
      <c r="F33" s="1114">
        <v>2</v>
      </c>
      <c r="G33" s="1115">
        <v>5</v>
      </c>
      <c r="H33" s="1115">
        <v>4</v>
      </c>
      <c r="I33" s="1117">
        <v>41</v>
      </c>
      <c r="J33" s="1118">
        <v>108</v>
      </c>
      <c r="K33" s="1129">
        <v>0</v>
      </c>
      <c r="L33" s="1115">
        <v>52</v>
      </c>
    </row>
    <row r="34" spans="1:12" ht="20.100000000000001" customHeight="1" x14ac:dyDescent="0.25">
      <c r="A34" s="1172" t="s">
        <v>454</v>
      </c>
      <c r="B34" s="1110">
        <v>0</v>
      </c>
      <c r="C34" s="1111">
        <v>0</v>
      </c>
      <c r="D34" s="1128">
        <v>0</v>
      </c>
      <c r="E34" s="1113">
        <v>0</v>
      </c>
      <c r="F34" s="1114">
        <v>2</v>
      </c>
      <c r="G34" s="1128">
        <v>6</v>
      </c>
      <c r="H34" s="1128">
        <v>4</v>
      </c>
      <c r="I34" s="1113">
        <v>43</v>
      </c>
      <c r="J34" s="1118">
        <v>115</v>
      </c>
      <c r="K34" s="1129">
        <v>0</v>
      </c>
      <c r="L34" s="1128">
        <v>55</v>
      </c>
    </row>
    <row r="35" spans="1:12" ht="20.100000000000001" customHeight="1" x14ac:dyDescent="0.25">
      <c r="A35" s="1136" t="s">
        <v>455</v>
      </c>
      <c r="B35" s="1137">
        <v>0</v>
      </c>
      <c r="C35" s="1138">
        <v>0</v>
      </c>
      <c r="D35" s="1139">
        <v>0</v>
      </c>
      <c r="E35" s="1140">
        <v>0</v>
      </c>
      <c r="F35" s="1141">
        <v>-2</v>
      </c>
      <c r="G35" s="1139">
        <v>-6</v>
      </c>
      <c r="H35" s="1139">
        <v>-4</v>
      </c>
      <c r="I35" s="1140">
        <v>-43</v>
      </c>
      <c r="J35" s="1144">
        <v>-115</v>
      </c>
      <c r="K35" s="1173">
        <v>0</v>
      </c>
      <c r="L35" s="1139">
        <v>-55</v>
      </c>
    </row>
    <row r="36" spans="1:12" ht="13.05" customHeight="1" x14ac:dyDescent="0.25">
      <c r="A36" s="1174"/>
      <c r="B36" s="1175"/>
      <c r="C36" s="1175"/>
      <c r="D36" s="1175"/>
      <c r="E36" s="1175"/>
      <c r="F36" s="1175"/>
      <c r="G36" s="1175"/>
      <c r="H36" s="1175"/>
      <c r="I36" s="1175"/>
      <c r="J36" s="1175"/>
      <c r="K36" s="1175"/>
      <c r="L36" s="1175"/>
    </row>
    <row r="37" spans="1:12" ht="12" customHeight="1" x14ac:dyDescent="0.25">
      <c r="A37" s="2861" t="s">
        <v>456</v>
      </c>
      <c r="B37" s="2861" t="s">
        <v>15</v>
      </c>
      <c r="C37" s="2861" t="s">
        <v>15</v>
      </c>
      <c r="D37" s="2861" t="s">
        <v>15</v>
      </c>
      <c r="E37" s="2861" t="s">
        <v>15</v>
      </c>
      <c r="F37" s="2861" t="s">
        <v>15</v>
      </c>
      <c r="G37" s="2861" t="s">
        <v>15</v>
      </c>
      <c r="H37" s="2861" t="s">
        <v>15</v>
      </c>
      <c r="I37" s="2861" t="s">
        <v>15</v>
      </c>
      <c r="J37" s="2861" t="s">
        <v>15</v>
      </c>
      <c r="K37" s="2861" t="s">
        <v>15</v>
      </c>
      <c r="L37" s="2861" t="s">
        <v>15</v>
      </c>
    </row>
    <row r="38" spans="1:12" ht="23.85" customHeight="1" x14ac:dyDescent="0.25">
      <c r="A38" s="2861" t="s">
        <v>457</v>
      </c>
      <c r="B38" s="2861" t="s">
        <v>15</v>
      </c>
      <c r="C38" s="2861" t="s">
        <v>15</v>
      </c>
      <c r="D38" s="2861" t="s">
        <v>15</v>
      </c>
      <c r="E38" s="2861" t="s">
        <v>15</v>
      </c>
      <c r="F38" s="2861" t="s">
        <v>15</v>
      </c>
      <c r="G38" s="2861" t="s">
        <v>15</v>
      </c>
      <c r="H38" s="2861" t="s">
        <v>15</v>
      </c>
      <c r="I38" s="2861" t="s">
        <v>15</v>
      </c>
      <c r="J38" s="2861" t="s">
        <v>15</v>
      </c>
      <c r="K38" s="2861" t="s">
        <v>15</v>
      </c>
      <c r="L38" s="2861" t="s">
        <v>15</v>
      </c>
    </row>
    <row r="39" spans="1:12" ht="26.85" customHeight="1" x14ac:dyDescent="0.25">
      <c r="A39" s="2861" t="s">
        <v>458</v>
      </c>
      <c r="B39" s="2850" t="s">
        <v>15</v>
      </c>
      <c r="C39" s="2850" t="s">
        <v>15</v>
      </c>
      <c r="D39" s="2850" t="s">
        <v>15</v>
      </c>
      <c r="E39" s="2850" t="s">
        <v>15</v>
      </c>
      <c r="F39" s="2850" t="s">
        <v>15</v>
      </c>
      <c r="G39" s="2850" t="s">
        <v>15</v>
      </c>
      <c r="H39" s="2850" t="s">
        <v>15</v>
      </c>
      <c r="I39" s="2850" t="s">
        <v>15</v>
      </c>
      <c r="J39" s="2850" t="s">
        <v>15</v>
      </c>
      <c r="K39" s="2850" t="s">
        <v>15</v>
      </c>
      <c r="L39" s="2850" t="s">
        <v>15</v>
      </c>
    </row>
    <row r="40" spans="1:12" ht="49.05" customHeight="1" x14ac:dyDescent="0.25">
      <c r="A40" s="2861" t="s">
        <v>459</v>
      </c>
      <c r="B40" s="2861" t="s">
        <v>15</v>
      </c>
      <c r="C40" s="2861" t="s">
        <v>15</v>
      </c>
      <c r="D40" s="2861" t="s">
        <v>15</v>
      </c>
      <c r="E40" s="2861" t="s">
        <v>15</v>
      </c>
      <c r="F40" s="2861" t="s">
        <v>15</v>
      </c>
      <c r="G40" s="2861" t="s">
        <v>15</v>
      </c>
      <c r="H40" s="2861" t="s">
        <v>15</v>
      </c>
      <c r="I40" s="2861" t="s">
        <v>15</v>
      </c>
      <c r="J40" s="2861" t="s">
        <v>15</v>
      </c>
      <c r="K40" s="2861" t="s">
        <v>15</v>
      </c>
      <c r="L40" s="2861" t="s">
        <v>15</v>
      </c>
    </row>
    <row r="41" spans="1:12" ht="15" customHeight="1" x14ac:dyDescent="0.25">
      <c r="A41" s="2861"/>
      <c r="B41" s="2861" t="s">
        <v>15</v>
      </c>
      <c r="C41" s="2861" t="s">
        <v>15</v>
      </c>
      <c r="D41" s="2861" t="s">
        <v>15</v>
      </c>
      <c r="E41" s="2861" t="s">
        <v>15</v>
      </c>
      <c r="F41" s="2861" t="s">
        <v>15</v>
      </c>
      <c r="G41" s="2861" t="s">
        <v>15</v>
      </c>
      <c r="H41" s="2861" t="s">
        <v>15</v>
      </c>
      <c r="I41" s="2861" t="s">
        <v>15</v>
      </c>
      <c r="J41" s="2861" t="s">
        <v>15</v>
      </c>
      <c r="K41" s="2861" t="s">
        <v>15</v>
      </c>
      <c r="L41" s="2861" t="s">
        <v>15</v>
      </c>
    </row>
    <row r="42" spans="1:12" ht="10.35" customHeight="1" x14ac:dyDescent="0.25">
      <c r="A42" s="74"/>
      <c r="B42" s="75"/>
      <c r="C42" s="75"/>
      <c r="D42" s="75"/>
      <c r="E42" s="75"/>
      <c r="F42" s="75"/>
      <c r="G42" s="75"/>
      <c r="H42" s="75"/>
      <c r="I42" s="75"/>
      <c r="J42" s="75"/>
      <c r="K42" s="75"/>
      <c r="L42" s="75"/>
    </row>
    <row r="43" spans="1:12" ht="10.35" customHeight="1" x14ac:dyDescent="0.25">
      <c r="A43" s="75"/>
      <c r="B43" s="75"/>
      <c r="C43" s="75"/>
      <c r="D43" s="75"/>
      <c r="E43" s="75"/>
      <c r="F43" s="75"/>
      <c r="G43" s="75"/>
      <c r="H43" s="75"/>
      <c r="I43" s="75"/>
      <c r="J43" s="75"/>
      <c r="K43" s="75"/>
      <c r="L43" s="75"/>
    </row>
    <row r="44" spans="1:12" ht="10.35" customHeight="1" x14ac:dyDescent="0.25">
      <c r="A44" s="75"/>
      <c r="B44" s="75"/>
      <c r="C44" s="75"/>
      <c r="D44" s="75"/>
      <c r="E44" s="75"/>
      <c r="F44" s="75"/>
      <c r="G44" s="75"/>
      <c r="H44" s="75"/>
      <c r="I44" s="75"/>
      <c r="J44" s="75"/>
      <c r="K44" s="75"/>
      <c r="L44" s="75"/>
    </row>
  </sheetData>
  <mergeCells count="7">
    <mergeCell ref="A41:L41"/>
    <mergeCell ref="A2:L2"/>
    <mergeCell ref="K3:L3"/>
    <mergeCell ref="A37:L37"/>
    <mergeCell ref="A38:L38"/>
    <mergeCell ref="A39:L39"/>
    <mergeCell ref="A40:L40"/>
  </mergeCells>
  <hyperlinks>
    <hyperlink ref="A1" location="ToC!A2" display="Back to Table of Contents" xr:uid="{C0EBFDF2-5D2D-499A-B662-5CDD5B71C800}"/>
  </hyperlinks>
  <pageMargins left="0.5" right="0.5" top="0.5" bottom="0.5" header="0.25" footer="0.25"/>
  <pageSetup scale="63" orientation="landscape" r:id="rId1"/>
  <headerFooter>
    <oddFooter>&amp;L&amp;G&amp;C&amp;"Scotia,Regular"&amp;9Supplementary Financial Information (SFI)&amp;R9&amp;"Scotia,Regular"&amp;7</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320D-31F7-4A77-98F8-E427891BC198}">
  <sheetPr>
    <pageSetUpPr fitToPage="1"/>
  </sheetPr>
  <dimension ref="A1:L39"/>
  <sheetViews>
    <sheetView showGridLines="0" zoomScaleNormal="100" workbookViewId="0"/>
  </sheetViews>
  <sheetFormatPr defaultColWidth="8.77734375" defaultRowHeight="13.2" x14ac:dyDescent="0.25"/>
  <cols>
    <col min="1" max="1" width="54.77734375" style="23" customWidth="1"/>
    <col min="2" max="3" width="8.21875" style="23" customWidth="1"/>
    <col min="4" max="4" width="8.44140625" style="23" customWidth="1"/>
    <col min="5" max="10" width="8.21875" style="23" customWidth="1"/>
    <col min="11" max="12" width="8.77734375" style="23" customWidth="1"/>
    <col min="13" max="16384" width="8.77734375" style="23"/>
  </cols>
  <sheetData>
    <row r="1" spans="1:12" ht="19.95" customHeight="1" x14ac:dyDescent="0.25">
      <c r="A1" s="22" t="s">
        <v>12</v>
      </c>
    </row>
    <row r="2" spans="1:12" ht="24.6" customHeight="1" x14ac:dyDescent="0.25">
      <c r="A2" s="2873" t="s">
        <v>460</v>
      </c>
      <c r="B2" s="2873" t="s">
        <v>15</v>
      </c>
      <c r="C2" s="2873" t="s">
        <v>15</v>
      </c>
      <c r="D2" s="2873" t="s">
        <v>15</v>
      </c>
      <c r="E2" s="2873" t="s">
        <v>15</v>
      </c>
      <c r="F2" s="2873" t="s">
        <v>15</v>
      </c>
      <c r="G2" s="2873" t="s">
        <v>15</v>
      </c>
      <c r="H2" s="2873" t="s">
        <v>15</v>
      </c>
      <c r="I2" s="2873" t="s">
        <v>15</v>
      </c>
      <c r="J2" s="2873" t="s">
        <v>15</v>
      </c>
      <c r="K2" s="2873" t="s">
        <v>15</v>
      </c>
      <c r="L2" s="2873" t="s">
        <v>15</v>
      </c>
    </row>
    <row r="3" spans="1:12" ht="15" customHeight="1" x14ac:dyDescent="0.25">
      <c r="A3" s="1176"/>
      <c r="B3" s="1080"/>
      <c r="C3" s="1081"/>
      <c r="D3" s="1081"/>
      <c r="E3" s="1082"/>
      <c r="F3" s="1083"/>
      <c r="G3" s="1084"/>
      <c r="H3" s="1084"/>
      <c r="I3" s="1085"/>
      <c r="J3" s="1086"/>
      <c r="K3" s="2871" t="s">
        <v>163</v>
      </c>
      <c r="L3" s="2872" t="s">
        <v>15</v>
      </c>
    </row>
    <row r="4" spans="1:12" ht="15" customHeight="1" x14ac:dyDescent="0.25">
      <c r="A4" s="1176" t="s">
        <v>265</v>
      </c>
      <c r="B4" s="1177" t="s">
        <v>165</v>
      </c>
      <c r="C4" s="1178" t="s">
        <v>166</v>
      </c>
      <c r="D4" s="1178" t="s">
        <v>167</v>
      </c>
      <c r="E4" s="1179" t="s">
        <v>168</v>
      </c>
      <c r="F4" s="1180" t="s">
        <v>169</v>
      </c>
      <c r="G4" s="1178" t="s">
        <v>170</v>
      </c>
      <c r="H4" s="1178" t="s">
        <v>171</v>
      </c>
      <c r="I4" s="1179" t="s">
        <v>172</v>
      </c>
      <c r="J4" s="1181" t="s">
        <v>173</v>
      </c>
      <c r="K4" s="1182">
        <v>2025</v>
      </c>
      <c r="L4" s="1183">
        <v>2024</v>
      </c>
    </row>
    <row r="5" spans="1:12" ht="15" customHeight="1" x14ac:dyDescent="0.25">
      <c r="A5" s="1184" t="s">
        <v>461</v>
      </c>
      <c r="B5" s="1185">
        <v>223</v>
      </c>
      <c r="C5" s="1101">
        <v>228</v>
      </c>
      <c r="D5" s="1101">
        <v>223</v>
      </c>
      <c r="E5" s="1103">
        <v>218</v>
      </c>
      <c r="F5" s="1104">
        <v>226</v>
      </c>
      <c r="G5" s="1105">
        <v>220</v>
      </c>
      <c r="H5" s="1105">
        <v>214</v>
      </c>
      <c r="I5" s="1107">
        <v>209</v>
      </c>
      <c r="J5" s="1108">
        <v>199</v>
      </c>
      <c r="K5" s="1104">
        <v>892</v>
      </c>
      <c r="L5" s="1105">
        <v>869</v>
      </c>
    </row>
    <row r="6" spans="1:12" ht="15" customHeight="1" x14ac:dyDescent="0.25">
      <c r="A6" s="1186" t="s">
        <v>462</v>
      </c>
      <c r="B6" s="1187">
        <v>499</v>
      </c>
      <c r="C6" s="1111">
        <v>500</v>
      </c>
      <c r="D6" s="1111">
        <v>496</v>
      </c>
      <c r="E6" s="1113">
        <v>502</v>
      </c>
      <c r="F6" s="1114">
        <v>484</v>
      </c>
      <c r="G6" s="1115">
        <v>494</v>
      </c>
      <c r="H6" s="1115">
        <v>477</v>
      </c>
      <c r="I6" s="1117">
        <v>500</v>
      </c>
      <c r="J6" s="1118">
        <v>474</v>
      </c>
      <c r="K6" s="1114">
        <v>1997</v>
      </c>
      <c r="L6" s="1115">
        <v>1955</v>
      </c>
    </row>
    <row r="7" spans="1:12" ht="15" customHeight="1" x14ac:dyDescent="0.25">
      <c r="A7" s="1186" t="s">
        <v>463</v>
      </c>
      <c r="B7" s="1187">
        <v>318</v>
      </c>
      <c r="C7" s="1111">
        <v>314</v>
      </c>
      <c r="D7" s="1111">
        <v>291</v>
      </c>
      <c r="E7" s="1113">
        <v>326</v>
      </c>
      <c r="F7" s="1114">
        <v>282</v>
      </c>
      <c r="G7" s="1115">
        <v>370</v>
      </c>
      <c r="H7" s="1115">
        <v>437</v>
      </c>
      <c r="I7" s="1117">
        <v>496</v>
      </c>
      <c r="J7" s="1118">
        <v>479</v>
      </c>
      <c r="K7" s="1114">
        <v>1249</v>
      </c>
      <c r="L7" s="1115">
        <v>1585</v>
      </c>
    </row>
    <row r="8" spans="1:12" ht="15" customHeight="1" x14ac:dyDescent="0.25">
      <c r="A8" s="1188" t="s">
        <v>464</v>
      </c>
      <c r="B8" s="1187">
        <v>1040</v>
      </c>
      <c r="C8" s="1111">
        <v>1042</v>
      </c>
      <c r="D8" s="1111">
        <v>1010</v>
      </c>
      <c r="E8" s="1113">
        <v>1046</v>
      </c>
      <c r="F8" s="1114">
        <v>992</v>
      </c>
      <c r="G8" s="1115">
        <v>1084</v>
      </c>
      <c r="H8" s="1115">
        <v>1128</v>
      </c>
      <c r="I8" s="1117">
        <v>1205</v>
      </c>
      <c r="J8" s="1118">
        <v>1152</v>
      </c>
      <c r="K8" s="1114">
        <v>4138</v>
      </c>
      <c r="L8" s="1115">
        <v>4409</v>
      </c>
    </row>
    <row r="9" spans="1:12" ht="15" customHeight="1" x14ac:dyDescent="0.25">
      <c r="A9" s="1189"/>
      <c r="B9" s="1190"/>
      <c r="C9" s="1191"/>
      <c r="D9" s="1191"/>
      <c r="E9" s="1192"/>
      <c r="F9" s="1193"/>
      <c r="G9" s="1194"/>
      <c r="H9" s="1194"/>
      <c r="I9" s="1195"/>
      <c r="J9" s="1196"/>
      <c r="K9" s="1193"/>
      <c r="L9" s="1194"/>
    </row>
    <row r="10" spans="1:12" ht="15" customHeight="1" x14ac:dyDescent="0.25">
      <c r="A10" s="1186" t="s">
        <v>465</v>
      </c>
      <c r="B10" s="1187">
        <v>681</v>
      </c>
      <c r="C10" s="1111">
        <v>641</v>
      </c>
      <c r="D10" s="1111">
        <v>607</v>
      </c>
      <c r="E10" s="1113">
        <v>635</v>
      </c>
      <c r="F10" s="1114">
        <v>623</v>
      </c>
      <c r="G10" s="1115">
        <v>570</v>
      </c>
      <c r="H10" s="1115">
        <v>551</v>
      </c>
      <c r="I10" s="1117">
        <v>538</v>
      </c>
      <c r="J10" s="1118">
        <v>527</v>
      </c>
      <c r="K10" s="1114">
        <v>2564</v>
      </c>
      <c r="L10" s="1115">
        <v>2282</v>
      </c>
    </row>
    <row r="11" spans="1:12" ht="15" customHeight="1" x14ac:dyDescent="0.25">
      <c r="A11" s="1186" t="s">
        <v>466</v>
      </c>
      <c r="B11" s="1187">
        <v>381</v>
      </c>
      <c r="C11" s="1111">
        <v>353</v>
      </c>
      <c r="D11" s="1111">
        <v>349</v>
      </c>
      <c r="E11" s="1113">
        <v>353</v>
      </c>
      <c r="F11" s="1114">
        <v>310</v>
      </c>
      <c r="G11" s="1115">
        <v>333</v>
      </c>
      <c r="H11" s="1115">
        <v>317</v>
      </c>
      <c r="I11" s="1117">
        <v>291</v>
      </c>
      <c r="J11" s="1118">
        <v>284</v>
      </c>
      <c r="K11" s="1114">
        <v>1436</v>
      </c>
      <c r="L11" s="1115">
        <v>1251</v>
      </c>
    </row>
    <row r="12" spans="1:12" ht="15" customHeight="1" x14ac:dyDescent="0.25">
      <c r="A12" s="1186" t="s">
        <v>467</v>
      </c>
      <c r="B12" s="1190"/>
      <c r="C12" s="1191"/>
      <c r="D12" s="1191"/>
      <c r="E12" s="1192"/>
      <c r="F12" s="1193"/>
      <c r="G12" s="1194"/>
      <c r="H12" s="1194"/>
      <c r="I12" s="1195"/>
      <c r="J12" s="1196"/>
      <c r="K12" s="1193"/>
      <c r="L12" s="1194"/>
    </row>
    <row r="13" spans="1:12" ht="15" customHeight="1" x14ac:dyDescent="0.25">
      <c r="A13" s="1197" t="s">
        <v>468</v>
      </c>
      <c r="B13" s="1187">
        <v>231</v>
      </c>
      <c r="C13" s="1111">
        <v>228</v>
      </c>
      <c r="D13" s="1111">
        <v>221</v>
      </c>
      <c r="E13" s="1113">
        <v>222</v>
      </c>
      <c r="F13" s="1114">
        <v>215</v>
      </c>
      <c r="G13" s="1115">
        <v>213</v>
      </c>
      <c r="H13" s="1115">
        <v>209</v>
      </c>
      <c r="I13" s="1117">
        <v>203</v>
      </c>
      <c r="J13" s="1118">
        <v>199</v>
      </c>
      <c r="K13" s="1114">
        <v>902</v>
      </c>
      <c r="L13" s="1115">
        <v>840</v>
      </c>
    </row>
    <row r="14" spans="1:12" ht="15" customHeight="1" x14ac:dyDescent="0.25">
      <c r="A14" s="1197" t="s">
        <v>469</v>
      </c>
      <c r="B14" s="1187">
        <v>65</v>
      </c>
      <c r="C14" s="1111">
        <v>64</v>
      </c>
      <c r="D14" s="1111">
        <v>67</v>
      </c>
      <c r="E14" s="1113">
        <v>64</v>
      </c>
      <c r="F14" s="1114">
        <v>64</v>
      </c>
      <c r="G14" s="1115">
        <v>65</v>
      </c>
      <c r="H14" s="1115">
        <v>64</v>
      </c>
      <c r="I14" s="1117">
        <v>63</v>
      </c>
      <c r="J14" s="1118">
        <v>60</v>
      </c>
      <c r="K14" s="1114">
        <v>260</v>
      </c>
      <c r="L14" s="1115">
        <v>256</v>
      </c>
    </row>
    <row r="15" spans="1:12" ht="15" customHeight="1" x14ac:dyDescent="0.25">
      <c r="A15" s="1186" t="s">
        <v>470</v>
      </c>
      <c r="B15" s="1187">
        <v>296</v>
      </c>
      <c r="C15" s="1111">
        <v>292</v>
      </c>
      <c r="D15" s="1111">
        <v>288</v>
      </c>
      <c r="E15" s="1113">
        <v>286</v>
      </c>
      <c r="F15" s="1114">
        <v>279</v>
      </c>
      <c r="G15" s="1115">
        <v>278</v>
      </c>
      <c r="H15" s="1115">
        <v>273</v>
      </c>
      <c r="I15" s="1117">
        <v>266</v>
      </c>
      <c r="J15" s="1118">
        <v>259</v>
      </c>
      <c r="K15" s="1114">
        <v>1162</v>
      </c>
      <c r="L15" s="1115">
        <v>1096</v>
      </c>
    </row>
    <row r="16" spans="1:12" ht="15" customHeight="1" x14ac:dyDescent="0.25">
      <c r="A16" s="1188" t="s">
        <v>471</v>
      </c>
      <c r="B16" s="1187">
        <v>1358</v>
      </c>
      <c r="C16" s="1111">
        <v>1286</v>
      </c>
      <c r="D16" s="1111">
        <v>1244</v>
      </c>
      <c r="E16" s="1113">
        <v>1274</v>
      </c>
      <c r="F16" s="1114">
        <v>1212</v>
      </c>
      <c r="G16" s="1115">
        <v>1181</v>
      </c>
      <c r="H16" s="1115">
        <v>1141</v>
      </c>
      <c r="I16" s="1117">
        <v>1095</v>
      </c>
      <c r="J16" s="1118">
        <v>1070</v>
      </c>
      <c r="K16" s="1114">
        <v>5162</v>
      </c>
      <c r="L16" s="1115">
        <v>4629</v>
      </c>
    </row>
    <row r="17" spans="1:12" ht="15" customHeight="1" x14ac:dyDescent="0.25">
      <c r="A17" s="1189"/>
      <c r="B17" s="1190"/>
      <c r="C17" s="1191"/>
      <c r="D17" s="1191"/>
      <c r="E17" s="1192"/>
      <c r="F17" s="1193"/>
      <c r="G17" s="1194"/>
      <c r="H17" s="1194"/>
      <c r="I17" s="1195"/>
      <c r="J17" s="1196"/>
      <c r="K17" s="1193"/>
      <c r="L17" s="1194"/>
    </row>
    <row r="18" spans="1:12" ht="15" customHeight="1" x14ac:dyDescent="0.25">
      <c r="A18" s="1188" t="s">
        <v>472</v>
      </c>
      <c r="B18" s="1187">
        <v>261</v>
      </c>
      <c r="C18" s="1111">
        <v>234</v>
      </c>
      <c r="D18" s="1111">
        <v>246</v>
      </c>
      <c r="E18" s="1113">
        <v>223</v>
      </c>
      <c r="F18" s="1114">
        <v>168</v>
      </c>
      <c r="G18" s="1115">
        <v>202</v>
      </c>
      <c r="H18" s="1115">
        <v>196</v>
      </c>
      <c r="I18" s="1117">
        <v>136</v>
      </c>
      <c r="J18" s="1118">
        <v>152</v>
      </c>
      <c r="K18" s="1114">
        <v>964</v>
      </c>
      <c r="L18" s="1115">
        <v>702</v>
      </c>
    </row>
    <row r="19" spans="1:12" ht="15" customHeight="1" x14ac:dyDescent="0.25">
      <c r="A19" s="1188" t="s">
        <v>473</v>
      </c>
      <c r="B19" s="1187">
        <v>240</v>
      </c>
      <c r="C19" s="1111">
        <v>228</v>
      </c>
      <c r="D19" s="1111">
        <v>216</v>
      </c>
      <c r="E19" s="1113">
        <v>264</v>
      </c>
      <c r="F19" s="1114">
        <v>221</v>
      </c>
      <c r="G19" s="1115">
        <v>236</v>
      </c>
      <c r="H19" s="1115">
        <v>245</v>
      </c>
      <c r="I19" s="1117">
        <v>228</v>
      </c>
      <c r="J19" s="1118">
        <v>239</v>
      </c>
      <c r="K19" s="1114">
        <v>948</v>
      </c>
      <c r="L19" s="1115">
        <v>930</v>
      </c>
    </row>
    <row r="20" spans="1:12" ht="15" customHeight="1" x14ac:dyDescent="0.25">
      <c r="A20" s="1188" t="s">
        <v>474</v>
      </c>
      <c r="B20" s="1187">
        <v>452</v>
      </c>
      <c r="C20" s="1111">
        <v>388</v>
      </c>
      <c r="D20" s="1111">
        <v>391</v>
      </c>
      <c r="E20" s="1113">
        <v>422</v>
      </c>
      <c r="F20" s="1114">
        <v>362</v>
      </c>
      <c r="G20" s="1115">
        <v>308</v>
      </c>
      <c r="H20" s="1115">
        <v>286</v>
      </c>
      <c r="I20" s="1117">
        <v>291</v>
      </c>
      <c r="J20" s="1118">
        <v>322</v>
      </c>
      <c r="K20" s="1114">
        <v>1653</v>
      </c>
      <c r="L20" s="1115">
        <v>1247</v>
      </c>
    </row>
    <row r="21" spans="1:12" ht="15" customHeight="1" x14ac:dyDescent="0.25">
      <c r="A21" s="1189" t="s">
        <v>475</v>
      </c>
      <c r="B21" s="1187">
        <v>3351</v>
      </c>
      <c r="C21" s="1111">
        <v>3178</v>
      </c>
      <c r="D21" s="1111">
        <v>3107</v>
      </c>
      <c r="E21" s="1113">
        <v>3229</v>
      </c>
      <c r="F21" s="1114">
        <v>2955</v>
      </c>
      <c r="G21" s="1115">
        <v>3011</v>
      </c>
      <c r="H21" s="1115">
        <v>2996</v>
      </c>
      <c r="I21" s="1117">
        <v>2955</v>
      </c>
      <c r="J21" s="1118">
        <v>2935</v>
      </c>
      <c r="K21" s="1114">
        <v>12865</v>
      </c>
      <c r="L21" s="1115">
        <v>11917</v>
      </c>
    </row>
    <row r="22" spans="1:12" ht="15" customHeight="1" x14ac:dyDescent="0.25">
      <c r="A22" s="1189" t="s">
        <v>476</v>
      </c>
      <c r="B22" s="1187">
        <v>179</v>
      </c>
      <c r="C22" s="1111">
        <v>157</v>
      </c>
      <c r="D22" s="1111">
        <v>159</v>
      </c>
      <c r="E22" s="1113">
        <v>113</v>
      </c>
      <c r="F22" s="1114">
        <v>41</v>
      </c>
      <c r="G22" s="1115">
        <v>54</v>
      </c>
      <c r="H22" s="1115">
        <v>57</v>
      </c>
      <c r="I22" s="1117">
        <v>46</v>
      </c>
      <c r="J22" s="1118">
        <v>18</v>
      </c>
      <c r="K22" s="1114">
        <v>608</v>
      </c>
      <c r="L22" s="1115">
        <v>198</v>
      </c>
    </row>
    <row r="23" spans="1:12" ht="15" customHeight="1" x14ac:dyDescent="0.25">
      <c r="A23" s="1198" t="s">
        <v>477</v>
      </c>
      <c r="B23" s="1187"/>
      <c r="C23" s="1111"/>
      <c r="D23" s="1111"/>
      <c r="E23" s="1113"/>
      <c r="F23" s="1114"/>
      <c r="G23" s="1115"/>
      <c r="H23" s="1115"/>
      <c r="I23" s="1117"/>
      <c r="J23" s="1118"/>
      <c r="K23" s="1114"/>
      <c r="L23" s="1115"/>
    </row>
    <row r="24" spans="1:12" ht="15" customHeight="1" x14ac:dyDescent="0.25">
      <c r="A24" s="1199" t="s">
        <v>478</v>
      </c>
      <c r="B24" s="1187">
        <v>461</v>
      </c>
      <c r="C24" s="1111">
        <v>463</v>
      </c>
      <c r="D24" s="1111">
        <v>405</v>
      </c>
      <c r="E24" s="1113">
        <v>655</v>
      </c>
      <c r="F24" s="1114">
        <v>408</v>
      </c>
      <c r="G24" s="1115">
        <v>370</v>
      </c>
      <c r="H24" s="1115">
        <v>383</v>
      </c>
      <c r="I24" s="1117">
        <v>473</v>
      </c>
      <c r="J24" s="1118">
        <v>197</v>
      </c>
      <c r="K24" s="1114">
        <v>1984</v>
      </c>
      <c r="L24" s="1115">
        <v>1634</v>
      </c>
    </row>
    <row r="25" spans="1:12" ht="15" customHeight="1" x14ac:dyDescent="0.25">
      <c r="A25" s="1199" t="s">
        <v>479</v>
      </c>
      <c r="B25" s="1187">
        <v>11</v>
      </c>
      <c r="C25" s="1111">
        <v>22</v>
      </c>
      <c r="D25" s="1111">
        <v>7</v>
      </c>
      <c r="E25" s="1113">
        <v>31</v>
      </c>
      <c r="F25" s="1114">
        <v>24</v>
      </c>
      <c r="G25" s="1115">
        <v>2</v>
      </c>
      <c r="H25" s="1115">
        <v>19</v>
      </c>
      <c r="I25" s="1117">
        <v>3</v>
      </c>
      <c r="J25" s="1118">
        <v>-1</v>
      </c>
      <c r="K25" s="1114">
        <v>71</v>
      </c>
      <c r="L25" s="1115">
        <v>48</v>
      </c>
    </row>
    <row r="26" spans="1:12" ht="15" customHeight="1" x14ac:dyDescent="0.25">
      <c r="A26" s="1199" t="s">
        <v>480</v>
      </c>
      <c r="B26" s="1187">
        <v>120</v>
      </c>
      <c r="C26" s="1111">
        <v>119</v>
      </c>
      <c r="D26" s="1111">
        <v>121</v>
      </c>
      <c r="E26" s="1113">
        <v>125</v>
      </c>
      <c r="F26" s="1114">
        <v>133</v>
      </c>
      <c r="G26" s="1115">
        <v>115</v>
      </c>
      <c r="H26" s="1115">
        <v>108</v>
      </c>
      <c r="I26" s="1117">
        <v>114</v>
      </c>
      <c r="J26" s="1118">
        <v>104</v>
      </c>
      <c r="K26" s="1114">
        <v>485</v>
      </c>
      <c r="L26" s="1115">
        <v>470</v>
      </c>
    </row>
    <row r="27" spans="1:12" ht="15" customHeight="1" x14ac:dyDescent="0.25">
      <c r="A27" s="1199" t="s">
        <v>481</v>
      </c>
      <c r="B27" s="1187">
        <v>95</v>
      </c>
      <c r="C27" s="1111">
        <v>54</v>
      </c>
      <c r="D27" s="1111">
        <v>11</v>
      </c>
      <c r="E27" s="1113">
        <v>46</v>
      </c>
      <c r="F27" s="1114">
        <v>42</v>
      </c>
      <c r="G27" s="1115">
        <v>-50</v>
      </c>
      <c r="H27" s="1115">
        <v>90</v>
      </c>
      <c r="I27" s="1117">
        <v>69</v>
      </c>
      <c r="J27" s="1118">
        <v>353</v>
      </c>
      <c r="K27" s="1114">
        <v>206</v>
      </c>
      <c r="L27" s="1115">
        <v>151</v>
      </c>
    </row>
    <row r="28" spans="1:12" ht="15" customHeight="1" x14ac:dyDescent="0.25">
      <c r="A28" s="1199" t="s">
        <v>482</v>
      </c>
      <c r="B28" s="1187">
        <v>687</v>
      </c>
      <c r="C28" s="1111">
        <v>658</v>
      </c>
      <c r="D28" s="1111">
        <v>544</v>
      </c>
      <c r="E28" s="1113">
        <v>857</v>
      </c>
      <c r="F28" s="1114">
        <v>607</v>
      </c>
      <c r="G28" s="1115">
        <v>437</v>
      </c>
      <c r="H28" s="1115">
        <v>600</v>
      </c>
      <c r="I28" s="1117">
        <v>659</v>
      </c>
      <c r="J28" s="1118">
        <v>653</v>
      </c>
      <c r="K28" s="1114">
        <v>2746</v>
      </c>
      <c r="L28" s="1115">
        <v>2303</v>
      </c>
    </row>
    <row r="29" spans="1:12" ht="15" customHeight="1" x14ac:dyDescent="0.25">
      <c r="A29" s="1199"/>
      <c r="B29" s="1190"/>
      <c r="C29" s="1191"/>
      <c r="D29" s="1191"/>
      <c r="E29" s="1192"/>
      <c r="F29" s="1193"/>
      <c r="G29" s="1194"/>
      <c r="H29" s="1194"/>
      <c r="I29" s="1195"/>
      <c r="J29" s="1196"/>
      <c r="K29" s="1193"/>
      <c r="L29" s="1194"/>
    </row>
    <row r="30" spans="1:12" ht="15" customHeight="1" x14ac:dyDescent="0.25">
      <c r="A30" s="1189" t="s">
        <v>483</v>
      </c>
      <c r="B30" s="1187">
        <v>4217</v>
      </c>
      <c r="C30" s="1111">
        <v>3993</v>
      </c>
      <c r="D30" s="1111">
        <v>3810</v>
      </c>
      <c r="E30" s="1113">
        <v>4199</v>
      </c>
      <c r="F30" s="1114">
        <v>3603</v>
      </c>
      <c r="G30" s="1115">
        <v>3502</v>
      </c>
      <c r="H30" s="1115">
        <v>3653</v>
      </c>
      <c r="I30" s="1117">
        <v>3660</v>
      </c>
      <c r="J30" s="1118">
        <v>3606</v>
      </c>
      <c r="K30" s="1114">
        <v>16219</v>
      </c>
      <c r="L30" s="1115">
        <v>14418</v>
      </c>
    </row>
    <row r="31" spans="1:12" ht="15" customHeight="1" x14ac:dyDescent="0.25">
      <c r="A31" s="1189"/>
      <c r="B31" s="1190"/>
      <c r="C31" s="1191"/>
      <c r="D31" s="1191"/>
      <c r="E31" s="1192"/>
      <c r="F31" s="1193"/>
      <c r="G31" s="1194"/>
      <c r="H31" s="1194"/>
      <c r="I31" s="1195"/>
      <c r="J31" s="1196"/>
      <c r="K31" s="1193"/>
      <c r="L31" s="1194"/>
    </row>
    <row r="32" spans="1:12" ht="15" customHeight="1" x14ac:dyDescent="0.25">
      <c r="A32" s="1189" t="s">
        <v>484</v>
      </c>
      <c r="B32" s="1190"/>
      <c r="C32" s="1191"/>
      <c r="D32" s="1191"/>
      <c r="E32" s="1192"/>
      <c r="F32" s="1193"/>
      <c r="G32" s="1194"/>
      <c r="H32" s="1194"/>
      <c r="I32" s="1195"/>
      <c r="J32" s="1196"/>
      <c r="K32" s="1193"/>
      <c r="L32" s="1194"/>
    </row>
    <row r="33" spans="1:12" ht="15" customHeight="1" x14ac:dyDescent="0.25">
      <c r="A33" s="1200" t="s">
        <v>485</v>
      </c>
      <c r="B33" s="1187">
        <v>-45</v>
      </c>
      <c r="C33" s="1111">
        <v>0</v>
      </c>
      <c r="D33" s="1111">
        <v>9</v>
      </c>
      <c r="E33" s="1113">
        <v>0</v>
      </c>
      <c r="F33" s="1114">
        <v>0</v>
      </c>
      <c r="G33" s="1115">
        <v>143</v>
      </c>
      <c r="H33" s="1115">
        <v>0</v>
      </c>
      <c r="I33" s="1117">
        <v>0</v>
      </c>
      <c r="J33" s="1118">
        <v>-367</v>
      </c>
      <c r="K33" s="1114">
        <v>-36</v>
      </c>
      <c r="L33" s="1115">
        <v>143</v>
      </c>
    </row>
    <row r="34" spans="1:12" ht="15" customHeight="1" x14ac:dyDescent="0.25">
      <c r="A34" s="1200" t="s">
        <v>486</v>
      </c>
      <c r="B34" s="1187">
        <v>9</v>
      </c>
      <c r="C34" s="1111">
        <v>8</v>
      </c>
      <c r="D34" s="1111">
        <v>9</v>
      </c>
      <c r="E34" s="1113">
        <v>0</v>
      </c>
      <c r="F34" s="1114">
        <v>0</v>
      </c>
      <c r="G34" s="1115">
        <v>0</v>
      </c>
      <c r="H34" s="1115">
        <v>0</v>
      </c>
      <c r="I34" s="1117">
        <v>0</v>
      </c>
      <c r="J34" s="1118">
        <v>0</v>
      </c>
      <c r="K34" s="1114">
        <v>26</v>
      </c>
      <c r="L34" s="1115">
        <v>0</v>
      </c>
    </row>
    <row r="35" spans="1:12" ht="15" customHeight="1" x14ac:dyDescent="0.25">
      <c r="A35" s="1201" t="s">
        <v>487</v>
      </c>
      <c r="B35" s="1202">
        <v>4181</v>
      </c>
      <c r="C35" s="1138">
        <v>4001</v>
      </c>
      <c r="D35" s="1138">
        <v>3828</v>
      </c>
      <c r="E35" s="1140">
        <v>4199</v>
      </c>
      <c r="F35" s="1141">
        <v>3603</v>
      </c>
      <c r="G35" s="1142">
        <v>3645</v>
      </c>
      <c r="H35" s="1142">
        <v>3653</v>
      </c>
      <c r="I35" s="1143">
        <v>3660</v>
      </c>
      <c r="J35" s="1144">
        <v>3239</v>
      </c>
      <c r="K35" s="1141">
        <v>16209</v>
      </c>
      <c r="L35" s="1142">
        <v>14561</v>
      </c>
    </row>
    <row r="36" spans="1:12" ht="15" customHeight="1" x14ac:dyDescent="0.3">
      <c r="A36" s="1203"/>
      <c r="B36" s="1203"/>
      <c r="C36" s="1203"/>
      <c r="D36" s="1203"/>
      <c r="E36" s="1203"/>
      <c r="F36" s="1203"/>
      <c r="G36" s="1203"/>
      <c r="H36" s="1203"/>
      <c r="I36" s="1203"/>
      <c r="J36" s="1203"/>
      <c r="K36" s="1203"/>
      <c r="L36" s="1203"/>
    </row>
    <row r="37" spans="1:12" ht="8.25" customHeight="1" x14ac:dyDescent="0.25">
      <c r="A37" s="2801" t="s">
        <v>287</v>
      </c>
      <c r="B37" s="2801" t="s">
        <v>15</v>
      </c>
      <c r="C37" s="2801" t="s">
        <v>15</v>
      </c>
      <c r="D37" s="2801" t="s">
        <v>15</v>
      </c>
      <c r="E37" s="2801" t="s">
        <v>15</v>
      </c>
      <c r="F37" s="2801" t="s">
        <v>15</v>
      </c>
      <c r="G37" s="2801" t="s">
        <v>15</v>
      </c>
      <c r="H37" s="2801" t="s">
        <v>15</v>
      </c>
      <c r="I37" s="2801" t="s">
        <v>15</v>
      </c>
      <c r="J37" s="2801" t="s">
        <v>15</v>
      </c>
      <c r="K37" s="2801" t="s">
        <v>15</v>
      </c>
      <c r="L37" s="2801" t="s">
        <v>15</v>
      </c>
    </row>
    <row r="38" spans="1:12" ht="8.25" customHeight="1" x14ac:dyDescent="0.25">
      <c r="A38" s="2802" t="s">
        <v>488</v>
      </c>
      <c r="B38" s="2802" t="s">
        <v>15</v>
      </c>
      <c r="C38" s="2802" t="s">
        <v>15</v>
      </c>
      <c r="D38" s="2802" t="s">
        <v>15</v>
      </c>
      <c r="E38" s="2802" t="s">
        <v>15</v>
      </c>
      <c r="F38" s="2802" t="s">
        <v>15</v>
      </c>
      <c r="G38" s="2802" t="s">
        <v>15</v>
      </c>
      <c r="H38" s="2802" t="s">
        <v>15</v>
      </c>
      <c r="I38" s="2802" t="s">
        <v>15</v>
      </c>
      <c r="J38" s="2802" t="s">
        <v>15</v>
      </c>
      <c r="K38" s="2802" t="s">
        <v>15</v>
      </c>
      <c r="L38" s="2802" t="s">
        <v>15</v>
      </c>
    </row>
    <row r="39" spans="1:12" ht="8.25" customHeight="1" x14ac:dyDescent="0.25">
      <c r="A39" s="2802" t="s">
        <v>489</v>
      </c>
      <c r="B39" s="2802" t="s">
        <v>15</v>
      </c>
      <c r="C39" s="2802" t="s">
        <v>15</v>
      </c>
      <c r="D39" s="2802" t="s">
        <v>15</v>
      </c>
      <c r="E39" s="2802" t="s">
        <v>15</v>
      </c>
      <c r="F39" s="2802" t="s">
        <v>15</v>
      </c>
      <c r="G39" s="2802" t="s">
        <v>15</v>
      </c>
      <c r="H39" s="2802" t="s">
        <v>15</v>
      </c>
      <c r="I39" s="2802" t="s">
        <v>15</v>
      </c>
      <c r="J39" s="2802" t="s">
        <v>15</v>
      </c>
      <c r="K39" s="2802" t="s">
        <v>15</v>
      </c>
      <c r="L39" s="2802" t="s">
        <v>15</v>
      </c>
    </row>
  </sheetData>
  <mergeCells count="5">
    <mergeCell ref="A2:L2"/>
    <mergeCell ref="K3:L3"/>
    <mergeCell ref="A37:L37"/>
    <mergeCell ref="A38:L38"/>
    <mergeCell ref="A39:L39"/>
  </mergeCells>
  <hyperlinks>
    <hyperlink ref="A1" location="ToC!A2" display="Back to Table of Contents" xr:uid="{2A9FEC42-1E23-49CE-A44D-205E46ACAB32}"/>
  </hyperlinks>
  <pageMargins left="0.5" right="0.5" top="0.5" bottom="0.5" header="0.25" footer="0.25"/>
  <pageSetup scale="86" orientation="landscape" r:id="rId1"/>
  <headerFooter>
    <oddFooter>&amp;L&amp;G&amp;C&amp;"Scotia,Regular"&amp;9Supplementary Financial Information (SFI)&amp;R10&amp;"Scotia,Regular"&amp;7</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383F4-0627-4FE8-9CEC-CFCAF77B87BB}">
  <sheetPr>
    <pageSetUpPr fitToPage="1"/>
  </sheetPr>
  <dimension ref="A1:L40"/>
  <sheetViews>
    <sheetView showGridLines="0" zoomScaleNormal="100" workbookViewId="0">
      <selection activeCell="A2" sqref="A2:L2"/>
    </sheetView>
  </sheetViews>
  <sheetFormatPr defaultColWidth="8.77734375" defaultRowHeight="13.2" x14ac:dyDescent="0.25"/>
  <cols>
    <col min="1" max="1" width="55.77734375" style="23" customWidth="1"/>
    <col min="2" max="10" width="8.21875" style="23" customWidth="1"/>
    <col min="11" max="12" width="9.5546875" style="23" customWidth="1"/>
    <col min="13" max="16384" width="8.77734375" style="23"/>
  </cols>
  <sheetData>
    <row r="1" spans="1:12" ht="19.95" customHeight="1" x14ac:dyDescent="0.25">
      <c r="A1" s="22" t="s">
        <v>12</v>
      </c>
    </row>
    <row r="2" spans="1:12" ht="25.05" customHeight="1" x14ac:dyDescent="0.25">
      <c r="A2" s="2874" t="s">
        <v>490</v>
      </c>
      <c r="B2" s="2874" t="s">
        <v>15</v>
      </c>
      <c r="C2" s="2874" t="s">
        <v>15</v>
      </c>
      <c r="D2" s="2874" t="s">
        <v>15</v>
      </c>
      <c r="E2" s="2874" t="s">
        <v>15</v>
      </c>
      <c r="F2" s="2874" t="s">
        <v>15</v>
      </c>
      <c r="G2" s="2874" t="s">
        <v>15</v>
      </c>
      <c r="H2" s="2874" t="s">
        <v>15</v>
      </c>
      <c r="I2" s="2874" t="s">
        <v>15</v>
      </c>
      <c r="J2" s="2874" t="s">
        <v>15</v>
      </c>
      <c r="K2" s="2874" t="s">
        <v>15</v>
      </c>
      <c r="L2" s="2874" t="s">
        <v>15</v>
      </c>
    </row>
    <row r="3" spans="1:12" ht="15.6" customHeight="1" x14ac:dyDescent="0.25">
      <c r="A3" s="1204"/>
      <c r="B3" s="1205"/>
      <c r="C3" s="1206"/>
      <c r="D3" s="1206"/>
      <c r="E3" s="1207"/>
      <c r="F3" s="863"/>
      <c r="G3" s="430"/>
      <c r="H3" s="430"/>
      <c r="I3" s="535"/>
      <c r="J3" s="864"/>
      <c r="K3" s="2863" t="s">
        <v>163</v>
      </c>
      <c r="L3" s="2864" t="s">
        <v>15</v>
      </c>
    </row>
    <row r="4" spans="1:12" ht="15.6" customHeight="1" x14ac:dyDescent="0.25">
      <c r="A4" s="1204" t="s">
        <v>265</v>
      </c>
      <c r="B4" s="1208" t="s">
        <v>165</v>
      </c>
      <c r="C4" s="363" t="s">
        <v>166</v>
      </c>
      <c r="D4" s="363" t="s">
        <v>167</v>
      </c>
      <c r="E4" s="361" t="s">
        <v>168</v>
      </c>
      <c r="F4" s="362" t="s">
        <v>169</v>
      </c>
      <c r="G4" s="363" t="s">
        <v>170</v>
      </c>
      <c r="H4" s="363" t="s">
        <v>171</v>
      </c>
      <c r="I4" s="361" t="s">
        <v>172</v>
      </c>
      <c r="J4" s="364" t="s">
        <v>173</v>
      </c>
      <c r="K4" s="1209">
        <v>2025</v>
      </c>
      <c r="L4" s="1210">
        <v>2024</v>
      </c>
    </row>
    <row r="5" spans="1:12" ht="15.6" customHeight="1" x14ac:dyDescent="0.25">
      <c r="A5" s="1211" t="s">
        <v>491</v>
      </c>
      <c r="B5" s="1208"/>
      <c r="C5" s="427"/>
      <c r="D5" s="363"/>
      <c r="E5" s="361"/>
      <c r="F5" s="1208"/>
      <c r="G5" s="427"/>
      <c r="H5" s="427"/>
      <c r="I5" s="1212"/>
      <c r="J5" s="1213"/>
      <c r="K5" s="1214"/>
      <c r="L5" s="1215"/>
    </row>
    <row r="6" spans="1:12" ht="15.6" customHeight="1" x14ac:dyDescent="0.25">
      <c r="A6" s="1216" t="s">
        <v>492</v>
      </c>
      <c r="B6" s="1217">
        <v>-4</v>
      </c>
      <c r="C6" s="1218">
        <v>24</v>
      </c>
      <c r="D6" s="1219">
        <v>23</v>
      </c>
      <c r="E6" s="1220">
        <v>-46</v>
      </c>
      <c r="F6" s="1221">
        <v>-77</v>
      </c>
      <c r="G6" s="1222">
        <v>-37</v>
      </c>
      <c r="H6" s="1222">
        <v>-63</v>
      </c>
      <c r="I6" s="1223">
        <v>-75</v>
      </c>
      <c r="J6" s="1224">
        <v>-69</v>
      </c>
      <c r="K6" s="1225">
        <v>-3</v>
      </c>
      <c r="L6" s="1222">
        <v>-252</v>
      </c>
    </row>
    <row r="7" spans="1:12" ht="15.6" customHeight="1" x14ac:dyDescent="0.25">
      <c r="A7" s="1226" t="s">
        <v>269</v>
      </c>
      <c r="B7" s="1227"/>
      <c r="C7" s="1128"/>
      <c r="D7" s="1111"/>
      <c r="E7" s="1228"/>
      <c r="F7" s="1229"/>
      <c r="G7" s="1115"/>
      <c r="H7" s="1115"/>
      <c r="I7" s="1230"/>
      <c r="J7" s="1231"/>
      <c r="K7" s="1232"/>
      <c r="L7" s="1115"/>
    </row>
    <row r="8" spans="1:12" ht="15.6" customHeight="1" x14ac:dyDescent="0.25">
      <c r="A8" s="1233" t="s">
        <v>478</v>
      </c>
      <c r="B8" s="1227">
        <v>461</v>
      </c>
      <c r="C8" s="1128">
        <v>463</v>
      </c>
      <c r="D8" s="1111">
        <v>405</v>
      </c>
      <c r="E8" s="1228">
        <v>655</v>
      </c>
      <c r="F8" s="1229">
        <v>410</v>
      </c>
      <c r="G8" s="1115">
        <v>375</v>
      </c>
      <c r="H8" s="1115">
        <v>387</v>
      </c>
      <c r="I8" s="1230">
        <v>514</v>
      </c>
      <c r="J8" s="1231">
        <v>305</v>
      </c>
      <c r="K8" s="1232">
        <v>1984</v>
      </c>
      <c r="L8" s="1115">
        <v>1686</v>
      </c>
    </row>
    <row r="9" spans="1:12" ht="15.6" customHeight="1" x14ac:dyDescent="0.25">
      <c r="A9" s="1233" t="s">
        <v>493</v>
      </c>
      <c r="B9" s="1227">
        <v>308</v>
      </c>
      <c r="C9" s="1128">
        <v>223</v>
      </c>
      <c r="D9" s="1111">
        <v>228</v>
      </c>
      <c r="E9" s="1228">
        <v>247</v>
      </c>
      <c r="F9" s="1229">
        <v>198</v>
      </c>
      <c r="G9" s="1115">
        <v>149</v>
      </c>
      <c r="H9" s="1115">
        <v>131</v>
      </c>
      <c r="I9" s="1230">
        <v>135</v>
      </c>
      <c r="J9" s="1231">
        <v>173</v>
      </c>
      <c r="K9" s="1232">
        <v>1006</v>
      </c>
      <c r="L9" s="1115">
        <v>613</v>
      </c>
    </row>
    <row r="10" spans="1:12" ht="15.6" customHeight="1" x14ac:dyDescent="0.25">
      <c r="A10" s="1226" t="s">
        <v>494</v>
      </c>
      <c r="B10" s="1227">
        <v>769</v>
      </c>
      <c r="C10" s="1128">
        <v>686</v>
      </c>
      <c r="D10" s="1111">
        <v>633</v>
      </c>
      <c r="E10" s="1228">
        <v>902</v>
      </c>
      <c r="F10" s="1229">
        <v>608</v>
      </c>
      <c r="G10" s="1115">
        <v>524</v>
      </c>
      <c r="H10" s="1115">
        <v>518</v>
      </c>
      <c r="I10" s="1230">
        <v>649</v>
      </c>
      <c r="J10" s="1231">
        <v>478</v>
      </c>
      <c r="K10" s="1232">
        <v>2990</v>
      </c>
      <c r="L10" s="1115">
        <v>2299</v>
      </c>
    </row>
    <row r="11" spans="1:12" ht="15.6" customHeight="1" x14ac:dyDescent="0.25">
      <c r="A11" s="1234" t="s">
        <v>495</v>
      </c>
      <c r="B11" s="1227">
        <v>765</v>
      </c>
      <c r="C11" s="1128">
        <v>710</v>
      </c>
      <c r="D11" s="1111">
        <v>656</v>
      </c>
      <c r="E11" s="1228">
        <v>856</v>
      </c>
      <c r="F11" s="1229">
        <v>531</v>
      </c>
      <c r="G11" s="1115">
        <v>487</v>
      </c>
      <c r="H11" s="1115">
        <v>455</v>
      </c>
      <c r="I11" s="1230">
        <v>574</v>
      </c>
      <c r="J11" s="1231">
        <v>409</v>
      </c>
      <c r="K11" s="1232">
        <v>2987</v>
      </c>
      <c r="L11" s="1115">
        <v>2047</v>
      </c>
    </row>
    <row r="12" spans="1:12" ht="15.6" customHeight="1" x14ac:dyDescent="0.25">
      <c r="A12" s="1234"/>
      <c r="B12" s="1235"/>
      <c r="C12" s="1236"/>
      <c r="D12" s="1237"/>
      <c r="E12" s="1228"/>
      <c r="F12" s="1238"/>
      <c r="G12" s="1133"/>
      <c r="H12" s="1133"/>
      <c r="I12" s="1239"/>
      <c r="J12" s="1240"/>
      <c r="K12" s="1241"/>
      <c r="L12" s="1133"/>
    </row>
    <row r="13" spans="1:12" ht="15.6" customHeight="1" x14ac:dyDescent="0.25">
      <c r="A13" s="1234" t="s">
        <v>496</v>
      </c>
      <c r="B13" s="1235"/>
      <c r="C13" s="1236"/>
      <c r="D13" s="1237"/>
      <c r="E13" s="1228"/>
      <c r="F13" s="1238"/>
      <c r="G13" s="1133"/>
      <c r="H13" s="1133"/>
      <c r="I13" s="1239"/>
      <c r="J13" s="1240"/>
      <c r="K13" s="1241"/>
      <c r="L13" s="1133"/>
    </row>
    <row r="14" spans="1:12" ht="15.6" customHeight="1" x14ac:dyDescent="0.25">
      <c r="A14" s="1233" t="s">
        <v>412</v>
      </c>
      <c r="B14" s="1227">
        <v>240</v>
      </c>
      <c r="C14" s="1128">
        <v>305</v>
      </c>
      <c r="D14" s="1111">
        <v>222</v>
      </c>
      <c r="E14" s="1228">
        <v>263</v>
      </c>
      <c r="F14" s="1229">
        <v>172</v>
      </c>
      <c r="G14" s="1115">
        <v>153</v>
      </c>
      <c r="H14" s="1115">
        <v>187</v>
      </c>
      <c r="I14" s="1230">
        <v>199</v>
      </c>
      <c r="J14" s="1231">
        <v>153</v>
      </c>
      <c r="K14" s="1232">
        <v>1030</v>
      </c>
      <c r="L14" s="1115">
        <v>711</v>
      </c>
    </row>
    <row r="15" spans="1:12" ht="15.6" customHeight="1" x14ac:dyDescent="0.25">
      <c r="A15" s="1233" t="s">
        <v>413</v>
      </c>
      <c r="B15" s="1227">
        <v>314</v>
      </c>
      <c r="C15" s="1128">
        <v>263</v>
      </c>
      <c r="D15" s="1111">
        <v>260</v>
      </c>
      <c r="E15" s="1228">
        <v>372</v>
      </c>
      <c r="F15" s="1229">
        <v>225</v>
      </c>
      <c r="G15" s="1115">
        <v>199</v>
      </c>
      <c r="H15" s="1115">
        <v>189</v>
      </c>
      <c r="I15" s="1230">
        <v>214</v>
      </c>
      <c r="J15" s="1231">
        <v>224</v>
      </c>
      <c r="K15" s="1232">
        <v>1209</v>
      </c>
      <c r="L15" s="1115">
        <v>827</v>
      </c>
    </row>
    <row r="16" spans="1:12" ht="15.6" customHeight="1" x14ac:dyDescent="0.25">
      <c r="A16" s="1233" t="s">
        <v>497</v>
      </c>
      <c r="B16" s="1227">
        <v>211</v>
      </c>
      <c r="C16" s="1128">
        <v>142</v>
      </c>
      <c r="D16" s="1111">
        <v>174</v>
      </c>
      <c r="E16" s="1228">
        <v>221</v>
      </c>
      <c r="F16" s="1229">
        <v>134</v>
      </c>
      <c r="G16" s="1115">
        <v>135</v>
      </c>
      <c r="H16" s="1115">
        <v>79</v>
      </c>
      <c r="I16" s="1230">
        <v>161</v>
      </c>
      <c r="J16" s="1231">
        <v>32</v>
      </c>
      <c r="K16" s="1232">
        <v>748</v>
      </c>
      <c r="L16" s="1115">
        <v>509</v>
      </c>
    </row>
    <row r="17" spans="1:12" ht="15.6" customHeight="1" x14ac:dyDescent="0.25">
      <c r="A17" s="1234" t="s">
        <v>496</v>
      </c>
      <c r="B17" s="1227">
        <v>765</v>
      </c>
      <c r="C17" s="1128">
        <v>710</v>
      </c>
      <c r="D17" s="1111">
        <v>656</v>
      </c>
      <c r="E17" s="1228">
        <v>856</v>
      </c>
      <c r="F17" s="1229">
        <v>531</v>
      </c>
      <c r="G17" s="1115">
        <v>487</v>
      </c>
      <c r="H17" s="1115">
        <v>455</v>
      </c>
      <c r="I17" s="1230">
        <v>574</v>
      </c>
      <c r="J17" s="1231">
        <v>409</v>
      </c>
      <c r="K17" s="1232">
        <v>2987</v>
      </c>
      <c r="L17" s="1115">
        <v>2047</v>
      </c>
    </row>
    <row r="18" spans="1:12" ht="15.6" customHeight="1" x14ac:dyDescent="0.25">
      <c r="A18" s="1226" t="s">
        <v>498</v>
      </c>
      <c r="B18" s="1227">
        <v>0</v>
      </c>
      <c r="C18" s="1128">
        <v>0</v>
      </c>
      <c r="D18" s="1111">
        <v>0</v>
      </c>
      <c r="E18" s="1228">
        <v>0</v>
      </c>
      <c r="F18" s="1229">
        <v>2</v>
      </c>
      <c r="G18" s="1115">
        <v>5</v>
      </c>
      <c r="H18" s="1115">
        <v>4</v>
      </c>
      <c r="I18" s="1230">
        <v>41</v>
      </c>
      <c r="J18" s="1231">
        <v>108</v>
      </c>
      <c r="K18" s="1232">
        <v>0</v>
      </c>
      <c r="L18" s="1115">
        <v>52</v>
      </c>
    </row>
    <row r="19" spans="1:12" ht="15.6" customHeight="1" x14ac:dyDescent="0.25">
      <c r="A19" s="1234" t="s">
        <v>499</v>
      </c>
      <c r="B19" s="1227">
        <v>765</v>
      </c>
      <c r="C19" s="1128">
        <v>710</v>
      </c>
      <c r="D19" s="1111">
        <v>656</v>
      </c>
      <c r="E19" s="1228">
        <v>856</v>
      </c>
      <c r="F19" s="1229">
        <v>529</v>
      </c>
      <c r="G19" s="1115">
        <v>482</v>
      </c>
      <c r="H19" s="1115">
        <v>451</v>
      </c>
      <c r="I19" s="1230">
        <v>533</v>
      </c>
      <c r="J19" s="1231">
        <v>301</v>
      </c>
      <c r="K19" s="1232">
        <v>2987</v>
      </c>
      <c r="L19" s="1115">
        <v>1995</v>
      </c>
    </row>
    <row r="20" spans="1:12" ht="15.6" customHeight="1" x14ac:dyDescent="0.25">
      <c r="A20" s="1242"/>
      <c r="B20" s="1243"/>
      <c r="C20" s="1244"/>
      <c r="D20" s="1245"/>
      <c r="E20" s="1246"/>
      <c r="F20" s="1247"/>
      <c r="G20" s="1248"/>
      <c r="H20" s="1249"/>
      <c r="I20" s="1250"/>
      <c r="J20" s="1251"/>
      <c r="K20" s="1252"/>
      <c r="L20" s="1249"/>
    </row>
    <row r="21" spans="1:12" ht="15.6" customHeight="1" x14ac:dyDescent="0.25">
      <c r="A21" s="1211" t="s">
        <v>500</v>
      </c>
      <c r="B21" s="1253"/>
      <c r="C21" s="1254"/>
      <c r="D21" s="1255"/>
      <c r="E21" s="1256"/>
      <c r="F21" s="1257"/>
      <c r="G21" s="1258"/>
      <c r="H21" s="1258"/>
      <c r="I21" s="1259"/>
      <c r="J21" s="1260"/>
      <c r="K21" s="429"/>
      <c r="L21" s="1261"/>
    </row>
    <row r="22" spans="1:12" ht="15.6" customHeight="1" x14ac:dyDescent="0.25">
      <c r="A22" s="1262" t="s">
        <v>501</v>
      </c>
      <c r="B22" s="1263">
        <v>283.60000000000002</v>
      </c>
      <c r="C22" s="1264">
        <v>262.60000000000002</v>
      </c>
      <c r="D22" s="1265">
        <v>242.5</v>
      </c>
      <c r="E22" s="1266">
        <v>257.2</v>
      </c>
      <c r="F22" s="1267">
        <v>242.9</v>
      </c>
      <c r="G22" s="1268">
        <v>234.4</v>
      </c>
      <c r="H22" s="1268">
        <v>221.6</v>
      </c>
      <c r="I22" s="1269">
        <v>214.4</v>
      </c>
      <c r="J22" s="1270">
        <v>198.3</v>
      </c>
      <c r="K22" s="1271"/>
      <c r="L22" s="1272"/>
    </row>
    <row r="23" spans="1:12" ht="15" customHeight="1" x14ac:dyDescent="0.25">
      <c r="A23" s="1233" t="s">
        <v>502</v>
      </c>
      <c r="B23" s="1273">
        <v>209.5</v>
      </c>
      <c r="C23" s="1274">
        <v>204.5</v>
      </c>
      <c r="D23" s="1275">
        <v>199.3</v>
      </c>
      <c r="E23" s="1276">
        <v>203</v>
      </c>
      <c r="F23" s="1277">
        <v>198.6</v>
      </c>
      <c r="G23" s="1278">
        <v>199.2</v>
      </c>
      <c r="H23" s="1278">
        <v>194.5</v>
      </c>
      <c r="I23" s="1279">
        <v>191.7</v>
      </c>
      <c r="J23" s="1280">
        <v>180.5</v>
      </c>
      <c r="K23" s="1281"/>
      <c r="L23" s="1282"/>
    </row>
    <row r="24" spans="1:12" ht="15" customHeight="1" x14ac:dyDescent="0.25">
      <c r="A24" s="1226" t="s">
        <v>503</v>
      </c>
      <c r="B24" s="1273">
        <v>493.1</v>
      </c>
      <c r="C24" s="1274">
        <v>467.1</v>
      </c>
      <c r="D24" s="1275">
        <v>441.8</v>
      </c>
      <c r="E24" s="1276">
        <v>460.2</v>
      </c>
      <c r="F24" s="1277">
        <v>441.5</v>
      </c>
      <c r="G24" s="1278">
        <v>433.6</v>
      </c>
      <c r="H24" s="1278">
        <v>416.1</v>
      </c>
      <c r="I24" s="1279">
        <v>406.1</v>
      </c>
      <c r="J24" s="1280">
        <v>378.8</v>
      </c>
      <c r="K24" s="1281"/>
      <c r="L24" s="1282"/>
    </row>
    <row r="25" spans="1:12" ht="15" customHeight="1" x14ac:dyDescent="0.25">
      <c r="A25" s="1226" t="s">
        <v>504</v>
      </c>
      <c r="B25" s="1273">
        <v>269.5</v>
      </c>
      <c r="C25" s="1274">
        <v>252.2</v>
      </c>
      <c r="D25" s="1275">
        <v>235.8</v>
      </c>
      <c r="E25" s="1276">
        <v>246.9</v>
      </c>
      <c r="F25" s="1277">
        <v>233.7</v>
      </c>
      <c r="G25" s="1278">
        <v>228.8</v>
      </c>
      <c r="H25" s="1278">
        <v>221.4</v>
      </c>
      <c r="I25" s="1279">
        <v>214.5</v>
      </c>
      <c r="J25" s="1280">
        <v>201.5</v>
      </c>
      <c r="K25" s="1281"/>
      <c r="L25" s="1282"/>
    </row>
    <row r="26" spans="1:12" ht="15" customHeight="1" x14ac:dyDescent="0.25">
      <c r="A26" s="1226" t="s">
        <v>505</v>
      </c>
      <c r="B26" s="1273">
        <v>105.7</v>
      </c>
      <c r="C26" s="1274">
        <v>105.8</v>
      </c>
      <c r="D26" s="1275">
        <v>101.5</v>
      </c>
      <c r="E26" s="1276">
        <v>100.4</v>
      </c>
      <c r="F26" s="1277">
        <v>96.3</v>
      </c>
      <c r="G26" s="1278">
        <v>98.6</v>
      </c>
      <c r="H26" s="1278">
        <v>101.4</v>
      </c>
      <c r="I26" s="1279">
        <v>95.3</v>
      </c>
      <c r="J26" s="1280">
        <v>93.3</v>
      </c>
      <c r="K26" s="1281"/>
      <c r="L26" s="1282"/>
    </row>
    <row r="27" spans="1:12" ht="15" customHeight="1" x14ac:dyDescent="0.25">
      <c r="A27" s="1234" t="s">
        <v>506</v>
      </c>
      <c r="B27" s="1273">
        <v>868.3</v>
      </c>
      <c r="C27" s="1274">
        <v>825.1</v>
      </c>
      <c r="D27" s="1275">
        <v>779.1</v>
      </c>
      <c r="E27" s="1276">
        <v>807.5</v>
      </c>
      <c r="F27" s="1277">
        <v>771.5</v>
      </c>
      <c r="G27" s="1278">
        <v>761</v>
      </c>
      <c r="H27" s="1278">
        <v>738.9</v>
      </c>
      <c r="I27" s="1279">
        <v>715.9</v>
      </c>
      <c r="J27" s="1280">
        <v>673.6</v>
      </c>
      <c r="K27" s="1281"/>
      <c r="L27" s="1282"/>
    </row>
    <row r="28" spans="1:12" ht="15" customHeight="1" x14ac:dyDescent="0.25">
      <c r="A28" s="1242"/>
      <c r="B28" s="1283"/>
      <c r="C28" s="1284"/>
      <c r="D28" s="1285"/>
      <c r="E28" s="1286"/>
      <c r="F28" s="1287"/>
      <c r="G28" s="1288"/>
      <c r="H28" s="1288"/>
      <c r="I28" s="1289"/>
      <c r="J28" s="1290"/>
      <c r="K28" s="1291"/>
      <c r="L28" s="1249"/>
    </row>
    <row r="29" spans="1:12" ht="15" customHeight="1" x14ac:dyDescent="0.25">
      <c r="A29" s="1211" t="s">
        <v>507</v>
      </c>
      <c r="B29" s="1253"/>
      <c r="C29" s="1254"/>
      <c r="D29" s="1255"/>
      <c r="E29" s="1292"/>
      <c r="F29" s="1257"/>
      <c r="G29" s="1258"/>
      <c r="H29" s="1258"/>
      <c r="I29" s="1259"/>
      <c r="J29" s="1260"/>
      <c r="K29" s="1293"/>
      <c r="L29" s="1261"/>
    </row>
    <row r="30" spans="1:12" ht="15" customHeight="1" x14ac:dyDescent="0.25">
      <c r="A30" s="1216" t="s">
        <v>503</v>
      </c>
      <c r="B30" s="1294">
        <v>121.5</v>
      </c>
      <c r="C30" s="1295">
        <v>113.1</v>
      </c>
      <c r="D30" s="1296">
        <v>104.8</v>
      </c>
      <c r="E30" s="1266">
        <v>107.2</v>
      </c>
      <c r="F30" s="1267">
        <v>100.1</v>
      </c>
      <c r="G30" s="1268">
        <v>96.5</v>
      </c>
      <c r="H30" s="1268">
        <v>89.4</v>
      </c>
      <c r="I30" s="1269">
        <v>86.8</v>
      </c>
      <c r="J30" s="1270">
        <v>79.8</v>
      </c>
      <c r="K30" s="1271"/>
      <c r="L30" s="1272"/>
    </row>
    <row r="31" spans="1:12" ht="15" customHeight="1" x14ac:dyDescent="0.25">
      <c r="A31" s="1226" t="s">
        <v>504</v>
      </c>
      <c r="B31" s="1297">
        <v>253.8</v>
      </c>
      <c r="C31" s="1298">
        <v>236.9</v>
      </c>
      <c r="D31" s="1299">
        <v>220.9</v>
      </c>
      <c r="E31" s="1276">
        <v>230</v>
      </c>
      <c r="F31" s="1277">
        <v>217.1</v>
      </c>
      <c r="G31" s="1278">
        <v>212.5</v>
      </c>
      <c r="H31" s="1278">
        <v>204.2</v>
      </c>
      <c r="I31" s="1279">
        <v>198.3</v>
      </c>
      <c r="J31" s="1280">
        <v>186.2</v>
      </c>
      <c r="K31" s="1281"/>
      <c r="L31" s="1282"/>
    </row>
    <row r="32" spans="1:12" ht="15" customHeight="1" x14ac:dyDescent="0.25">
      <c r="A32" s="1226" t="s">
        <v>505</v>
      </c>
      <c r="B32" s="1297">
        <v>57.1</v>
      </c>
      <c r="C32" s="1298">
        <v>57</v>
      </c>
      <c r="D32" s="1299">
        <v>54.3</v>
      </c>
      <c r="E32" s="1276">
        <v>58.3</v>
      </c>
      <c r="F32" s="1277">
        <v>55.8</v>
      </c>
      <c r="G32" s="1278">
        <v>54.9</v>
      </c>
      <c r="H32" s="1278">
        <v>55</v>
      </c>
      <c r="I32" s="1279">
        <v>54.5</v>
      </c>
      <c r="J32" s="1280">
        <v>50.6</v>
      </c>
      <c r="K32" s="1300"/>
      <c r="L32" s="1282"/>
    </row>
    <row r="33" spans="1:12" ht="15" customHeight="1" x14ac:dyDescent="0.25">
      <c r="A33" s="1301" t="s">
        <v>506</v>
      </c>
      <c r="B33" s="1302">
        <v>432.4</v>
      </c>
      <c r="C33" s="1284">
        <v>407</v>
      </c>
      <c r="D33" s="1285">
        <v>379.9</v>
      </c>
      <c r="E33" s="1286">
        <v>395.5</v>
      </c>
      <c r="F33" s="1303">
        <v>373</v>
      </c>
      <c r="G33" s="1304">
        <v>363.9</v>
      </c>
      <c r="H33" s="1304">
        <v>348.6</v>
      </c>
      <c r="I33" s="1305">
        <v>339.6</v>
      </c>
      <c r="J33" s="1306">
        <v>316.60000000000002</v>
      </c>
      <c r="K33" s="1307"/>
      <c r="L33" s="1308"/>
    </row>
    <row r="34" spans="1:12" ht="12" customHeight="1" x14ac:dyDescent="0.25">
      <c r="A34" s="1309"/>
      <c r="B34" s="1310"/>
      <c r="C34" s="1311"/>
      <c r="D34" s="1310"/>
      <c r="E34" s="1310"/>
      <c r="F34" s="1310"/>
      <c r="G34" s="1310"/>
      <c r="H34" s="1310"/>
      <c r="I34" s="1310"/>
      <c r="J34" s="1310"/>
      <c r="K34" s="1310"/>
      <c r="L34" s="1310"/>
    </row>
    <row r="35" spans="1:12" ht="18.600000000000001" customHeight="1" x14ac:dyDescent="0.25">
      <c r="A35" s="2875" t="s">
        <v>508</v>
      </c>
      <c r="B35" s="2876" t="s">
        <v>15</v>
      </c>
      <c r="C35" s="2876" t="s">
        <v>15</v>
      </c>
      <c r="D35" s="2876" t="s">
        <v>15</v>
      </c>
      <c r="E35" s="2876" t="s">
        <v>15</v>
      </c>
      <c r="F35" s="2876" t="s">
        <v>15</v>
      </c>
      <c r="G35" s="2876" t="s">
        <v>15</v>
      </c>
      <c r="H35" s="2876" t="s">
        <v>15</v>
      </c>
      <c r="I35" s="2876" t="s">
        <v>15</v>
      </c>
      <c r="J35" s="2876" t="s">
        <v>15</v>
      </c>
      <c r="K35" s="2876" t="s">
        <v>15</v>
      </c>
      <c r="L35" s="2876" t="s">
        <v>15</v>
      </c>
    </row>
    <row r="36" spans="1:12" ht="10.35" customHeight="1" x14ac:dyDescent="0.25">
      <c r="A36" s="2802" t="s">
        <v>509</v>
      </c>
      <c r="B36" s="2802" t="s">
        <v>15</v>
      </c>
      <c r="C36" s="2802" t="s">
        <v>15</v>
      </c>
      <c r="D36" s="2802" t="s">
        <v>15</v>
      </c>
      <c r="E36" s="2802" t="s">
        <v>15</v>
      </c>
      <c r="F36" s="2802" t="s">
        <v>15</v>
      </c>
      <c r="G36" s="2802" t="s">
        <v>15</v>
      </c>
      <c r="H36" s="2802" t="s">
        <v>15</v>
      </c>
      <c r="I36" s="2802" t="s">
        <v>15</v>
      </c>
      <c r="J36" s="2802" t="s">
        <v>15</v>
      </c>
      <c r="K36" s="2802" t="s">
        <v>15</v>
      </c>
      <c r="L36" s="2802" t="s">
        <v>15</v>
      </c>
    </row>
    <row r="37" spans="1:12" ht="10.35" customHeight="1" x14ac:dyDescent="0.25">
      <c r="A37" s="2802" t="s">
        <v>510</v>
      </c>
      <c r="B37" s="2802" t="s">
        <v>15</v>
      </c>
      <c r="C37" s="2802" t="s">
        <v>15</v>
      </c>
      <c r="D37" s="2802" t="s">
        <v>15</v>
      </c>
      <c r="E37" s="2802" t="s">
        <v>15</v>
      </c>
      <c r="F37" s="2802" t="s">
        <v>15</v>
      </c>
      <c r="G37" s="2802" t="s">
        <v>15</v>
      </c>
      <c r="H37" s="2802" t="s">
        <v>15</v>
      </c>
      <c r="I37" s="2802" t="s">
        <v>15</v>
      </c>
      <c r="J37" s="2802" t="s">
        <v>15</v>
      </c>
      <c r="K37" s="2802" t="s">
        <v>15</v>
      </c>
      <c r="L37" s="2802" t="s">
        <v>15</v>
      </c>
    </row>
    <row r="38" spans="1:12" ht="10.35" customHeight="1" x14ac:dyDescent="0.25">
      <c r="A38" s="2802" t="s">
        <v>511</v>
      </c>
      <c r="B38" s="2802" t="s">
        <v>15</v>
      </c>
      <c r="C38" s="2802" t="s">
        <v>15</v>
      </c>
      <c r="D38" s="2802" t="s">
        <v>15</v>
      </c>
      <c r="E38" s="2802" t="s">
        <v>15</v>
      </c>
      <c r="F38" s="2802" t="s">
        <v>15</v>
      </c>
      <c r="G38" s="2802" t="s">
        <v>15</v>
      </c>
      <c r="H38" s="2802" t="s">
        <v>15</v>
      </c>
      <c r="I38" s="2802" t="s">
        <v>15</v>
      </c>
      <c r="J38" s="2802" t="s">
        <v>15</v>
      </c>
      <c r="K38" s="2802" t="s">
        <v>15</v>
      </c>
      <c r="L38" s="2802" t="s">
        <v>15</v>
      </c>
    </row>
    <row r="39" spans="1:12" ht="10.35" customHeight="1" x14ac:dyDescent="0.25">
      <c r="A39" s="2802" t="s">
        <v>512</v>
      </c>
      <c r="B39" s="2802" t="s">
        <v>15</v>
      </c>
      <c r="C39" s="2802" t="s">
        <v>15</v>
      </c>
      <c r="D39" s="2802" t="s">
        <v>15</v>
      </c>
      <c r="E39" s="2802" t="s">
        <v>15</v>
      </c>
      <c r="F39" s="2802" t="s">
        <v>15</v>
      </c>
      <c r="G39" s="2802" t="s">
        <v>15</v>
      </c>
      <c r="H39" s="2802" t="s">
        <v>15</v>
      </c>
      <c r="I39" s="2802" t="s">
        <v>15</v>
      </c>
      <c r="J39" s="2802" t="s">
        <v>15</v>
      </c>
      <c r="K39" s="2802" t="s">
        <v>15</v>
      </c>
      <c r="L39" s="2802" t="s">
        <v>15</v>
      </c>
    </row>
    <row r="40" spans="1:12" ht="10.35" customHeight="1" x14ac:dyDescent="0.25">
      <c r="A40" s="2802"/>
      <c r="B40" s="2802" t="s">
        <v>15</v>
      </c>
      <c r="C40" s="2802" t="s">
        <v>15</v>
      </c>
      <c r="D40" s="2802" t="s">
        <v>15</v>
      </c>
      <c r="E40" s="2802" t="s">
        <v>15</v>
      </c>
      <c r="F40" s="2802" t="s">
        <v>15</v>
      </c>
      <c r="G40" s="2802" t="s">
        <v>15</v>
      </c>
      <c r="H40" s="2802" t="s">
        <v>15</v>
      </c>
      <c r="I40" s="2802" t="s">
        <v>15</v>
      </c>
      <c r="J40" s="2802" t="s">
        <v>15</v>
      </c>
      <c r="K40" s="2802" t="s">
        <v>15</v>
      </c>
      <c r="L40" s="2802" t="s">
        <v>15</v>
      </c>
    </row>
  </sheetData>
  <mergeCells count="8">
    <mergeCell ref="A39:L39"/>
    <mergeCell ref="A40:L40"/>
    <mergeCell ref="A2:L2"/>
    <mergeCell ref="K3:L3"/>
    <mergeCell ref="A35:L35"/>
    <mergeCell ref="A36:L36"/>
    <mergeCell ref="A37:L37"/>
    <mergeCell ref="A38:L38"/>
  </mergeCells>
  <hyperlinks>
    <hyperlink ref="A1" location="ToC!A2" display="Back to Table of Contents" xr:uid="{15AFD525-A935-4C31-9C95-56A3BFF05B99}"/>
  </hyperlinks>
  <pageMargins left="0.5" right="0.5" top="0.5" bottom="0.5" header="0.25" footer="0.25"/>
  <pageSetup scale="85" orientation="landscape" r:id="rId1"/>
  <headerFooter>
    <oddFooter>&amp;L&amp;G&amp;C&amp;"Scotia,Regular"&amp;9Supplementary Financial Information (SFI)&amp;R11&amp;"Scotia,Regular"&amp;7</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F80B-2198-4340-A99A-4C67572A4309}">
  <sheetPr>
    <pageSetUpPr fitToPage="1"/>
  </sheetPr>
  <dimension ref="A1:L58"/>
  <sheetViews>
    <sheetView showGridLines="0" zoomScaleNormal="100" workbookViewId="0"/>
  </sheetViews>
  <sheetFormatPr defaultColWidth="8.77734375" defaultRowHeight="13.2" x14ac:dyDescent="0.25"/>
  <cols>
    <col min="1" max="1" width="53.5546875" style="23" customWidth="1"/>
    <col min="2" max="12" width="12.5546875" style="23" customWidth="1"/>
    <col min="13" max="16384" width="8.77734375" style="23"/>
  </cols>
  <sheetData>
    <row r="1" spans="1:12" ht="19.95" customHeight="1" x14ac:dyDescent="0.25">
      <c r="A1" s="22" t="s">
        <v>12</v>
      </c>
    </row>
    <row r="2" spans="1:12" ht="25.5" customHeight="1" x14ac:dyDescent="0.25">
      <c r="A2" s="2873" t="s">
        <v>513</v>
      </c>
      <c r="B2" s="2873" t="s">
        <v>15</v>
      </c>
      <c r="C2" s="2873" t="s">
        <v>15</v>
      </c>
      <c r="D2" s="2873" t="s">
        <v>15</v>
      </c>
      <c r="E2" s="2873" t="s">
        <v>15</v>
      </c>
      <c r="F2" s="2873" t="s">
        <v>15</v>
      </c>
      <c r="G2" s="2873" t="s">
        <v>15</v>
      </c>
      <c r="H2" s="2873" t="s">
        <v>15</v>
      </c>
      <c r="I2" s="2873" t="s">
        <v>15</v>
      </c>
      <c r="J2" s="2873" t="s">
        <v>15</v>
      </c>
      <c r="K2" s="2873" t="s">
        <v>15</v>
      </c>
      <c r="L2" s="2873" t="s">
        <v>15</v>
      </c>
    </row>
    <row r="3" spans="1:12" ht="14.1" customHeight="1" x14ac:dyDescent="0.25">
      <c r="A3" s="1176"/>
      <c r="B3" s="1080"/>
      <c r="C3" s="1081"/>
      <c r="D3" s="1081"/>
      <c r="E3" s="1082"/>
      <c r="F3" s="1083"/>
      <c r="G3" s="1084"/>
      <c r="H3" s="1084"/>
      <c r="I3" s="1085"/>
      <c r="J3" s="1312"/>
      <c r="K3" s="2871" t="s">
        <v>163</v>
      </c>
      <c r="L3" s="2872" t="s">
        <v>15</v>
      </c>
    </row>
    <row r="4" spans="1:12" ht="14.1" customHeight="1" x14ac:dyDescent="0.25">
      <c r="A4" s="1176" t="s">
        <v>265</v>
      </c>
      <c r="B4" s="1088" t="s">
        <v>165</v>
      </c>
      <c r="C4" s="1089" t="s">
        <v>166</v>
      </c>
      <c r="D4" s="1089" t="s">
        <v>167</v>
      </c>
      <c r="E4" s="1090" t="s">
        <v>168</v>
      </c>
      <c r="F4" s="1091" t="s">
        <v>169</v>
      </c>
      <c r="G4" s="1089" t="s">
        <v>170</v>
      </c>
      <c r="H4" s="1089" t="s">
        <v>171</v>
      </c>
      <c r="I4" s="1090" t="s">
        <v>172</v>
      </c>
      <c r="J4" s="1092" t="s">
        <v>173</v>
      </c>
      <c r="K4" s="1180">
        <v>2025</v>
      </c>
      <c r="L4" s="1178">
        <v>2024</v>
      </c>
    </row>
    <row r="5" spans="1:12" ht="14.1" customHeight="1" x14ac:dyDescent="0.25">
      <c r="A5" s="1313" t="s">
        <v>514</v>
      </c>
      <c r="B5" s="1314"/>
      <c r="C5" s="1315"/>
      <c r="D5" s="1315"/>
      <c r="E5" s="1316"/>
      <c r="F5" s="1317"/>
      <c r="G5" s="1315"/>
      <c r="H5" s="1315"/>
      <c r="I5" s="1316"/>
      <c r="J5" s="1318"/>
      <c r="K5" s="1317"/>
      <c r="L5" s="1315"/>
    </row>
    <row r="6" spans="1:12" ht="14.1" customHeight="1" x14ac:dyDescent="0.25">
      <c r="A6" s="1199" t="s">
        <v>515</v>
      </c>
      <c r="B6" s="1187">
        <v>1580</v>
      </c>
      <c r="C6" s="1128">
        <v>1512</v>
      </c>
      <c r="D6" s="1319">
        <v>1483</v>
      </c>
      <c r="E6" s="1113">
        <v>1465</v>
      </c>
      <c r="F6" s="1114">
        <v>1467</v>
      </c>
      <c r="G6" s="1115">
        <v>1447</v>
      </c>
      <c r="H6" s="1115">
        <v>1378</v>
      </c>
      <c r="I6" s="1117">
        <v>1371</v>
      </c>
      <c r="J6" s="1118">
        <v>1461</v>
      </c>
      <c r="K6" s="1320">
        <v>6040</v>
      </c>
      <c r="L6" s="1115">
        <v>5663</v>
      </c>
    </row>
    <row r="7" spans="1:12" ht="14.1" customHeight="1" x14ac:dyDescent="0.25">
      <c r="A7" s="1199" t="s">
        <v>516</v>
      </c>
      <c r="B7" s="1187">
        <v>726</v>
      </c>
      <c r="C7" s="1128">
        <v>655</v>
      </c>
      <c r="D7" s="1319">
        <v>598</v>
      </c>
      <c r="E7" s="1113">
        <v>612</v>
      </c>
      <c r="F7" s="1114">
        <v>582</v>
      </c>
      <c r="G7" s="1115">
        <v>500</v>
      </c>
      <c r="H7" s="1115">
        <v>577</v>
      </c>
      <c r="I7" s="1117">
        <v>511</v>
      </c>
      <c r="J7" s="1118">
        <v>534</v>
      </c>
      <c r="K7" s="1320">
        <v>2591</v>
      </c>
      <c r="L7" s="1115">
        <v>2170</v>
      </c>
    </row>
    <row r="8" spans="1:12" ht="14.1" customHeight="1" x14ac:dyDescent="0.25">
      <c r="A8" s="1199" t="s">
        <v>517</v>
      </c>
      <c r="B8" s="1187">
        <v>77</v>
      </c>
      <c r="C8" s="1128">
        <v>85</v>
      </c>
      <c r="D8" s="1319">
        <v>85</v>
      </c>
      <c r="E8" s="1113">
        <v>160</v>
      </c>
      <c r="F8" s="1114">
        <v>67</v>
      </c>
      <c r="G8" s="1115">
        <v>79</v>
      </c>
      <c r="H8" s="1115">
        <v>65</v>
      </c>
      <c r="I8" s="1117">
        <v>160</v>
      </c>
      <c r="J8" s="1118">
        <v>76</v>
      </c>
      <c r="K8" s="1320">
        <v>407</v>
      </c>
      <c r="L8" s="1115">
        <v>371</v>
      </c>
    </row>
    <row r="9" spans="1:12" ht="14.1" customHeight="1" x14ac:dyDescent="0.25">
      <c r="A9" s="1199" t="s">
        <v>518</v>
      </c>
      <c r="B9" s="1187">
        <v>429</v>
      </c>
      <c r="C9" s="1128">
        <v>410</v>
      </c>
      <c r="D9" s="1319">
        <v>475</v>
      </c>
      <c r="E9" s="1113">
        <v>472</v>
      </c>
      <c r="F9" s="1114">
        <v>383</v>
      </c>
      <c r="G9" s="1115">
        <v>429</v>
      </c>
      <c r="H9" s="1115">
        <v>435</v>
      </c>
      <c r="I9" s="1117">
        <v>404</v>
      </c>
      <c r="J9" s="1118">
        <v>380</v>
      </c>
      <c r="K9" s="1320">
        <v>1786</v>
      </c>
      <c r="L9" s="1115">
        <v>1651</v>
      </c>
    </row>
    <row r="10" spans="1:12" ht="14.1" customHeight="1" x14ac:dyDescent="0.25">
      <c r="A10" s="1188" t="s">
        <v>519</v>
      </c>
      <c r="B10" s="1187">
        <v>2812</v>
      </c>
      <c r="C10" s="1128">
        <v>2662</v>
      </c>
      <c r="D10" s="1319">
        <v>2641</v>
      </c>
      <c r="E10" s="1113">
        <v>2709</v>
      </c>
      <c r="F10" s="1114">
        <v>2499</v>
      </c>
      <c r="G10" s="1115">
        <v>2455</v>
      </c>
      <c r="H10" s="1115">
        <v>2455</v>
      </c>
      <c r="I10" s="1117">
        <v>2446</v>
      </c>
      <c r="J10" s="1118">
        <v>2451</v>
      </c>
      <c r="K10" s="1320">
        <v>10824</v>
      </c>
      <c r="L10" s="1115">
        <v>9855</v>
      </c>
    </row>
    <row r="11" spans="1:12" ht="14.1" customHeight="1" x14ac:dyDescent="0.25">
      <c r="A11" s="1189"/>
      <c r="B11" s="1321"/>
      <c r="C11" s="1236"/>
      <c r="D11" s="1322"/>
      <c r="E11" s="1131"/>
      <c r="F11" s="1132"/>
      <c r="G11" s="1133"/>
      <c r="H11" s="1133"/>
      <c r="I11" s="1134"/>
      <c r="J11" s="1135"/>
      <c r="K11" s="1323"/>
      <c r="L11" s="1133"/>
    </row>
    <row r="12" spans="1:12" ht="14.1" customHeight="1" x14ac:dyDescent="0.25">
      <c r="A12" s="1189" t="s">
        <v>520</v>
      </c>
      <c r="B12" s="1321"/>
      <c r="C12" s="1236"/>
      <c r="D12" s="1322"/>
      <c r="E12" s="1131"/>
      <c r="F12" s="1132"/>
      <c r="G12" s="1133"/>
      <c r="H12" s="1133"/>
      <c r="I12" s="1134"/>
      <c r="J12" s="1135"/>
      <c r="K12" s="1323"/>
      <c r="L12" s="1133"/>
    </row>
    <row r="13" spans="1:12" ht="14.1" customHeight="1" x14ac:dyDescent="0.25">
      <c r="A13" s="1199" t="s">
        <v>521</v>
      </c>
      <c r="B13" s="1187">
        <v>-3</v>
      </c>
      <c r="C13" s="1128">
        <v>0</v>
      </c>
      <c r="D13" s="1319">
        <v>2</v>
      </c>
      <c r="E13" s="1113">
        <v>6</v>
      </c>
      <c r="F13" s="1114">
        <v>3</v>
      </c>
      <c r="G13" s="1115">
        <v>2</v>
      </c>
      <c r="H13" s="1115">
        <v>2</v>
      </c>
      <c r="I13" s="1117">
        <v>2</v>
      </c>
      <c r="J13" s="1118">
        <v>2</v>
      </c>
      <c r="K13" s="1320">
        <v>5</v>
      </c>
      <c r="L13" s="1115">
        <v>9</v>
      </c>
    </row>
    <row r="14" spans="1:12" ht="14.1" customHeight="1" x14ac:dyDescent="0.25">
      <c r="A14" s="1199" t="s">
        <v>522</v>
      </c>
      <c r="B14" s="1187">
        <v>23</v>
      </c>
      <c r="C14" s="1128">
        <v>26</v>
      </c>
      <c r="D14" s="1319">
        <v>26</v>
      </c>
      <c r="E14" s="1113">
        <v>21</v>
      </c>
      <c r="F14" s="1114">
        <v>23</v>
      </c>
      <c r="G14" s="1115">
        <v>27</v>
      </c>
      <c r="H14" s="1115">
        <v>25</v>
      </c>
      <c r="I14" s="1117">
        <v>22</v>
      </c>
      <c r="J14" s="1118">
        <v>24</v>
      </c>
      <c r="K14" s="1320">
        <v>96</v>
      </c>
      <c r="L14" s="1115">
        <v>97</v>
      </c>
    </row>
    <row r="15" spans="1:12" ht="14.1" customHeight="1" x14ac:dyDescent="0.25">
      <c r="A15" s="1199" t="s">
        <v>523</v>
      </c>
      <c r="B15" s="1187">
        <v>120</v>
      </c>
      <c r="C15" s="1128">
        <v>110</v>
      </c>
      <c r="D15" s="1319">
        <v>116</v>
      </c>
      <c r="E15" s="1113">
        <v>111</v>
      </c>
      <c r="F15" s="1114">
        <v>116</v>
      </c>
      <c r="G15" s="1115">
        <v>119</v>
      </c>
      <c r="H15" s="1115">
        <v>116</v>
      </c>
      <c r="I15" s="1117">
        <v>114</v>
      </c>
      <c r="J15" s="1118">
        <v>111</v>
      </c>
      <c r="K15" s="1320">
        <v>457</v>
      </c>
      <c r="L15" s="1115">
        <v>465</v>
      </c>
    </row>
    <row r="16" spans="1:12" ht="14.1" customHeight="1" x14ac:dyDescent="0.25">
      <c r="A16" s="1188" t="s">
        <v>524</v>
      </c>
      <c r="B16" s="1187">
        <v>140</v>
      </c>
      <c r="C16" s="1128">
        <v>136</v>
      </c>
      <c r="D16" s="1319">
        <v>144</v>
      </c>
      <c r="E16" s="1113">
        <v>138</v>
      </c>
      <c r="F16" s="1114">
        <v>142</v>
      </c>
      <c r="G16" s="1115">
        <v>148</v>
      </c>
      <c r="H16" s="1115">
        <v>143</v>
      </c>
      <c r="I16" s="1117">
        <v>138</v>
      </c>
      <c r="J16" s="1118">
        <v>137</v>
      </c>
      <c r="K16" s="1320">
        <v>558</v>
      </c>
      <c r="L16" s="1115">
        <v>571</v>
      </c>
    </row>
    <row r="17" spans="1:12" ht="14.1" customHeight="1" x14ac:dyDescent="0.25">
      <c r="A17" s="1189"/>
      <c r="B17" s="1321"/>
      <c r="C17" s="1236"/>
      <c r="D17" s="1322"/>
      <c r="E17" s="1131"/>
      <c r="F17" s="1132"/>
      <c r="G17" s="1133"/>
      <c r="H17" s="1133"/>
      <c r="I17" s="1134"/>
      <c r="J17" s="1135"/>
      <c r="K17" s="1323"/>
      <c r="L17" s="1133"/>
    </row>
    <row r="18" spans="1:12" ht="14.1" customHeight="1" x14ac:dyDescent="0.25">
      <c r="A18" s="1189" t="s">
        <v>525</v>
      </c>
      <c r="B18" s="1187">
        <v>736</v>
      </c>
      <c r="C18" s="1128">
        <v>671</v>
      </c>
      <c r="D18" s="1319">
        <v>670</v>
      </c>
      <c r="E18" s="1113">
        <v>662</v>
      </c>
      <c r="F18" s="1114">
        <v>610</v>
      </c>
      <c r="G18" s="1115">
        <v>589</v>
      </c>
      <c r="H18" s="1115">
        <v>556</v>
      </c>
      <c r="I18" s="1117">
        <v>570</v>
      </c>
      <c r="J18" s="1118">
        <v>563</v>
      </c>
      <c r="K18" s="1320">
        <v>2739</v>
      </c>
      <c r="L18" s="1115">
        <v>2325</v>
      </c>
    </row>
    <row r="19" spans="1:12" ht="14.1" customHeight="1" x14ac:dyDescent="0.25">
      <c r="A19" s="1189"/>
      <c r="B19" s="1321"/>
      <c r="C19" s="1236"/>
      <c r="D19" s="1322"/>
      <c r="E19" s="1131"/>
      <c r="F19" s="1132"/>
      <c r="G19" s="1133"/>
      <c r="H19" s="1133"/>
      <c r="I19" s="1134"/>
      <c r="J19" s="1135"/>
      <c r="K19" s="1323"/>
      <c r="L19" s="1133"/>
    </row>
    <row r="20" spans="1:12" ht="14.1" customHeight="1" x14ac:dyDescent="0.25">
      <c r="A20" s="1189" t="s">
        <v>526</v>
      </c>
      <c r="B20" s="1187">
        <v>167</v>
      </c>
      <c r="C20" s="1128">
        <v>170</v>
      </c>
      <c r="D20" s="1319">
        <v>168</v>
      </c>
      <c r="E20" s="1113">
        <v>178</v>
      </c>
      <c r="F20" s="1114">
        <v>184</v>
      </c>
      <c r="G20" s="1115">
        <v>180</v>
      </c>
      <c r="H20" s="1115">
        <v>176</v>
      </c>
      <c r="I20" s="1117">
        <v>190</v>
      </c>
      <c r="J20" s="1118">
        <v>218</v>
      </c>
      <c r="K20" s="1320">
        <v>683</v>
      </c>
      <c r="L20" s="1115">
        <v>730</v>
      </c>
    </row>
    <row r="21" spans="1:12" ht="14.1" customHeight="1" x14ac:dyDescent="0.25">
      <c r="A21" s="1189"/>
      <c r="B21" s="1321"/>
      <c r="C21" s="1236"/>
      <c r="D21" s="1322"/>
      <c r="E21" s="1131"/>
      <c r="F21" s="1132"/>
      <c r="G21" s="1133"/>
      <c r="H21" s="1133"/>
      <c r="I21" s="1134"/>
      <c r="J21" s="1135"/>
      <c r="K21" s="1323"/>
      <c r="L21" s="1133"/>
    </row>
    <row r="22" spans="1:12" ht="14.1" customHeight="1" x14ac:dyDescent="0.25">
      <c r="A22" s="1189" t="s">
        <v>527</v>
      </c>
      <c r="B22" s="1321"/>
      <c r="C22" s="1236"/>
      <c r="D22" s="1322"/>
      <c r="E22" s="1131"/>
      <c r="F22" s="1132"/>
      <c r="G22" s="1133"/>
      <c r="H22" s="1133"/>
      <c r="I22" s="1134"/>
      <c r="J22" s="1135"/>
      <c r="K22" s="1323"/>
      <c r="L22" s="1133"/>
    </row>
    <row r="23" spans="1:12" ht="14.1" customHeight="1" x14ac:dyDescent="0.25">
      <c r="A23" s="1199" t="s">
        <v>528</v>
      </c>
      <c r="B23" s="1187">
        <v>220</v>
      </c>
      <c r="C23" s="1128">
        <v>218</v>
      </c>
      <c r="D23" s="1319">
        <v>208</v>
      </c>
      <c r="E23" s="1113">
        <v>207</v>
      </c>
      <c r="F23" s="1114">
        <v>299</v>
      </c>
      <c r="G23" s="1115">
        <v>229</v>
      </c>
      <c r="H23" s="1115">
        <v>217</v>
      </c>
      <c r="I23" s="1117">
        <v>213</v>
      </c>
      <c r="J23" s="1118">
        <v>277</v>
      </c>
      <c r="K23" s="1320">
        <v>853</v>
      </c>
      <c r="L23" s="1115">
        <v>958</v>
      </c>
    </row>
    <row r="24" spans="1:12" ht="14.1" customHeight="1" x14ac:dyDescent="0.25">
      <c r="A24" s="1199" t="s">
        <v>529</v>
      </c>
      <c r="B24" s="1187">
        <v>16</v>
      </c>
      <c r="C24" s="1128">
        <v>17</v>
      </c>
      <c r="D24" s="1319">
        <v>17</v>
      </c>
      <c r="E24" s="1113">
        <v>18</v>
      </c>
      <c r="F24" s="1114">
        <v>18</v>
      </c>
      <c r="G24" s="1115">
        <v>19</v>
      </c>
      <c r="H24" s="1115">
        <v>17</v>
      </c>
      <c r="I24" s="1117">
        <v>18</v>
      </c>
      <c r="J24" s="1118">
        <v>95</v>
      </c>
      <c r="K24" s="1320">
        <v>68</v>
      </c>
      <c r="L24" s="1115">
        <v>72</v>
      </c>
    </row>
    <row r="25" spans="1:12" ht="14.1" customHeight="1" x14ac:dyDescent="0.25">
      <c r="A25" s="1188" t="s">
        <v>530</v>
      </c>
      <c r="B25" s="1187">
        <v>236</v>
      </c>
      <c r="C25" s="1128">
        <v>235</v>
      </c>
      <c r="D25" s="1319">
        <v>225</v>
      </c>
      <c r="E25" s="1113">
        <v>225</v>
      </c>
      <c r="F25" s="1114">
        <v>317</v>
      </c>
      <c r="G25" s="1115">
        <v>248</v>
      </c>
      <c r="H25" s="1115">
        <v>234</v>
      </c>
      <c r="I25" s="1117">
        <v>231</v>
      </c>
      <c r="J25" s="1118">
        <v>372</v>
      </c>
      <c r="K25" s="1320">
        <v>921</v>
      </c>
      <c r="L25" s="1115">
        <v>1030</v>
      </c>
    </row>
    <row r="26" spans="1:12" ht="14.1" customHeight="1" x14ac:dyDescent="0.25">
      <c r="A26" s="1189"/>
      <c r="B26" s="1321"/>
      <c r="C26" s="1236"/>
      <c r="D26" s="1322"/>
      <c r="E26" s="1131"/>
      <c r="F26" s="1132"/>
      <c r="G26" s="1133"/>
      <c r="H26" s="1133"/>
      <c r="I26" s="1134"/>
      <c r="J26" s="1135"/>
      <c r="K26" s="1323"/>
      <c r="L26" s="1133"/>
    </row>
    <row r="27" spans="1:12" ht="14.1" customHeight="1" x14ac:dyDescent="0.25">
      <c r="A27" s="1189" t="s">
        <v>531</v>
      </c>
      <c r="B27" s="1187">
        <v>95</v>
      </c>
      <c r="C27" s="1128">
        <v>89</v>
      </c>
      <c r="D27" s="1319">
        <v>103</v>
      </c>
      <c r="E27" s="1113">
        <v>97</v>
      </c>
      <c r="F27" s="1114">
        <v>87</v>
      </c>
      <c r="G27" s="1115">
        <v>89</v>
      </c>
      <c r="H27" s="1115">
        <v>99</v>
      </c>
      <c r="I27" s="1117">
        <v>106</v>
      </c>
      <c r="J27" s="1118">
        <v>99</v>
      </c>
      <c r="K27" s="1320">
        <v>384</v>
      </c>
      <c r="L27" s="1115">
        <v>381</v>
      </c>
    </row>
    <row r="28" spans="1:12" ht="14.1" customHeight="1" x14ac:dyDescent="0.25">
      <c r="A28" s="1189"/>
      <c r="B28" s="1321"/>
      <c r="C28" s="1236"/>
      <c r="D28" s="1322"/>
      <c r="E28" s="1131"/>
      <c r="F28" s="1132"/>
      <c r="G28" s="1133"/>
      <c r="H28" s="1133"/>
      <c r="I28" s="1134"/>
      <c r="J28" s="1135"/>
      <c r="K28" s="1323"/>
      <c r="L28" s="1133"/>
    </row>
    <row r="29" spans="1:12" ht="14.1" customHeight="1" x14ac:dyDescent="0.25">
      <c r="A29" s="1189" t="s">
        <v>532</v>
      </c>
      <c r="B29" s="1187">
        <v>188</v>
      </c>
      <c r="C29" s="1128">
        <v>169</v>
      </c>
      <c r="D29" s="1319">
        <v>159</v>
      </c>
      <c r="E29" s="1113">
        <v>156</v>
      </c>
      <c r="F29" s="1114">
        <v>168</v>
      </c>
      <c r="G29" s="1115">
        <v>146</v>
      </c>
      <c r="H29" s="1115">
        <v>148</v>
      </c>
      <c r="I29" s="1117">
        <v>152</v>
      </c>
      <c r="J29" s="1118">
        <v>159</v>
      </c>
      <c r="K29" s="1320">
        <v>672</v>
      </c>
      <c r="L29" s="1115">
        <v>614</v>
      </c>
    </row>
    <row r="30" spans="1:12" ht="14.1" customHeight="1" x14ac:dyDescent="0.25">
      <c r="A30" s="1189"/>
      <c r="B30" s="1321"/>
      <c r="C30" s="1236"/>
      <c r="D30" s="1322"/>
      <c r="E30" s="1131"/>
      <c r="F30" s="1132"/>
      <c r="G30" s="1133"/>
      <c r="H30" s="1133"/>
      <c r="I30" s="1134"/>
      <c r="J30" s="1135"/>
      <c r="K30" s="1323"/>
      <c r="L30" s="1133"/>
    </row>
    <row r="31" spans="1:12" ht="14.1" customHeight="1" x14ac:dyDescent="0.25">
      <c r="A31" s="1189" t="s">
        <v>533</v>
      </c>
      <c r="B31" s="1187">
        <v>234</v>
      </c>
      <c r="C31" s="1128">
        <v>212</v>
      </c>
      <c r="D31" s="1319">
        <v>229</v>
      </c>
      <c r="E31" s="1113">
        <v>205</v>
      </c>
      <c r="F31" s="1114">
        <v>225</v>
      </c>
      <c r="G31" s="1115">
        <v>215</v>
      </c>
      <c r="H31" s="1115">
        <v>191</v>
      </c>
      <c r="I31" s="1117">
        <v>162</v>
      </c>
      <c r="J31" s="1118">
        <v>219</v>
      </c>
      <c r="K31" s="1320">
        <v>880</v>
      </c>
      <c r="L31" s="1115">
        <v>793</v>
      </c>
    </row>
    <row r="32" spans="1:12" ht="14.1" customHeight="1" x14ac:dyDescent="0.25">
      <c r="A32" s="1189"/>
      <c r="B32" s="1321"/>
      <c r="C32" s="1236"/>
      <c r="D32" s="1322"/>
      <c r="E32" s="1131"/>
      <c r="F32" s="1132"/>
      <c r="G32" s="1133"/>
      <c r="H32" s="1133"/>
      <c r="I32" s="1134"/>
      <c r="J32" s="1135"/>
      <c r="K32" s="1323"/>
      <c r="L32" s="1133"/>
    </row>
    <row r="33" spans="1:12" ht="14.1" customHeight="1" x14ac:dyDescent="0.25">
      <c r="A33" s="1189" t="s">
        <v>534</v>
      </c>
      <c r="B33" s="1321"/>
      <c r="C33" s="1236"/>
      <c r="D33" s="1322"/>
      <c r="E33" s="1131"/>
      <c r="F33" s="1132"/>
      <c r="G33" s="1133"/>
      <c r="H33" s="1133"/>
      <c r="I33" s="1134"/>
      <c r="J33" s="1135"/>
      <c r="K33" s="1323"/>
      <c r="L33" s="1133"/>
    </row>
    <row r="34" spans="1:12" ht="14.1" customHeight="1" x14ac:dyDescent="0.25">
      <c r="A34" s="1199" t="s">
        <v>535</v>
      </c>
      <c r="B34" s="1187">
        <v>157</v>
      </c>
      <c r="C34" s="1128">
        <v>153</v>
      </c>
      <c r="D34" s="1319">
        <v>151</v>
      </c>
      <c r="E34" s="1113">
        <v>165</v>
      </c>
      <c r="F34" s="1114">
        <v>147</v>
      </c>
      <c r="G34" s="1115">
        <v>151</v>
      </c>
      <c r="H34" s="1115">
        <v>154</v>
      </c>
      <c r="I34" s="1117">
        <v>165</v>
      </c>
      <c r="J34" s="1118">
        <v>147</v>
      </c>
      <c r="K34" s="1320">
        <v>626</v>
      </c>
      <c r="L34" s="1115">
        <v>617</v>
      </c>
    </row>
    <row r="35" spans="1:12" ht="14.1" customHeight="1" x14ac:dyDescent="0.25">
      <c r="A35" s="1199" t="s">
        <v>536</v>
      </c>
      <c r="B35" s="1187">
        <v>19</v>
      </c>
      <c r="C35" s="1128">
        <v>24</v>
      </c>
      <c r="D35" s="1319">
        <v>20</v>
      </c>
      <c r="E35" s="1113">
        <v>19</v>
      </c>
      <c r="F35" s="1114">
        <v>14</v>
      </c>
      <c r="G35" s="1115">
        <v>16</v>
      </c>
      <c r="H35" s="1115">
        <v>17</v>
      </c>
      <c r="I35" s="1117">
        <v>18</v>
      </c>
      <c r="J35" s="1118">
        <v>15</v>
      </c>
      <c r="K35" s="1320">
        <v>82</v>
      </c>
      <c r="L35" s="1115">
        <v>65</v>
      </c>
    </row>
    <row r="36" spans="1:12" ht="14.1" customHeight="1" x14ac:dyDescent="0.25">
      <c r="A36" s="1188" t="s">
        <v>537</v>
      </c>
      <c r="B36" s="1187">
        <v>176</v>
      </c>
      <c r="C36" s="1128">
        <v>177</v>
      </c>
      <c r="D36" s="1319">
        <v>171</v>
      </c>
      <c r="E36" s="1113">
        <v>184</v>
      </c>
      <c r="F36" s="1114">
        <v>161</v>
      </c>
      <c r="G36" s="1115">
        <v>167</v>
      </c>
      <c r="H36" s="1115">
        <v>171</v>
      </c>
      <c r="I36" s="1117">
        <v>183</v>
      </c>
      <c r="J36" s="1118">
        <v>162</v>
      </c>
      <c r="K36" s="1320">
        <v>708</v>
      </c>
      <c r="L36" s="1115">
        <v>682</v>
      </c>
    </row>
    <row r="37" spans="1:12" ht="14.1" customHeight="1" x14ac:dyDescent="0.25">
      <c r="A37" s="1189"/>
      <c r="B37" s="1321"/>
      <c r="C37" s="1236"/>
      <c r="D37" s="1322"/>
      <c r="E37" s="1131"/>
      <c r="F37" s="1132"/>
      <c r="G37" s="1133"/>
      <c r="H37" s="1133"/>
      <c r="I37" s="1134"/>
      <c r="J37" s="1135"/>
      <c r="K37" s="1323"/>
      <c r="L37" s="1133"/>
    </row>
    <row r="38" spans="1:12" ht="14.1" customHeight="1" x14ac:dyDescent="0.25">
      <c r="A38" s="1189" t="s">
        <v>538</v>
      </c>
      <c r="B38" s="1187">
        <v>1044</v>
      </c>
      <c r="C38" s="1128">
        <v>568</v>
      </c>
      <c r="D38" s="1319">
        <v>600</v>
      </c>
      <c r="E38" s="1113">
        <v>1937</v>
      </c>
      <c r="F38" s="1114">
        <v>903</v>
      </c>
      <c r="G38" s="1115">
        <v>712</v>
      </c>
      <c r="H38" s="1115">
        <v>538</v>
      </c>
      <c r="I38" s="1117">
        <v>561</v>
      </c>
      <c r="J38" s="1118">
        <v>1147</v>
      </c>
      <c r="K38" s="1320">
        <v>4149</v>
      </c>
      <c r="L38" s="1115">
        <v>2714</v>
      </c>
    </row>
    <row r="39" spans="1:12" ht="14.1" customHeight="1" x14ac:dyDescent="0.25">
      <c r="A39" s="1189"/>
      <c r="B39" s="1321"/>
      <c r="C39" s="1236"/>
      <c r="D39" s="1322"/>
      <c r="E39" s="1131"/>
      <c r="F39" s="1132"/>
      <c r="G39" s="1133"/>
      <c r="H39" s="1133"/>
      <c r="I39" s="1134"/>
      <c r="J39" s="1135"/>
      <c r="K39" s="1323"/>
      <c r="L39" s="1133"/>
    </row>
    <row r="40" spans="1:12" ht="14.1" customHeight="1" x14ac:dyDescent="0.25">
      <c r="A40" s="1189" t="s">
        <v>539</v>
      </c>
      <c r="B40" s="1187">
        <v>5828</v>
      </c>
      <c r="C40" s="1128">
        <v>5089</v>
      </c>
      <c r="D40" s="1319">
        <v>5110</v>
      </c>
      <c r="E40" s="1113">
        <v>6491</v>
      </c>
      <c r="F40" s="1114">
        <v>5296</v>
      </c>
      <c r="G40" s="1115">
        <v>4949</v>
      </c>
      <c r="H40" s="1115">
        <v>4711</v>
      </c>
      <c r="I40" s="1117">
        <v>4739</v>
      </c>
      <c r="J40" s="1118">
        <v>5527</v>
      </c>
      <c r="K40" s="1320">
        <v>22518</v>
      </c>
      <c r="L40" s="1115">
        <v>19695</v>
      </c>
    </row>
    <row r="41" spans="1:12" ht="14.1" customHeight="1" x14ac:dyDescent="0.25">
      <c r="A41" s="1189"/>
      <c r="B41" s="1321"/>
      <c r="C41" s="1236"/>
      <c r="D41" s="1322"/>
      <c r="E41" s="1131"/>
      <c r="F41" s="1132"/>
      <c r="G41" s="1133"/>
      <c r="H41" s="1133"/>
      <c r="I41" s="1134"/>
      <c r="J41" s="1135"/>
      <c r="K41" s="1323"/>
      <c r="L41" s="1133"/>
    </row>
    <row r="42" spans="1:12" ht="14.1" customHeight="1" x14ac:dyDescent="0.25">
      <c r="A42" s="1189" t="s">
        <v>540</v>
      </c>
      <c r="B42" s="1321"/>
      <c r="C42" s="1236"/>
      <c r="D42" s="1322"/>
      <c r="E42" s="1131"/>
      <c r="F42" s="1132"/>
      <c r="G42" s="1133"/>
      <c r="H42" s="1133"/>
      <c r="I42" s="1134"/>
      <c r="J42" s="1135"/>
      <c r="K42" s="1323"/>
      <c r="L42" s="1133"/>
    </row>
    <row r="43" spans="1:12" ht="14.1" customHeight="1" x14ac:dyDescent="0.25">
      <c r="A43" s="1199" t="s">
        <v>541</v>
      </c>
      <c r="B43" s="1187">
        <v>-57</v>
      </c>
      <c r="C43" s="1236">
        <v>23</v>
      </c>
      <c r="D43" s="1319">
        <v>-26</v>
      </c>
      <c r="E43" s="1113">
        <v>-1362</v>
      </c>
      <c r="F43" s="1114">
        <v>0</v>
      </c>
      <c r="G43" s="1115">
        <v>7</v>
      </c>
      <c r="H43" s="1115">
        <v>0</v>
      </c>
      <c r="I43" s="1117">
        <v>0</v>
      </c>
      <c r="J43" s="1118">
        <v>0</v>
      </c>
      <c r="K43" s="1320">
        <v>-1422</v>
      </c>
      <c r="L43" s="1133">
        <v>7</v>
      </c>
    </row>
    <row r="44" spans="1:12" ht="14.1" customHeight="1" x14ac:dyDescent="0.25">
      <c r="A44" s="1199" t="s">
        <v>542</v>
      </c>
      <c r="B44" s="1187">
        <v>-16</v>
      </c>
      <c r="C44" s="1128">
        <v>-17</v>
      </c>
      <c r="D44" s="1319">
        <v>-17</v>
      </c>
      <c r="E44" s="1113">
        <v>-18</v>
      </c>
      <c r="F44" s="1114">
        <v>-19</v>
      </c>
      <c r="G44" s="1115">
        <v>-17</v>
      </c>
      <c r="H44" s="1115">
        <v>-18</v>
      </c>
      <c r="I44" s="1117">
        <v>-18</v>
      </c>
      <c r="J44" s="1118">
        <v>-19</v>
      </c>
      <c r="K44" s="1320">
        <v>-68</v>
      </c>
      <c r="L44" s="1115">
        <v>-72</v>
      </c>
    </row>
    <row r="45" spans="1:12" ht="14.1" customHeight="1" x14ac:dyDescent="0.25">
      <c r="A45" s="1199" t="s">
        <v>543</v>
      </c>
      <c r="B45" s="1187">
        <v>-74</v>
      </c>
      <c r="C45" s="1128">
        <v>0</v>
      </c>
      <c r="D45" s="1319">
        <v>0</v>
      </c>
      <c r="E45" s="1113">
        <v>0</v>
      </c>
      <c r="F45" s="1114">
        <v>0</v>
      </c>
      <c r="G45" s="1115">
        <v>-176</v>
      </c>
      <c r="H45" s="1115">
        <v>0</v>
      </c>
      <c r="I45" s="1117">
        <v>0</v>
      </c>
      <c r="J45" s="1118">
        <v>0</v>
      </c>
      <c r="K45" s="1320">
        <v>-74</v>
      </c>
      <c r="L45" s="1115">
        <v>-176</v>
      </c>
    </row>
    <row r="46" spans="1:12" ht="14.1" customHeight="1" x14ac:dyDescent="0.25">
      <c r="A46" s="1199" t="s">
        <v>544</v>
      </c>
      <c r="B46" s="1187">
        <v>-373</v>
      </c>
      <c r="C46" s="1128">
        <v>0</v>
      </c>
      <c r="D46" s="1319">
        <v>0</v>
      </c>
      <c r="E46" s="1113">
        <v>0</v>
      </c>
      <c r="F46" s="1114">
        <v>-53</v>
      </c>
      <c r="G46" s="1115">
        <v>0</v>
      </c>
      <c r="H46" s="1115">
        <v>0</v>
      </c>
      <c r="I46" s="1117">
        <v>0</v>
      </c>
      <c r="J46" s="1118">
        <v>-354</v>
      </c>
      <c r="K46" s="1320">
        <v>-373</v>
      </c>
      <c r="L46" s="1115">
        <v>-53</v>
      </c>
    </row>
    <row r="47" spans="1:12" ht="27.75" customHeight="1" x14ac:dyDescent="0.25">
      <c r="A47" s="1324" t="s">
        <v>545</v>
      </c>
      <c r="B47" s="1187">
        <v>0</v>
      </c>
      <c r="C47" s="1128">
        <v>0</v>
      </c>
      <c r="D47" s="1319">
        <v>0</v>
      </c>
      <c r="E47" s="1113">
        <v>0</v>
      </c>
      <c r="F47" s="1114">
        <v>0</v>
      </c>
      <c r="G47" s="1128">
        <v>0</v>
      </c>
      <c r="H47" s="1319">
        <v>0</v>
      </c>
      <c r="I47" s="1113">
        <v>0</v>
      </c>
      <c r="J47" s="1118">
        <v>-87</v>
      </c>
      <c r="K47" s="1320">
        <v>0</v>
      </c>
      <c r="L47" s="1115">
        <v>0</v>
      </c>
    </row>
    <row r="48" spans="1:12" ht="14.1" customHeight="1" x14ac:dyDescent="0.25">
      <c r="A48" s="1199" t="s">
        <v>546</v>
      </c>
      <c r="B48" s="1187">
        <v>0</v>
      </c>
      <c r="C48" s="1128">
        <v>0</v>
      </c>
      <c r="D48" s="1319">
        <v>0</v>
      </c>
      <c r="E48" s="1113">
        <v>0</v>
      </c>
      <c r="F48" s="1114">
        <v>-440</v>
      </c>
      <c r="G48" s="1128">
        <v>0</v>
      </c>
      <c r="H48" s="1319">
        <v>0</v>
      </c>
      <c r="I48" s="1113">
        <v>0</v>
      </c>
      <c r="J48" s="1118">
        <v>-346</v>
      </c>
      <c r="K48" s="1320">
        <v>0</v>
      </c>
      <c r="L48" s="1115">
        <v>-440</v>
      </c>
    </row>
    <row r="49" spans="1:12" ht="14.1" customHeight="1" x14ac:dyDescent="0.25">
      <c r="A49" s="1188" t="s">
        <v>547</v>
      </c>
      <c r="B49" s="1187">
        <v>-520</v>
      </c>
      <c r="C49" s="1128">
        <v>6</v>
      </c>
      <c r="D49" s="1319">
        <v>-43</v>
      </c>
      <c r="E49" s="1113">
        <v>-1380</v>
      </c>
      <c r="F49" s="1114">
        <v>-512</v>
      </c>
      <c r="G49" s="1115">
        <v>-186</v>
      </c>
      <c r="H49" s="1115">
        <v>-18</v>
      </c>
      <c r="I49" s="1117">
        <v>-18</v>
      </c>
      <c r="J49" s="1118">
        <v>-806</v>
      </c>
      <c r="K49" s="1320">
        <v>-1937</v>
      </c>
      <c r="L49" s="1115">
        <v>-734</v>
      </c>
    </row>
    <row r="50" spans="1:12" ht="14.1" customHeight="1" x14ac:dyDescent="0.25">
      <c r="A50" s="1188"/>
      <c r="B50" s="1321"/>
      <c r="C50" s="1236"/>
      <c r="D50" s="1322"/>
      <c r="E50" s="1131"/>
      <c r="F50" s="1132"/>
      <c r="G50" s="1133"/>
      <c r="H50" s="1133"/>
      <c r="I50" s="1134"/>
      <c r="J50" s="1135"/>
      <c r="K50" s="1323"/>
      <c r="L50" s="1133"/>
    </row>
    <row r="51" spans="1:12" ht="14.1" customHeight="1" x14ac:dyDescent="0.25">
      <c r="A51" s="1201" t="s">
        <v>548</v>
      </c>
      <c r="B51" s="1202">
        <v>5308</v>
      </c>
      <c r="C51" s="1139">
        <v>5095</v>
      </c>
      <c r="D51" s="1325">
        <v>5067</v>
      </c>
      <c r="E51" s="1140">
        <v>5111</v>
      </c>
      <c r="F51" s="1141">
        <v>4784</v>
      </c>
      <c r="G51" s="1142">
        <v>4763</v>
      </c>
      <c r="H51" s="1142">
        <v>4693</v>
      </c>
      <c r="I51" s="1143">
        <v>4721</v>
      </c>
      <c r="J51" s="1144">
        <v>4721</v>
      </c>
      <c r="K51" s="1326">
        <v>20581</v>
      </c>
      <c r="L51" s="1142">
        <v>18961</v>
      </c>
    </row>
    <row r="52" spans="1:12" ht="14.1" customHeight="1" x14ac:dyDescent="0.25">
      <c r="A52" s="1327"/>
      <c r="B52" s="1328"/>
      <c r="C52" s="1329"/>
      <c r="D52" s="1328"/>
      <c r="E52" s="1328"/>
      <c r="F52" s="1329"/>
      <c r="G52" s="1329"/>
      <c r="H52" s="1329"/>
      <c r="I52" s="1329"/>
      <c r="J52" s="1329"/>
      <c r="K52" s="1329"/>
      <c r="L52" s="1329"/>
    </row>
    <row r="53" spans="1:12" ht="12" customHeight="1" x14ac:dyDescent="0.25">
      <c r="A53" s="2878" t="s">
        <v>549</v>
      </c>
      <c r="B53" s="2878" t="s">
        <v>15</v>
      </c>
      <c r="C53" s="2878" t="s">
        <v>15</v>
      </c>
      <c r="D53" s="2878" t="s">
        <v>15</v>
      </c>
      <c r="E53" s="2878" t="s">
        <v>15</v>
      </c>
      <c r="F53" s="2878" t="s">
        <v>15</v>
      </c>
      <c r="G53" s="2878" t="s">
        <v>15</v>
      </c>
      <c r="H53" s="2878" t="s">
        <v>15</v>
      </c>
      <c r="I53" s="2878" t="s">
        <v>15</v>
      </c>
      <c r="J53" s="2878" t="s">
        <v>15</v>
      </c>
      <c r="K53" s="2878" t="s">
        <v>15</v>
      </c>
      <c r="L53" s="2878" t="s">
        <v>15</v>
      </c>
    </row>
    <row r="54" spans="1:12" ht="12" customHeight="1" x14ac:dyDescent="0.25">
      <c r="A54" s="2878" t="s">
        <v>550</v>
      </c>
      <c r="B54" s="2878" t="s">
        <v>15</v>
      </c>
      <c r="C54" s="2878" t="s">
        <v>15</v>
      </c>
      <c r="D54" s="2878" t="s">
        <v>15</v>
      </c>
      <c r="E54" s="2878" t="s">
        <v>15</v>
      </c>
      <c r="F54" s="2878" t="s">
        <v>15</v>
      </c>
      <c r="G54" s="2878" t="s">
        <v>15</v>
      </c>
      <c r="H54" s="2878" t="s">
        <v>15</v>
      </c>
      <c r="I54" s="2878" t="s">
        <v>15</v>
      </c>
      <c r="J54" s="2878" t="s">
        <v>15</v>
      </c>
      <c r="K54" s="2878" t="s">
        <v>15</v>
      </c>
      <c r="L54" s="2878" t="s">
        <v>15</v>
      </c>
    </row>
    <row r="55" spans="1:12" ht="12" customHeight="1" x14ac:dyDescent="0.25">
      <c r="A55" s="2878" t="s">
        <v>551</v>
      </c>
      <c r="B55" s="2878" t="s">
        <v>15</v>
      </c>
      <c r="C55" s="2878" t="s">
        <v>15</v>
      </c>
      <c r="D55" s="2878" t="s">
        <v>15</v>
      </c>
      <c r="E55" s="2878" t="s">
        <v>15</v>
      </c>
      <c r="F55" s="2878" t="s">
        <v>15</v>
      </c>
      <c r="G55" s="2878" t="s">
        <v>15</v>
      </c>
      <c r="H55" s="2878" t="s">
        <v>15</v>
      </c>
      <c r="I55" s="2878" t="s">
        <v>15</v>
      </c>
      <c r="J55" s="2878" t="s">
        <v>15</v>
      </c>
      <c r="K55" s="2878" t="s">
        <v>15</v>
      </c>
      <c r="L55" s="2878" t="s">
        <v>15</v>
      </c>
    </row>
    <row r="56" spans="1:12" ht="12" customHeight="1" x14ac:dyDescent="0.25">
      <c r="A56" s="2877" t="s">
        <v>552</v>
      </c>
      <c r="B56" s="2877" t="s">
        <v>15</v>
      </c>
      <c r="C56" s="2877" t="s">
        <v>15</v>
      </c>
      <c r="D56" s="2877" t="s">
        <v>15</v>
      </c>
      <c r="E56" s="2877" t="s">
        <v>15</v>
      </c>
      <c r="F56" s="2877" t="s">
        <v>15</v>
      </c>
      <c r="G56" s="2877" t="s">
        <v>15</v>
      </c>
      <c r="H56" s="2877" t="s">
        <v>15</v>
      </c>
      <c r="I56" s="2877" t="s">
        <v>15</v>
      </c>
      <c r="J56" s="2877" t="s">
        <v>15</v>
      </c>
      <c r="K56" s="2877" t="s">
        <v>15</v>
      </c>
      <c r="L56" s="1330"/>
    </row>
    <row r="57" spans="1:12" ht="12" customHeight="1" x14ac:dyDescent="0.25">
      <c r="A57" s="2877" t="s">
        <v>553</v>
      </c>
      <c r="B57" s="2877" t="s">
        <v>15</v>
      </c>
      <c r="C57" s="2877" t="s">
        <v>15</v>
      </c>
      <c r="D57" s="2877" t="s">
        <v>15</v>
      </c>
      <c r="E57" s="2877" t="s">
        <v>15</v>
      </c>
      <c r="F57" s="2877" t="s">
        <v>15</v>
      </c>
      <c r="G57" s="2877" t="s">
        <v>15</v>
      </c>
      <c r="H57" s="2877" t="s">
        <v>15</v>
      </c>
      <c r="I57" s="2877" t="s">
        <v>15</v>
      </c>
      <c r="J57" s="2877" t="s">
        <v>15</v>
      </c>
      <c r="K57" s="2877" t="s">
        <v>15</v>
      </c>
      <c r="L57" s="2877" t="s">
        <v>15</v>
      </c>
    </row>
    <row r="58" spans="1:12" ht="12" customHeight="1" x14ac:dyDescent="0.25">
      <c r="A58" s="2877" t="s">
        <v>554</v>
      </c>
      <c r="B58" s="2877" t="s">
        <v>15</v>
      </c>
      <c r="C58" s="2877" t="s">
        <v>15</v>
      </c>
      <c r="D58" s="2877" t="s">
        <v>15</v>
      </c>
      <c r="E58" s="2877" t="s">
        <v>15</v>
      </c>
      <c r="F58" s="2877" t="s">
        <v>15</v>
      </c>
      <c r="G58" s="2877" t="s">
        <v>15</v>
      </c>
      <c r="H58" s="2877" t="s">
        <v>15</v>
      </c>
      <c r="I58" s="2877" t="s">
        <v>15</v>
      </c>
      <c r="J58" s="2877" t="s">
        <v>15</v>
      </c>
      <c r="K58" s="2877" t="s">
        <v>15</v>
      </c>
      <c r="L58" s="2877" t="s">
        <v>15</v>
      </c>
    </row>
  </sheetData>
  <mergeCells count="8">
    <mergeCell ref="A57:L57"/>
    <mergeCell ref="A58:L58"/>
    <mergeCell ref="A2:L2"/>
    <mergeCell ref="K3:L3"/>
    <mergeCell ref="A53:L53"/>
    <mergeCell ref="A54:L54"/>
    <mergeCell ref="A55:L55"/>
    <mergeCell ref="A56:K56"/>
  </mergeCells>
  <hyperlinks>
    <hyperlink ref="A1" location="ToC!A2" display="Back to Table of Contents" xr:uid="{12A47DEA-5BC8-4964-856F-CD45C8DFBACC}"/>
  </hyperlinks>
  <pageMargins left="0.5" right="0.5" top="0.5" bottom="0.5" header="0.25" footer="0.25"/>
  <pageSetup scale="64" orientation="landscape" r:id="rId1"/>
  <headerFooter>
    <oddFooter>&amp;L&amp;G&amp;C&amp;"Scotia,Regular"&amp;9Supplementary Financial Information (SFI)&amp;R12&amp;"Scotia,Regular"&amp;7</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374D-658F-420A-9834-C4A39AF3050C}">
  <sheetPr>
    <pageSetUpPr fitToPage="1"/>
  </sheetPr>
  <dimension ref="A1:J41"/>
  <sheetViews>
    <sheetView showGridLines="0" zoomScaleNormal="100" workbookViewId="0"/>
  </sheetViews>
  <sheetFormatPr defaultColWidth="8.77734375" defaultRowHeight="13.2" x14ac:dyDescent="0.25"/>
  <cols>
    <col min="1" max="1" width="68.21875" style="23" customWidth="1"/>
    <col min="2" max="2" width="12.109375" style="23" bestFit="1" customWidth="1"/>
    <col min="3" max="3" width="12" style="23" customWidth="1"/>
    <col min="4" max="10" width="11.77734375" style="23" customWidth="1"/>
    <col min="11" max="16384" width="8.77734375" style="23"/>
  </cols>
  <sheetData>
    <row r="1" spans="1:10" ht="19.95" customHeight="1" x14ac:dyDescent="0.25">
      <c r="A1" s="22" t="s">
        <v>12</v>
      </c>
    </row>
    <row r="2" spans="1:10" ht="24" customHeight="1" x14ac:dyDescent="0.25">
      <c r="A2" s="2873" t="s">
        <v>555</v>
      </c>
      <c r="B2" s="2873" t="s">
        <v>15</v>
      </c>
      <c r="C2" s="2873" t="s">
        <v>15</v>
      </c>
      <c r="D2" s="2873" t="s">
        <v>15</v>
      </c>
      <c r="E2" s="2873" t="s">
        <v>15</v>
      </c>
      <c r="F2" s="2873" t="s">
        <v>15</v>
      </c>
      <c r="G2" s="2873" t="s">
        <v>15</v>
      </c>
      <c r="H2" s="2873" t="s">
        <v>15</v>
      </c>
      <c r="I2" s="2873" t="s">
        <v>15</v>
      </c>
      <c r="J2" s="2873" t="s">
        <v>15</v>
      </c>
    </row>
    <row r="3" spans="1:10" ht="15" customHeight="1" x14ac:dyDescent="0.25">
      <c r="A3" s="1176"/>
      <c r="B3" s="2879"/>
      <c r="C3" s="2880" t="s">
        <v>15</v>
      </c>
      <c r="D3" s="2880" t="s">
        <v>15</v>
      </c>
      <c r="E3" s="2881" t="s">
        <v>15</v>
      </c>
      <c r="F3" s="2882"/>
      <c r="G3" s="2883" t="s">
        <v>15</v>
      </c>
      <c r="H3" s="2883" t="s">
        <v>15</v>
      </c>
      <c r="I3" s="2884" t="s">
        <v>15</v>
      </c>
      <c r="J3" s="1331"/>
    </row>
    <row r="4" spans="1:10" ht="15" customHeight="1" x14ac:dyDescent="0.25">
      <c r="A4" s="1176" t="s">
        <v>556</v>
      </c>
      <c r="B4" s="1332" t="s">
        <v>165</v>
      </c>
      <c r="C4" s="1333" t="s">
        <v>166</v>
      </c>
      <c r="D4" s="1333" t="s">
        <v>167</v>
      </c>
      <c r="E4" s="1334" t="s">
        <v>168</v>
      </c>
      <c r="F4" s="1335" t="s">
        <v>169</v>
      </c>
      <c r="G4" s="1333" t="s">
        <v>170</v>
      </c>
      <c r="H4" s="1333" t="s">
        <v>171</v>
      </c>
      <c r="I4" s="1334" t="s">
        <v>172</v>
      </c>
      <c r="J4" s="1336" t="s">
        <v>173</v>
      </c>
    </row>
    <row r="5" spans="1:10" ht="15" customHeight="1" x14ac:dyDescent="0.25">
      <c r="A5" s="1337" t="s">
        <v>557</v>
      </c>
      <c r="B5" s="1332"/>
      <c r="C5" s="1333"/>
      <c r="D5" s="1333"/>
      <c r="E5" s="1334"/>
      <c r="F5" s="1335"/>
      <c r="G5" s="1333"/>
      <c r="H5" s="1333"/>
      <c r="I5" s="1334"/>
      <c r="J5" s="1338"/>
    </row>
    <row r="6" spans="1:10" ht="15" customHeight="1" x14ac:dyDescent="0.25">
      <c r="A6" s="1339" t="s">
        <v>558</v>
      </c>
      <c r="B6" s="1340">
        <v>65967</v>
      </c>
      <c r="C6" s="1341">
        <v>69701</v>
      </c>
      <c r="D6" s="1341">
        <v>63577</v>
      </c>
      <c r="E6" s="1342">
        <v>70198</v>
      </c>
      <c r="F6" s="1343">
        <v>63860</v>
      </c>
      <c r="G6" s="1341">
        <v>58329</v>
      </c>
      <c r="H6" s="1344">
        <v>58631</v>
      </c>
      <c r="I6" s="1342">
        <v>67249</v>
      </c>
      <c r="J6" s="1343">
        <v>90312</v>
      </c>
    </row>
    <row r="7" spans="1:10" ht="15" customHeight="1" x14ac:dyDescent="0.25">
      <c r="A7" s="1345" t="s">
        <v>559</v>
      </c>
      <c r="B7" s="1346">
        <v>5156</v>
      </c>
      <c r="C7" s="1347">
        <v>5832</v>
      </c>
      <c r="D7" s="1347">
        <v>5971</v>
      </c>
      <c r="E7" s="1348">
        <v>3687</v>
      </c>
      <c r="F7" s="1349">
        <v>2540</v>
      </c>
      <c r="G7" s="1347">
        <v>2419</v>
      </c>
      <c r="H7" s="1347">
        <v>1253</v>
      </c>
      <c r="I7" s="1348">
        <v>807</v>
      </c>
      <c r="J7" s="1349">
        <v>937</v>
      </c>
    </row>
    <row r="8" spans="1:10" ht="15" customHeight="1" x14ac:dyDescent="0.25">
      <c r="A8" s="1345"/>
      <c r="B8" s="1350"/>
      <c r="C8" s="1351"/>
      <c r="D8" s="1351"/>
      <c r="E8" s="1352"/>
      <c r="F8" s="1353"/>
      <c r="G8" s="1351"/>
      <c r="H8" s="1351"/>
      <c r="I8" s="1352"/>
      <c r="J8" s="1353"/>
    </row>
    <row r="9" spans="1:10" ht="15" customHeight="1" x14ac:dyDescent="0.25">
      <c r="A9" s="1345" t="s">
        <v>560</v>
      </c>
      <c r="B9" s="1350"/>
      <c r="C9" s="1351"/>
      <c r="D9" s="1351"/>
      <c r="E9" s="1352"/>
      <c r="F9" s="1353"/>
      <c r="G9" s="1351"/>
      <c r="H9" s="1351"/>
      <c r="I9" s="1352"/>
      <c r="J9" s="1353"/>
    </row>
    <row r="10" spans="1:10" ht="15" customHeight="1" x14ac:dyDescent="0.25">
      <c r="A10" s="1354" t="s">
        <v>426</v>
      </c>
      <c r="B10" s="1346">
        <v>140844</v>
      </c>
      <c r="C10" s="1347">
        <v>125442</v>
      </c>
      <c r="D10" s="1347">
        <v>118302</v>
      </c>
      <c r="E10" s="1348">
        <v>126019</v>
      </c>
      <c r="F10" s="1349">
        <v>119912</v>
      </c>
      <c r="G10" s="1347">
        <v>124117</v>
      </c>
      <c r="H10" s="1347">
        <v>123091</v>
      </c>
      <c r="I10" s="1348">
        <v>116864</v>
      </c>
      <c r="J10" s="1349">
        <v>107612</v>
      </c>
    </row>
    <row r="11" spans="1:10" ht="15" customHeight="1" x14ac:dyDescent="0.25">
      <c r="A11" s="1354" t="s">
        <v>427</v>
      </c>
      <c r="B11" s="1346">
        <v>8487</v>
      </c>
      <c r="C11" s="1347">
        <v>8097</v>
      </c>
      <c r="D11" s="1347">
        <v>7841</v>
      </c>
      <c r="E11" s="1348">
        <v>8048</v>
      </c>
      <c r="F11" s="1349">
        <v>7649</v>
      </c>
      <c r="G11" s="1347">
        <v>7642</v>
      </c>
      <c r="H11" s="1347">
        <v>7141</v>
      </c>
      <c r="I11" s="1348">
        <v>7640</v>
      </c>
      <c r="J11" s="1349">
        <v>7544</v>
      </c>
    </row>
    <row r="12" spans="1:10" ht="15" customHeight="1" x14ac:dyDescent="0.25">
      <c r="A12" s="1354" t="s">
        <v>481</v>
      </c>
      <c r="B12" s="1346">
        <v>2892</v>
      </c>
      <c r="C12" s="1347">
        <v>2946</v>
      </c>
      <c r="D12" s="1347">
        <v>2844</v>
      </c>
      <c r="E12" s="1348">
        <v>2641</v>
      </c>
      <c r="F12" s="1349">
        <v>2166</v>
      </c>
      <c r="G12" s="1347">
        <v>2240</v>
      </c>
      <c r="H12" s="1347">
        <v>2048</v>
      </c>
      <c r="I12" s="1348">
        <v>1883</v>
      </c>
      <c r="J12" s="1349">
        <v>2712</v>
      </c>
    </row>
    <row r="13" spans="1:10" ht="15" customHeight="1" x14ac:dyDescent="0.25">
      <c r="A13" s="1354" t="s">
        <v>561</v>
      </c>
      <c r="B13" s="1346">
        <v>152223</v>
      </c>
      <c r="C13" s="1347">
        <v>136485</v>
      </c>
      <c r="D13" s="1347">
        <v>128987</v>
      </c>
      <c r="E13" s="1348">
        <v>136708</v>
      </c>
      <c r="F13" s="1349">
        <v>129727</v>
      </c>
      <c r="G13" s="1347">
        <v>133999</v>
      </c>
      <c r="H13" s="1347">
        <v>132280</v>
      </c>
      <c r="I13" s="1348">
        <v>126387</v>
      </c>
      <c r="J13" s="1349">
        <v>117868</v>
      </c>
    </row>
    <row r="14" spans="1:10" ht="15" customHeight="1" x14ac:dyDescent="0.25">
      <c r="A14" s="1355"/>
      <c r="B14" s="1350"/>
      <c r="C14" s="1351"/>
      <c r="D14" s="1351"/>
      <c r="E14" s="1352"/>
      <c r="F14" s="1353"/>
      <c r="G14" s="1351"/>
      <c r="H14" s="1351"/>
      <c r="I14" s="1352"/>
      <c r="J14" s="1353"/>
    </row>
    <row r="15" spans="1:10" ht="15" customHeight="1" x14ac:dyDescent="0.25">
      <c r="A15" s="1345" t="s">
        <v>562</v>
      </c>
      <c r="B15" s="1346">
        <v>203008</v>
      </c>
      <c r="C15" s="1347">
        <v>185360</v>
      </c>
      <c r="D15" s="1347">
        <v>192632</v>
      </c>
      <c r="E15" s="1348">
        <v>195258</v>
      </c>
      <c r="F15" s="1349">
        <v>200543</v>
      </c>
      <c r="G15" s="1347">
        <v>193796</v>
      </c>
      <c r="H15" s="1347">
        <v>192858</v>
      </c>
      <c r="I15" s="1348">
        <v>199061</v>
      </c>
      <c r="J15" s="1349">
        <v>199325</v>
      </c>
    </row>
    <row r="16" spans="1:10" ht="15" customHeight="1" x14ac:dyDescent="0.25">
      <c r="A16" s="1345" t="s">
        <v>563</v>
      </c>
      <c r="B16" s="1346">
        <v>46531</v>
      </c>
      <c r="C16" s="1347">
        <v>43801</v>
      </c>
      <c r="D16" s="1347">
        <v>47937</v>
      </c>
      <c r="E16" s="1348">
        <v>48035</v>
      </c>
      <c r="F16" s="1349">
        <v>44379</v>
      </c>
      <c r="G16" s="1347">
        <v>39987</v>
      </c>
      <c r="H16" s="1347">
        <v>44856</v>
      </c>
      <c r="I16" s="1348">
        <v>39611</v>
      </c>
      <c r="J16" s="1349">
        <v>51340</v>
      </c>
    </row>
    <row r="17" spans="1:10" ht="15" customHeight="1" x14ac:dyDescent="0.25">
      <c r="A17" s="1345" t="s">
        <v>564</v>
      </c>
      <c r="B17" s="1346">
        <v>149948</v>
      </c>
      <c r="C17" s="1347">
        <v>149151</v>
      </c>
      <c r="D17" s="1347">
        <v>154291</v>
      </c>
      <c r="E17" s="1348">
        <v>153019</v>
      </c>
      <c r="F17" s="1349">
        <v>152832</v>
      </c>
      <c r="G17" s="1347">
        <v>151776</v>
      </c>
      <c r="H17" s="1347">
        <v>144784</v>
      </c>
      <c r="I17" s="1348">
        <v>140259</v>
      </c>
      <c r="J17" s="1349">
        <v>118237</v>
      </c>
    </row>
    <row r="18" spans="1:10" ht="15" customHeight="1" x14ac:dyDescent="0.25">
      <c r="A18" s="1354"/>
      <c r="B18" s="1350"/>
      <c r="C18" s="1351"/>
      <c r="D18" s="1351"/>
      <c r="E18" s="1352"/>
      <c r="F18" s="1353"/>
      <c r="G18" s="1351"/>
      <c r="H18" s="1351"/>
      <c r="I18" s="1352"/>
      <c r="J18" s="1353"/>
    </row>
    <row r="19" spans="1:10" ht="15" customHeight="1" x14ac:dyDescent="0.25">
      <c r="A19" s="1345" t="s">
        <v>565</v>
      </c>
      <c r="B19" s="1350"/>
      <c r="C19" s="1351"/>
      <c r="D19" s="1356"/>
      <c r="E19" s="1352"/>
      <c r="F19" s="1353"/>
      <c r="G19" s="1351"/>
      <c r="H19" s="1351"/>
      <c r="I19" s="1352"/>
      <c r="J19" s="1353"/>
    </row>
    <row r="20" spans="1:10" ht="15" customHeight="1" x14ac:dyDescent="0.25">
      <c r="A20" s="1354" t="s">
        <v>316</v>
      </c>
      <c r="B20" s="1346">
        <v>370191</v>
      </c>
      <c r="C20" s="1347">
        <v>360937</v>
      </c>
      <c r="D20" s="1351">
        <v>359792</v>
      </c>
      <c r="E20" s="1348">
        <v>358791</v>
      </c>
      <c r="F20" s="1349">
        <v>350941</v>
      </c>
      <c r="G20" s="1347">
        <v>348631</v>
      </c>
      <c r="H20" s="1347">
        <v>344168</v>
      </c>
      <c r="I20" s="1348">
        <v>341042</v>
      </c>
      <c r="J20" s="1349">
        <v>344182</v>
      </c>
    </row>
    <row r="21" spans="1:10" ht="15" customHeight="1" x14ac:dyDescent="0.25">
      <c r="A21" s="1354" t="s">
        <v>346</v>
      </c>
      <c r="B21" s="1346">
        <v>110567</v>
      </c>
      <c r="C21" s="1347">
        <v>107890</v>
      </c>
      <c r="D21" s="1347">
        <v>105953</v>
      </c>
      <c r="E21" s="1348">
        <v>106635</v>
      </c>
      <c r="F21" s="1349">
        <v>106379</v>
      </c>
      <c r="G21" s="1347">
        <v>106543</v>
      </c>
      <c r="H21" s="1347">
        <v>105528</v>
      </c>
      <c r="I21" s="1348">
        <v>104124</v>
      </c>
      <c r="J21" s="1349">
        <v>104170</v>
      </c>
    </row>
    <row r="22" spans="1:10" ht="15" customHeight="1" x14ac:dyDescent="0.25">
      <c r="A22" s="1354" t="s">
        <v>347</v>
      </c>
      <c r="B22" s="1346">
        <v>18045</v>
      </c>
      <c r="C22" s="1347">
        <v>17472</v>
      </c>
      <c r="D22" s="1347">
        <v>17224</v>
      </c>
      <c r="E22" s="1348">
        <v>17548</v>
      </c>
      <c r="F22" s="1349">
        <v>17374</v>
      </c>
      <c r="G22" s="1347">
        <v>17646</v>
      </c>
      <c r="H22" s="1347">
        <v>17579</v>
      </c>
      <c r="I22" s="1348">
        <v>17166</v>
      </c>
      <c r="J22" s="1349">
        <v>17109</v>
      </c>
    </row>
    <row r="23" spans="1:10" ht="15" customHeight="1" x14ac:dyDescent="0.25">
      <c r="A23" s="1354" t="s">
        <v>566</v>
      </c>
      <c r="B23" s="1346">
        <v>279705</v>
      </c>
      <c r="C23" s="1347">
        <v>282458</v>
      </c>
      <c r="D23" s="1347">
        <v>280487</v>
      </c>
      <c r="E23" s="1348">
        <v>290188</v>
      </c>
      <c r="F23" s="1349">
        <v>292671</v>
      </c>
      <c r="G23" s="1347">
        <v>292973</v>
      </c>
      <c r="H23" s="1347">
        <v>292758</v>
      </c>
      <c r="I23" s="1348">
        <v>287888</v>
      </c>
      <c r="J23" s="1349">
        <v>291822</v>
      </c>
    </row>
    <row r="24" spans="1:10" ht="15" customHeight="1" x14ac:dyDescent="0.25">
      <c r="A24" s="1354" t="s">
        <v>567</v>
      </c>
      <c r="B24" s="1346">
        <v>778508</v>
      </c>
      <c r="C24" s="1347">
        <v>768757</v>
      </c>
      <c r="D24" s="1347">
        <v>763456</v>
      </c>
      <c r="E24" s="1348">
        <v>773162</v>
      </c>
      <c r="F24" s="1349">
        <v>767365</v>
      </c>
      <c r="G24" s="1347">
        <v>765793</v>
      </c>
      <c r="H24" s="1347">
        <v>760033</v>
      </c>
      <c r="I24" s="1348">
        <v>750220</v>
      </c>
      <c r="J24" s="1349">
        <v>757283</v>
      </c>
    </row>
    <row r="25" spans="1:10" ht="15" customHeight="1" x14ac:dyDescent="0.25">
      <c r="A25" s="1354" t="s">
        <v>568</v>
      </c>
      <c r="B25" s="1346">
        <v>7463</v>
      </c>
      <c r="C25" s="1347">
        <v>7197</v>
      </c>
      <c r="D25" s="1347">
        <v>7084</v>
      </c>
      <c r="E25" s="1348">
        <v>6857</v>
      </c>
      <c r="F25" s="1349">
        <v>6536</v>
      </c>
      <c r="G25" s="1347">
        <v>6582</v>
      </c>
      <c r="H25" s="1347">
        <v>6507</v>
      </c>
      <c r="I25" s="1348">
        <v>6328</v>
      </c>
      <c r="J25" s="1349">
        <v>6372</v>
      </c>
    </row>
    <row r="26" spans="1:10" ht="15" customHeight="1" x14ac:dyDescent="0.25">
      <c r="A26" s="1354" t="s">
        <v>569</v>
      </c>
      <c r="B26" s="1346">
        <v>771045</v>
      </c>
      <c r="C26" s="1347">
        <v>761560</v>
      </c>
      <c r="D26" s="1347">
        <v>756372</v>
      </c>
      <c r="E26" s="1348">
        <v>766305</v>
      </c>
      <c r="F26" s="1349">
        <v>760829</v>
      </c>
      <c r="G26" s="1347">
        <v>759211</v>
      </c>
      <c r="H26" s="1347">
        <v>753526</v>
      </c>
      <c r="I26" s="1348">
        <v>743892</v>
      </c>
      <c r="J26" s="1349">
        <v>750911</v>
      </c>
    </row>
    <row r="27" spans="1:10" ht="15" customHeight="1" x14ac:dyDescent="0.25">
      <c r="A27" s="1355"/>
      <c r="B27" s="1350"/>
      <c r="C27" s="1351"/>
      <c r="D27" s="1351"/>
      <c r="E27" s="1352"/>
      <c r="F27" s="1353"/>
      <c r="G27" s="1351"/>
      <c r="H27" s="1351"/>
      <c r="I27" s="1352"/>
      <c r="J27" s="1353"/>
    </row>
    <row r="28" spans="1:10" ht="15" customHeight="1" x14ac:dyDescent="0.25">
      <c r="A28" s="1345" t="s">
        <v>570</v>
      </c>
      <c r="B28" s="1350"/>
      <c r="C28" s="1351"/>
      <c r="D28" s="1351"/>
      <c r="E28" s="1352"/>
      <c r="F28" s="1353"/>
      <c r="G28" s="1351"/>
      <c r="H28" s="1351"/>
      <c r="I28" s="1352"/>
      <c r="J28" s="1353"/>
    </row>
    <row r="29" spans="1:10" ht="15" customHeight="1" x14ac:dyDescent="0.25">
      <c r="A29" s="1354" t="s">
        <v>571</v>
      </c>
      <c r="B29" s="1346">
        <v>177</v>
      </c>
      <c r="C29" s="1347">
        <v>133</v>
      </c>
      <c r="D29" s="1347">
        <v>189</v>
      </c>
      <c r="E29" s="1348">
        <v>207</v>
      </c>
      <c r="F29" s="1349">
        <v>148</v>
      </c>
      <c r="G29" s="1347">
        <v>3282</v>
      </c>
      <c r="H29" s="1347">
        <v>9117</v>
      </c>
      <c r="I29" s="1348">
        <v>15998</v>
      </c>
      <c r="J29" s="1349">
        <v>18628</v>
      </c>
    </row>
    <row r="30" spans="1:10" ht="15" customHeight="1" x14ac:dyDescent="0.25">
      <c r="A30" s="1354" t="s">
        <v>572</v>
      </c>
      <c r="B30" s="1346">
        <v>2649</v>
      </c>
      <c r="C30" s="1347">
        <v>2533</v>
      </c>
      <c r="D30" s="1347">
        <v>2418</v>
      </c>
      <c r="E30" s="1348">
        <v>2469</v>
      </c>
      <c r="F30" s="1349">
        <v>2374</v>
      </c>
      <c r="G30" s="1347">
        <v>2350</v>
      </c>
      <c r="H30" s="1347">
        <v>2326</v>
      </c>
      <c r="I30" s="1348">
        <v>2234</v>
      </c>
      <c r="J30" s="1349">
        <v>2743</v>
      </c>
    </row>
    <row r="31" spans="1:10" ht="15" customHeight="1" x14ac:dyDescent="0.25">
      <c r="A31" s="1354" t="s">
        <v>573</v>
      </c>
      <c r="B31" s="1346">
        <v>39</v>
      </c>
      <c r="C31" s="1347">
        <v>38</v>
      </c>
      <c r="D31" s="1347">
        <v>36</v>
      </c>
      <c r="E31" s="1348">
        <v>36</v>
      </c>
      <c r="F31" s="1349">
        <v>36</v>
      </c>
      <c r="G31" s="1347">
        <v>36</v>
      </c>
      <c r="H31" s="1347">
        <v>36</v>
      </c>
      <c r="I31" s="1348">
        <v>36</v>
      </c>
      <c r="J31" s="1349">
        <v>38</v>
      </c>
    </row>
    <row r="32" spans="1:10" ht="15" customHeight="1" x14ac:dyDescent="0.25">
      <c r="A32" s="1354" t="s">
        <v>574</v>
      </c>
      <c r="B32" s="1346">
        <v>4842</v>
      </c>
      <c r="C32" s="1347">
        <v>4755</v>
      </c>
      <c r="D32" s="1347">
        <v>4773</v>
      </c>
      <c r="E32" s="1348">
        <v>4866</v>
      </c>
      <c r="F32" s="1349">
        <v>5216</v>
      </c>
      <c r="G32" s="1347">
        <v>5348</v>
      </c>
      <c r="H32" s="1347">
        <v>5457</v>
      </c>
      <c r="I32" s="1348">
        <v>5483</v>
      </c>
      <c r="J32" s="1349">
        <v>5604</v>
      </c>
    </row>
    <row r="33" spans="1:10" ht="15" customHeight="1" x14ac:dyDescent="0.25">
      <c r="A33" s="1354" t="s">
        <v>575</v>
      </c>
      <c r="B33" s="1346">
        <v>6317</v>
      </c>
      <c r="C33" s="1347">
        <v>6029</v>
      </c>
      <c r="D33" s="1347">
        <v>5868</v>
      </c>
      <c r="E33" s="1348">
        <v>5940</v>
      </c>
      <c r="F33" s="1349">
        <v>1821</v>
      </c>
      <c r="G33" s="1347">
        <v>2107</v>
      </c>
      <c r="H33" s="1347">
        <v>2067</v>
      </c>
      <c r="I33" s="1348">
        <v>1957</v>
      </c>
      <c r="J33" s="1349">
        <v>1925</v>
      </c>
    </row>
    <row r="34" spans="1:10" ht="15" customHeight="1" x14ac:dyDescent="0.25">
      <c r="A34" s="1354" t="s">
        <v>576</v>
      </c>
      <c r="B34" s="1346">
        <v>16169</v>
      </c>
      <c r="C34" s="1347">
        <v>16067</v>
      </c>
      <c r="D34" s="1347">
        <v>16089</v>
      </c>
      <c r="E34" s="1348">
        <v>16218</v>
      </c>
      <c r="F34" s="1349">
        <v>16853</v>
      </c>
      <c r="G34" s="1347">
        <v>16969</v>
      </c>
      <c r="H34" s="1347">
        <v>17054</v>
      </c>
      <c r="I34" s="1348">
        <v>16981</v>
      </c>
      <c r="J34" s="1349">
        <v>17193</v>
      </c>
    </row>
    <row r="35" spans="1:10" ht="15" customHeight="1" x14ac:dyDescent="0.25">
      <c r="A35" s="1354" t="s">
        <v>577</v>
      </c>
      <c r="B35" s="1346">
        <v>3253</v>
      </c>
      <c r="C35" s="1347">
        <v>3045</v>
      </c>
      <c r="D35" s="1347">
        <v>2950</v>
      </c>
      <c r="E35" s="1348">
        <v>2892</v>
      </c>
      <c r="F35" s="1349">
        <v>2942</v>
      </c>
      <c r="G35" s="1347">
        <v>3177</v>
      </c>
      <c r="H35" s="1347">
        <v>3455</v>
      </c>
      <c r="I35" s="1348">
        <v>3186</v>
      </c>
      <c r="J35" s="1349">
        <v>3541</v>
      </c>
    </row>
    <row r="36" spans="1:10" ht="15" customHeight="1" x14ac:dyDescent="0.25">
      <c r="A36" s="1354" t="s">
        <v>321</v>
      </c>
      <c r="B36" s="1346">
        <v>32718</v>
      </c>
      <c r="C36" s="1347">
        <v>30196</v>
      </c>
      <c r="D36" s="1347">
        <v>33375</v>
      </c>
      <c r="E36" s="1348">
        <v>33313</v>
      </c>
      <c r="F36" s="1349">
        <v>27927</v>
      </c>
      <c r="G36" s="1347">
        <v>29580</v>
      </c>
      <c r="H36" s="1347">
        <v>31730</v>
      </c>
      <c r="I36" s="1348">
        <v>29745</v>
      </c>
      <c r="J36" s="1349">
        <v>32441</v>
      </c>
    </row>
    <row r="37" spans="1:10" ht="15" customHeight="1" x14ac:dyDescent="0.25">
      <c r="A37" s="1354" t="s">
        <v>578</v>
      </c>
      <c r="B37" s="1346">
        <v>66164</v>
      </c>
      <c r="C37" s="1347">
        <v>62796</v>
      </c>
      <c r="D37" s="1347">
        <v>65698</v>
      </c>
      <c r="E37" s="1348">
        <v>65941</v>
      </c>
      <c r="F37" s="1349">
        <v>57317</v>
      </c>
      <c r="G37" s="1347">
        <v>62849</v>
      </c>
      <c r="H37" s="1347">
        <v>71242</v>
      </c>
      <c r="I37" s="1348">
        <v>75620</v>
      </c>
      <c r="J37" s="1349">
        <v>82113</v>
      </c>
    </row>
    <row r="38" spans="1:10" ht="15" customHeight="1" x14ac:dyDescent="0.25">
      <c r="A38" s="1357"/>
      <c r="B38" s="1346"/>
      <c r="C38" s="1347"/>
      <c r="D38" s="1347"/>
      <c r="E38" s="1348"/>
      <c r="F38" s="1349"/>
      <c r="G38" s="1347"/>
      <c r="H38" s="1347"/>
      <c r="I38" s="1348"/>
      <c r="J38" s="1349"/>
    </row>
    <row r="39" spans="1:10" ht="15" customHeight="1" x14ac:dyDescent="0.25">
      <c r="A39" s="1358" t="s">
        <v>579</v>
      </c>
      <c r="B39" s="1359">
        <v>1460042</v>
      </c>
      <c r="C39" s="1360">
        <v>1414686</v>
      </c>
      <c r="D39" s="1360">
        <v>1415465</v>
      </c>
      <c r="E39" s="1361">
        <v>1439151</v>
      </c>
      <c r="F39" s="1362">
        <v>1412027</v>
      </c>
      <c r="G39" s="1360">
        <v>1402366</v>
      </c>
      <c r="H39" s="1360">
        <v>1399430</v>
      </c>
      <c r="I39" s="1361">
        <v>1392886</v>
      </c>
      <c r="J39" s="1362">
        <v>1411043</v>
      </c>
    </row>
    <row r="40" spans="1:10" ht="15" customHeight="1" x14ac:dyDescent="0.25">
      <c r="A40" s="1363"/>
      <c r="B40" s="1364"/>
      <c r="C40" s="1364"/>
      <c r="D40" s="1364"/>
      <c r="E40" s="1365"/>
      <c r="F40" s="1364"/>
      <c r="G40" s="1364"/>
      <c r="H40" s="1364"/>
      <c r="I40" s="1364"/>
      <c r="J40" s="1364"/>
    </row>
    <row r="41" spans="1:10" ht="15" customHeight="1" x14ac:dyDescent="0.25">
      <c r="A41" s="2885"/>
      <c r="B41" s="2885" t="s">
        <v>15</v>
      </c>
      <c r="C41" s="2885" t="s">
        <v>15</v>
      </c>
      <c r="D41" s="2885" t="s">
        <v>15</v>
      </c>
      <c r="E41" s="2885" t="s">
        <v>15</v>
      </c>
      <c r="F41" s="2885" t="s">
        <v>15</v>
      </c>
      <c r="G41" s="2885" t="s">
        <v>15</v>
      </c>
      <c r="H41" s="2885" t="s">
        <v>15</v>
      </c>
      <c r="I41" s="2885" t="s">
        <v>15</v>
      </c>
      <c r="J41" s="2885" t="s">
        <v>15</v>
      </c>
    </row>
  </sheetData>
  <mergeCells count="4">
    <mergeCell ref="A2:J2"/>
    <mergeCell ref="B3:E3"/>
    <mergeCell ref="F3:I3"/>
    <mergeCell ref="A41:J41"/>
  </mergeCells>
  <hyperlinks>
    <hyperlink ref="A1" location="ToC!A2" display="Back to Table of Contents" xr:uid="{2BC6B77B-F33E-49AA-89C0-A8A2E5F8B309}"/>
  </hyperlinks>
  <pageMargins left="0.5" right="0.5" top="0.5" bottom="0.5" header="0.25" footer="0.25"/>
  <pageSetup scale="73" orientation="landscape" r:id="rId1"/>
  <headerFooter>
    <oddFooter>&amp;L&amp;G&amp;C&amp;"Scotia,Regular"&amp;9Supplementary Financial Information (SFI)&amp;R13&amp;"Scotia,Regular"&amp;7</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B033-2239-4D02-9828-E02A6229ECA1}">
  <sheetPr>
    <pageSetUpPr fitToPage="1"/>
  </sheetPr>
  <dimension ref="A1:J43"/>
  <sheetViews>
    <sheetView showGridLines="0" zoomScaleNormal="100" workbookViewId="0"/>
  </sheetViews>
  <sheetFormatPr defaultColWidth="8.77734375" defaultRowHeight="13.2" x14ac:dyDescent="0.25"/>
  <cols>
    <col min="1" max="1" width="65.21875" style="23" customWidth="1"/>
    <col min="2" max="2" width="12.109375" style="23" bestFit="1" customWidth="1"/>
    <col min="3" max="3" width="12" style="23" customWidth="1"/>
    <col min="4" max="10" width="11.77734375" style="23" customWidth="1"/>
    <col min="11" max="16384" width="8.77734375" style="23"/>
  </cols>
  <sheetData>
    <row r="1" spans="1:10" ht="19.95" customHeight="1" x14ac:dyDescent="0.25">
      <c r="A1" s="22" t="s">
        <v>12</v>
      </c>
    </row>
    <row r="2" spans="1:10" ht="24" customHeight="1" x14ac:dyDescent="0.25">
      <c r="A2" s="2873" t="s">
        <v>580</v>
      </c>
      <c r="B2" s="2873" t="s">
        <v>15</v>
      </c>
      <c r="C2" s="2873" t="s">
        <v>15</v>
      </c>
      <c r="D2" s="2873" t="s">
        <v>15</v>
      </c>
      <c r="E2" s="2873" t="s">
        <v>15</v>
      </c>
      <c r="F2" s="2873" t="s">
        <v>15</v>
      </c>
      <c r="G2" s="2873" t="s">
        <v>15</v>
      </c>
      <c r="H2" s="2873" t="s">
        <v>15</v>
      </c>
      <c r="I2" s="2873" t="s">
        <v>15</v>
      </c>
      <c r="J2" s="2873" t="s">
        <v>15</v>
      </c>
    </row>
    <row r="3" spans="1:10" ht="15" customHeight="1" x14ac:dyDescent="0.25">
      <c r="A3" s="1176"/>
      <c r="B3" s="2879"/>
      <c r="C3" s="2880" t="s">
        <v>15</v>
      </c>
      <c r="D3" s="2880" t="s">
        <v>15</v>
      </c>
      <c r="E3" s="2881" t="s">
        <v>15</v>
      </c>
      <c r="F3" s="2882"/>
      <c r="G3" s="2883" t="s">
        <v>15</v>
      </c>
      <c r="H3" s="2883" t="s">
        <v>15</v>
      </c>
      <c r="I3" s="2884" t="s">
        <v>15</v>
      </c>
      <c r="J3" s="1331"/>
    </row>
    <row r="4" spans="1:10" ht="15" customHeight="1" x14ac:dyDescent="0.25">
      <c r="A4" s="1176" t="s">
        <v>556</v>
      </c>
      <c r="B4" s="1332" t="s">
        <v>165</v>
      </c>
      <c r="C4" s="1333" t="s">
        <v>166</v>
      </c>
      <c r="D4" s="1333" t="s">
        <v>167</v>
      </c>
      <c r="E4" s="1334" t="s">
        <v>168</v>
      </c>
      <c r="F4" s="1335" t="s">
        <v>169</v>
      </c>
      <c r="G4" s="1333" t="s">
        <v>170</v>
      </c>
      <c r="H4" s="1333" t="s">
        <v>171</v>
      </c>
      <c r="I4" s="1334" t="s">
        <v>172</v>
      </c>
      <c r="J4" s="1336" t="s">
        <v>173</v>
      </c>
    </row>
    <row r="5" spans="1:10" ht="15" customHeight="1" x14ac:dyDescent="0.25">
      <c r="A5" s="1337" t="s">
        <v>581</v>
      </c>
      <c r="B5" s="1332"/>
      <c r="C5" s="1333"/>
      <c r="D5" s="1333"/>
      <c r="E5" s="1334"/>
      <c r="F5" s="1335"/>
      <c r="G5" s="1333"/>
      <c r="H5" s="1333"/>
      <c r="I5" s="1334"/>
      <c r="J5" s="1336"/>
    </row>
    <row r="6" spans="1:10" ht="15" customHeight="1" x14ac:dyDescent="0.25">
      <c r="A6" s="1366" t="s">
        <v>194</v>
      </c>
      <c r="B6" s="1367"/>
      <c r="C6" s="1368"/>
      <c r="D6" s="1368"/>
      <c r="E6" s="1369"/>
      <c r="F6" s="1370"/>
      <c r="G6" s="1368"/>
      <c r="H6" s="1368"/>
      <c r="I6" s="1369"/>
      <c r="J6" s="1371"/>
    </row>
    <row r="7" spans="1:10" ht="15" customHeight="1" x14ac:dyDescent="0.25">
      <c r="A7" s="1354" t="s">
        <v>503</v>
      </c>
      <c r="B7" s="1346">
        <v>301718</v>
      </c>
      <c r="C7" s="1347">
        <v>301464</v>
      </c>
      <c r="D7" s="1347">
        <v>301069</v>
      </c>
      <c r="E7" s="1348">
        <v>303798</v>
      </c>
      <c r="F7" s="1349">
        <v>298821</v>
      </c>
      <c r="G7" s="1347">
        <v>296750</v>
      </c>
      <c r="H7" s="1347">
        <v>292117</v>
      </c>
      <c r="I7" s="1348">
        <v>292576</v>
      </c>
      <c r="J7" s="1349">
        <v>288617</v>
      </c>
    </row>
    <row r="8" spans="1:10" ht="15" customHeight="1" x14ac:dyDescent="0.25">
      <c r="A8" s="1354" t="s">
        <v>566</v>
      </c>
      <c r="B8" s="1346">
        <v>627667</v>
      </c>
      <c r="C8" s="1347">
        <v>605934</v>
      </c>
      <c r="D8" s="1347">
        <v>604307</v>
      </c>
      <c r="E8" s="1348">
        <v>617874</v>
      </c>
      <c r="F8" s="1349">
        <v>600114</v>
      </c>
      <c r="G8" s="1347">
        <v>606964</v>
      </c>
      <c r="H8" s="1347">
        <v>605457</v>
      </c>
      <c r="I8" s="1348">
        <v>597114</v>
      </c>
      <c r="J8" s="1349">
        <v>612267</v>
      </c>
    </row>
    <row r="9" spans="1:10" ht="15" customHeight="1" x14ac:dyDescent="0.25">
      <c r="A9" s="1354" t="s">
        <v>582</v>
      </c>
      <c r="B9" s="1346">
        <v>36894</v>
      </c>
      <c r="C9" s="1347">
        <v>39444</v>
      </c>
      <c r="D9" s="1347">
        <v>40467</v>
      </c>
      <c r="E9" s="1348">
        <v>44377</v>
      </c>
      <c r="F9" s="1349">
        <v>44914</v>
      </c>
      <c r="G9" s="1347">
        <v>45487</v>
      </c>
      <c r="H9" s="1347">
        <v>44454</v>
      </c>
      <c r="I9" s="1348">
        <v>50083</v>
      </c>
      <c r="J9" s="1349">
        <v>51449</v>
      </c>
    </row>
    <row r="10" spans="1:10" ht="15" customHeight="1" x14ac:dyDescent="0.25">
      <c r="A10" s="1355" t="s">
        <v>583</v>
      </c>
      <c r="B10" s="1346">
        <v>966279</v>
      </c>
      <c r="C10" s="1347">
        <v>946842</v>
      </c>
      <c r="D10" s="1347">
        <v>945843</v>
      </c>
      <c r="E10" s="1348">
        <v>966049</v>
      </c>
      <c r="F10" s="1349">
        <v>943849</v>
      </c>
      <c r="G10" s="1347">
        <v>949201</v>
      </c>
      <c r="H10" s="1347">
        <v>942028</v>
      </c>
      <c r="I10" s="1348">
        <v>939773</v>
      </c>
      <c r="J10" s="1349">
        <v>952333</v>
      </c>
    </row>
    <row r="11" spans="1:10" ht="15" customHeight="1" x14ac:dyDescent="0.25">
      <c r="A11" s="1355"/>
      <c r="B11" s="1350"/>
      <c r="C11" s="1351"/>
      <c r="D11" s="1351"/>
      <c r="E11" s="1352"/>
      <c r="F11" s="1353"/>
      <c r="G11" s="1351"/>
      <c r="H11" s="1351"/>
      <c r="I11" s="1352"/>
      <c r="J11" s="1353"/>
    </row>
    <row r="12" spans="1:10" ht="15" customHeight="1" x14ac:dyDescent="0.25">
      <c r="A12" s="1355" t="s">
        <v>584</v>
      </c>
      <c r="B12" s="1346">
        <v>47165</v>
      </c>
      <c r="C12" s="1347">
        <v>43536</v>
      </c>
      <c r="D12" s="1347">
        <v>39127</v>
      </c>
      <c r="E12" s="1348">
        <v>39594</v>
      </c>
      <c r="F12" s="1349">
        <v>36341</v>
      </c>
      <c r="G12" s="1347">
        <v>37754</v>
      </c>
      <c r="H12" s="1347">
        <v>32987</v>
      </c>
      <c r="I12" s="1348">
        <v>32074</v>
      </c>
      <c r="J12" s="1349">
        <v>26779</v>
      </c>
    </row>
    <row r="13" spans="1:10" ht="15" customHeight="1" x14ac:dyDescent="0.3">
      <c r="A13" s="1355"/>
      <c r="B13" s="1350"/>
      <c r="C13" s="1351"/>
      <c r="D13" s="1372"/>
      <c r="E13" s="1373"/>
      <c r="F13" s="1353"/>
      <c r="G13" s="1372"/>
      <c r="H13" s="1372"/>
      <c r="I13" s="1373"/>
      <c r="J13" s="1353"/>
    </row>
    <row r="14" spans="1:10" ht="15" customHeight="1" x14ac:dyDescent="0.3">
      <c r="A14" s="1355" t="s">
        <v>481</v>
      </c>
      <c r="B14" s="1350"/>
      <c r="C14" s="1351"/>
      <c r="D14" s="1372"/>
      <c r="E14" s="1373"/>
      <c r="F14" s="1353"/>
      <c r="G14" s="1372"/>
      <c r="H14" s="1372"/>
      <c r="I14" s="1373"/>
      <c r="J14" s="1353"/>
    </row>
    <row r="15" spans="1:10" ht="15" customHeight="1" x14ac:dyDescent="0.25">
      <c r="A15" s="1354" t="s">
        <v>585</v>
      </c>
      <c r="B15" s="1346">
        <v>178</v>
      </c>
      <c r="C15" s="1347">
        <v>134</v>
      </c>
      <c r="D15" s="1347">
        <v>190</v>
      </c>
      <c r="E15" s="1348">
        <v>210</v>
      </c>
      <c r="F15" s="1349">
        <v>149</v>
      </c>
      <c r="G15" s="1347">
        <v>3330</v>
      </c>
      <c r="H15" s="1347">
        <v>9205</v>
      </c>
      <c r="I15" s="1348">
        <v>16094</v>
      </c>
      <c r="J15" s="1349">
        <v>18718</v>
      </c>
    </row>
    <row r="16" spans="1:10" ht="15" customHeight="1" x14ac:dyDescent="0.25">
      <c r="A16" s="1354" t="s">
        <v>586</v>
      </c>
      <c r="B16" s="1346">
        <v>38104</v>
      </c>
      <c r="C16" s="1347">
        <v>34675</v>
      </c>
      <c r="D16" s="1347">
        <v>36543</v>
      </c>
      <c r="E16" s="1348">
        <v>34855</v>
      </c>
      <c r="F16" s="1349">
        <v>35042</v>
      </c>
      <c r="G16" s="1347">
        <v>32672</v>
      </c>
      <c r="H16" s="1347">
        <v>37780</v>
      </c>
      <c r="I16" s="1348">
        <v>43621</v>
      </c>
      <c r="J16" s="1349">
        <v>36403</v>
      </c>
    </row>
    <row r="17" spans="1:10" ht="15" customHeight="1" x14ac:dyDescent="0.25">
      <c r="A17" s="1354" t="s">
        <v>587</v>
      </c>
      <c r="B17" s="1346">
        <v>56031</v>
      </c>
      <c r="C17" s="1347">
        <v>52916</v>
      </c>
      <c r="D17" s="1347">
        <v>61933</v>
      </c>
      <c r="E17" s="1348">
        <v>59847</v>
      </c>
      <c r="F17" s="1349">
        <v>51260</v>
      </c>
      <c r="G17" s="1347">
        <v>47364</v>
      </c>
      <c r="H17" s="1347">
        <v>52861</v>
      </c>
      <c r="I17" s="1348">
        <v>47134</v>
      </c>
      <c r="J17" s="1349">
        <v>58660</v>
      </c>
    </row>
    <row r="18" spans="1:10" ht="30" customHeight="1" x14ac:dyDescent="0.25">
      <c r="A18" s="1374" t="s">
        <v>588</v>
      </c>
      <c r="B18" s="1346">
        <v>189144</v>
      </c>
      <c r="C18" s="1347">
        <v>182223</v>
      </c>
      <c r="D18" s="1347">
        <v>177987</v>
      </c>
      <c r="E18" s="1348">
        <v>182259</v>
      </c>
      <c r="F18" s="1349">
        <v>190449</v>
      </c>
      <c r="G18" s="1347">
        <v>178595</v>
      </c>
      <c r="H18" s="1347">
        <v>173602</v>
      </c>
      <c r="I18" s="1348">
        <v>162115</v>
      </c>
      <c r="J18" s="1349">
        <v>160007</v>
      </c>
    </row>
    <row r="19" spans="1:10" ht="15" customHeight="1" x14ac:dyDescent="0.25">
      <c r="A19" s="1354" t="s">
        <v>589</v>
      </c>
      <c r="B19" s="1346">
        <v>942</v>
      </c>
      <c r="C19" s="1347">
        <v>774</v>
      </c>
      <c r="D19" s="1347">
        <v>777</v>
      </c>
      <c r="E19" s="1348">
        <v>455</v>
      </c>
      <c r="F19" s="1349">
        <v>1070</v>
      </c>
      <c r="G19" s="1347">
        <v>1038</v>
      </c>
      <c r="H19" s="1347">
        <v>566</v>
      </c>
      <c r="I19" s="1348">
        <v>1000</v>
      </c>
      <c r="J19" s="1349">
        <v>728</v>
      </c>
    </row>
    <row r="20" spans="1:10" ht="15" customHeight="1" x14ac:dyDescent="0.25">
      <c r="A20" s="1354" t="s">
        <v>590</v>
      </c>
      <c r="B20" s="1346">
        <v>7692</v>
      </c>
      <c r="C20" s="1347">
        <v>7604</v>
      </c>
      <c r="D20" s="1347">
        <v>7891</v>
      </c>
      <c r="E20" s="1348">
        <v>8042</v>
      </c>
      <c r="F20" s="1349">
        <v>7833</v>
      </c>
      <c r="G20" s="1347">
        <v>7716</v>
      </c>
      <c r="H20" s="1347">
        <v>8129</v>
      </c>
      <c r="I20" s="1348">
        <v>7984</v>
      </c>
      <c r="J20" s="1349">
        <v>9693</v>
      </c>
    </row>
    <row r="21" spans="1:10" ht="15" customHeight="1" x14ac:dyDescent="0.25">
      <c r="A21" s="1354" t="s">
        <v>591</v>
      </c>
      <c r="B21" s="1346">
        <v>682</v>
      </c>
      <c r="C21" s="1347">
        <v>369</v>
      </c>
      <c r="D21" s="1347">
        <v>365</v>
      </c>
      <c r="E21" s="1348">
        <v>401</v>
      </c>
      <c r="F21" s="1349">
        <v>440</v>
      </c>
      <c r="G21" s="1347">
        <v>537</v>
      </c>
      <c r="H21" s="1347">
        <v>459</v>
      </c>
      <c r="I21" s="1348">
        <v>572</v>
      </c>
      <c r="J21" s="1349">
        <v>631</v>
      </c>
    </row>
    <row r="22" spans="1:10" ht="15" customHeight="1" x14ac:dyDescent="0.25">
      <c r="A22" s="1354" t="s">
        <v>592</v>
      </c>
      <c r="B22" s="1346">
        <v>1414</v>
      </c>
      <c r="C22" s="1347">
        <v>1419</v>
      </c>
      <c r="D22" s="1347">
        <v>1504</v>
      </c>
      <c r="E22" s="1348">
        <v>1433</v>
      </c>
      <c r="F22" s="1349">
        <v>1397</v>
      </c>
      <c r="G22" s="1347">
        <v>1416</v>
      </c>
      <c r="H22" s="1347">
        <v>1451</v>
      </c>
      <c r="I22" s="1348">
        <v>1445</v>
      </c>
      <c r="J22" s="1349">
        <v>1446</v>
      </c>
    </row>
    <row r="23" spans="1:10" ht="15" customHeight="1" x14ac:dyDescent="0.25">
      <c r="A23" s="1354" t="s">
        <v>481</v>
      </c>
      <c r="B23" s="1346">
        <v>63824</v>
      </c>
      <c r="C23" s="1347">
        <v>58711</v>
      </c>
      <c r="D23" s="1347">
        <v>56799</v>
      </c>
      <c r="E23" s="1348">
        <v>59585</v>
      </c>
      <c r="F23" s="1349">
        <v>60121</v>
      </c>
      <c r="G23" s="1347">
        <v>59524</v>
      </c>
      <c r="H23" s="1347">
        <v>59287</v>
      </c>
      <c r="I23" s="1348">
        <v>60622</v>
      </c>
      <c r="J23" s="1349">
        <v>67074</v>
      </c>
    </row>
    <row r="24" spans="1:10" ht="15" customHeight="1" x14ac:dyDescent="0.25">
      <c r="A24" s="1354" t="s">
        <v>593</v>
      </c>
      <c r="B24" s="1346">
        <v>358011</v>
      </c>
      <c r="C24" s="1347">
        <v>338825</v>
      </c>
      <c r="D24" s="1347">
        <v>343989</v>
      </c>
      <c r="E24" s="1348">
        <v>347087</v>
      </c>
      <c r="F24" s="1349">
        <v>347761</v>
      </c>
      <c r="G24" s="1347">
        <v>332192</v>
      </c>
      <c r="H24" s="1347">
        <v>343340</v>
      </c>
      <c r="I24" s="1348">
        <v>340587</v>
      </c>
      <c r="J24" s="1349">
        <v>353360</v>
      </c>
    </row>
    <row r="25" spans="1:10" ht="15" customHeight="1" x14ac:dyDescent="0.25">
      <c r="A25" s="1345" t="s">
        <v>594</v>
      </c>
      <c r="B25" s="1346">
        <v>1371455</v>
      </c>
      <c r="C25" s="1347">
        <v>1329203</v>
      </c>
      <c r="D25" s="1347">
        <v>1328959</v>
      </c>
      <c r="E25" s="1348">
        <v>1352730</v>
      </c>
      <c r="F25" s="1349">
        <v>1327951</v>
      </c>
      <c r="G25" s="1347">
        <v>1319147</v>
      </c>
      <c r="H25" s="1347">
        <v>1318355</v>
      </c>
      <c r="I25" s="1348">
        <v>1312434</v>
      </c>
      <c r="J25" s="1349">
        <v>1332472</v>
      </c>
    </row>
    <row r="26" spans="1:10" ht="15" customHeight="1" x14ac:dyDescent="0.25">
      <c r="A26" s="1375"/>
      <c r="B26" s="1376"/>
      <c r="C26" s="1377"/>
      <c r="D26" s="1377"/>
      <c r="E26" s="1378"/>
      <c r="F26" s="1379"/>
      <c r="G26" s="1377"/>
      <c r="H26" s="1377"/>
      <c r="I26" s="1378"/>
      <c r="J26" s="1379"/>
    </row>
    <row r="27" spans="1:10" ht="15" customHeight="1" x14ac:dyDescent="0.25">
      <c r="A27" s="1337" t="s">
        <v>595</v>
      </c>
      <c r="B27" s="1332"/>
      <c r="C27" s="1333"/>
      <c r="D27" s="1333"/>
      <c r="E27" s="1334"/>
      <c r="F27" s="1335"/>
      <c r="G27" s="1333"/>
      <c r="H27" s="1333"/>
      <c r="I27" s="1334"/>
      <c r="J27" s="1380"/>
    </row>
    <row r="28" spans="1:10" ht="15" customHeight="1" x14ac:dyDescent="0.25">
      <c r="A28" s="1339" t="s">
        <v>596</v>
      </c>
      <c r="B28" s="1367"/>
      <c r="C28" s="1368"/>
      <c r="D28" s="1368"/>
      <c r="E28" s="1369"/>
      <c r="F28" s="1370"/>
      <c r="G28" s="1368"/>
      <c r="H28" s="1368"/>
      <c r="I28" s="1369"/>
      <c r="J28" s="1381"/>
    </row>
    <row r="29" spans="1:10" ht="15" customHeight="1" x14ac:dyDescent="0.25">
      <c r="A29" s="1354" t="s">
        <v>597</v>
      </c>
      <c r="B29" s="1346">
        <v>22067</v>
      </c>
      <c r="C29" s="1347">
        <v>22089</v>
      </c>
      <c r="D29" s="1347">
        <v>22138</v>
      </c>
      <c r="E29" s="1348">
        <v>22136</v>
      </c>
      <c r="F29" s="1349">
        <v>22054</v>
      </c>
      <c r="G29" s="1347">
        <v>21549</v>
      </c>
      <c r="H29" s="1347">
        <v>21066</v>
      </c>
      <c r="I29" s="1348">
        <v>20599</v>
      </c>
      <c r="J29" s="1349">
        <v>20109</v>
      </c>
    </row>
    <row r="30" spans="1:10" ht="15" customHeight="1" x14ac:dyDescent="0.25">
      <c r="A30" s="1354" t="s">
        <v>598</v>
      </c>
      <c r="B30" s="1346">
        <v>58916</v>
      </c>
      <c r="C30" s="1347">
        <v>58703</v>
      </c>
      <c r="D30" s="1347">
        <v>57965</v>
      </c>
      <c r="E30" s="1348">
        <v>57445</v>
      </c>
      <c r="F30" s="1349">
        <v>57751</v>
      </c>
      <c r="G30" s="1347">
        <v>57541</v>
      </c>
      <c r="H30" s="1347">
        <v>57081</v>
      </c>
      <c r="I30" s="1348">
        <v>56443</v>
      </c>
      <c r="J30" s="1349">
        <v>55673</v>
      </c>
    </row>
    <row r="31" spans="1:10" ht="15" customHeight="1" x14ac:dyDescent="0.25">
      <c r="A31" s="1354" t="s">
        <v>599</v>
      </c>
      <c r="B31" s="1346">
        <v>-3826</v>
      </c>
      <c r="C31" s="1347">
        <v>-5310</v>
      </c>
      <c r="D31" s="1347">
        <v>-5191</v>
      </c>
      <c r="E31" s="1348">
        <v>-4789</v>
      </c>
      <c r="F31" s="1349">
        <v>-6147</v>
      </c>
      <c r="G31" s="1347">
        <v>-6298</v>
      </c>
      <c r="H31" s="1347">
        <v>-7502</v>
      </c>
      <c r="I31" s="1348">
        <v>-6998</v>
      </c>
      <c r="J31" s="1349">
        <v>-6931</v>
      </c>
    </row>
    <row r="32" spans="1:10" ht="15" customHeight="1" x14ac:dyDescent="0.25">
      <c r="A32" s="1354" t="s">
        <v>600</v>
      </c>
      <c r="B32" s="1346">
        <v>-230</v>
      </c>
      <c r="C32" s="1347">
        <v>-224</v>
      </c>
      <c r="D32" s="1347">
        <v>-226</v>
      </c>
      <c r="E32" s="1348">
        <v>-229</v>
      </c>
      <c r="F32" s="1349">
        <v>-68</v>
      </c>
      <c r="G32" s="1347">
        <v>-67</v>
      </c>
      <c r="H32" s="1347">
        <v>-68</v>
      </c>
      <c r="I32" s="1348">
        <v>-67</v>
      </c>
      <c r="J32" s="1349">
        <v>-84</v>
      </c>
    </row>
    <row r="33" spans="1:10" ht="15" customHeight="1" x14ac:dyDescent="0.25">
      <c r="A33" s="1354" t="s">
        <v>601</v>
      </c>
      <c r="B33" s="1346">
        <v>76927</v>
      </c>
      <c r="C33" s="1347">
        <v>75258</v>
      </c>
      <c r="D33" s="1347">
        <v>74686</v>
      </c>
      <c r="E33" s="1348">
        <v>74563</v>
      </c>
      <c r="F33" s="1382">
        <v>73590</v>
      </c>
      <c r="G33" s="1383">
        <v>72725</v>
      </c>
      <c r="H33" s="1383">
        <v>70577</v>
      </c>
      <c r="I33" s="1384">
        <v>69977</v>
      </c>
      <c r="J33" s="1382">
        <v>68767</v>
      </c>
    </row>
    <row r="34" spans="1:10" ht="15" customHeight="1" x14ac:dyDescent="0.25">
      <c r="A34" s="1355"/>
      <c r="B34" s="1350"/>
      <c r="C34" s="1351"/>
      <c r="D34" s="1351"/>
      <c r="E34" s="1352"/>
      <c r="F34" s="1353"/>
      <c r="G34" s="1351"/>
      <c r="H34" s="1351"/>
      <c r="I34" s="1352"/>
      <c r="J34" s="1353"/>
    </row>
    <row r="35" spans="1:10" ht="15" customHeight="1" x14ac:dyDescent="0.25">
      <c r="A35" s="1355" t="s">
        <v>602</v>
      </c>
      <c r="B35" s="1346">
        <v>9939</v>
      </c>
      <c r="C35" s="1347">
        <v>8544</v>
      </c>
      <c r="D35" s="1347">
        <v>10232</v>
      </c>
      <c r="E35" s="1348">
        <v>10232</v>
      </c>
      <c r="F35" s="1349">
        <v>8779</v>
      </c>
      <c r="G35" s="1347">
        <v>8779</v>
      </c>
      <c r="H35" s="1347">
        <v>8779</v>
      </c>
      <c r="I35" s="1348">
        <v>8779</v>
      </c>
      <c r="J35" s="1349">
        <v>8075</v>
      </c>
    </row>
    <row r="36" spans="1:10" ht="15" customHeight="1" x14ac:dyDescent="0.25">
      <c r="A36" s="1355" t="s">
        <v>603</v>
      </c>
      <c r="B36" s="1346">
        <v>86866</v>
      </c>
      <c r="C36" s="1347">
        <v>83802</v>
      </c>
      <c r="D36" s="1347">
        <v>84918</v>
      </c>
      <c r="E36" s="1348">
        <v>84795</v>
      </c>
      <c r="F36" s="1349">
        <v>82369</v>
      </c>
      <c r="G36" s="1347">
        <v>81504</v>
      </c>
      <c r="H36" s="1347">
        <v>79356</v>
      </c>
      <c r="I36" s="1348">
        <v>78756</v>
      </c>
      <c r="J36" s="1349">
        <v>76842</v>
      </c>
    </row>
    <row r="37" spans="1:10" ht="15" customHeight="1" x14ac:dyDescent="0.25">
      <c r="A37" s="1355"/>
      <c r="B37" s="1350"/>
      <c r="C37" s="1351"/>
      <c r="D37" s="1351"/>
      <c r="E37" s="1352"/>
      <c r="F37" s="1353"/>
      <c r="G37" s="1351"/>
      <c r="H37" s="1351"/>
      <c r="I37" s="1352"/>
      <c r="J37" s="1353"/>
    </row>
    <row r="38" spans="1:10" ht="15" customHeight="1" x14ac:dyDescent="0.25">
      <c r="A38" s="1355" t="s">
        <v>604</v>
      </c>
      <c r="B38" s="1346">
        <v>1721</v>
      </c>
      <c r="C38" s="1347">
        <v>1681</v>
      </c>
      <c r="D38" s="1347">
        <v>1588</v>
      </c>
      <c r="E38" s="1348">
        <v>1626</v>
      </c>
      <c r="F38" s="1349">
        <v>1707</v>
      </c>
      <c r="G38" s="1347">
        <v>1715</v>
      </c>
      <c r="H38" s="1347">
        <v>1719</v>
      </c>
      <c r="I38" s="1348">
        <v>1696</v>
      </c>
      <c r="J38" s="1349">
        <v>1729</v>
      </c>
    </row>
    <row r="39" spans="1:10" ht="15" customHeight="1" x14ac:dyDescent="0.25">
      <c r="A39" s="1345" t="s">
        <v>605</v>
      </c>
      <c r="B39" s="1346">
        <v>88587</v>
      </c>
      <c r="C39" s="1347">
        <v>85483</v>
      </c>
      <c r="D39" s="1347">
        <v>86506</v>
      </c>
      <c r="E39" s="1348">
        <v>86421</v>
      </c>
      <c r="F39" s="1349">
        <v>84076</v>
      </c>
      <c r="G39" s="1347">
        <v>83219</v>
      </c>
      <c r="H39" s="1347">
        <v>81075</v>
      </c>
      <c r="I39" s="1348">
        <v>80452</v>
      </c>
      <c r="J39" s="1349">
        <v>78571</v>
      </c>
    </row>
    <row r="40" spans="1:10" ht="15" customHeight="1" x14ac:dyDescent="0.25">
      <c r="A40" s="1357"/>
      <c r="B40" s="1385"/>
      <c r="C40" s="1386"/>
      <c r="D40" s="1386"/>
      <c r="E40" s="1387"/>
      <c r="F40" s="1388"/>
      <c r="G40" s="1386"/>
      <c r="H40" s="1386"/>
      <c r="I40" s="1387"/>
      <c r="J40" s="1389"/>
    </row>
    <row r="41" spans="1:10" ht="15" customHeight="1" x14ac:dyDescent="0.25">
      <c r="A41" s="1358" t="s">
        <v>606</v>
      </c>
      <c r="B41" s="1359">
        <v>1460042</v>
      </c>
      <c r="C41" s="1360">
        <v>1414686</v>
      </c>
      <c r="D41" s="1360">
        <v>1415465</v>
      </c>
      <c r="E41" s="1361">
        <v>1439151</v>
      </c>
      <c r="F41" s="1362">
        <v>1412027</v>
      </c>
      <c r="G41" s="1360">
        <v>1402366</v>
      </c>
      <c r="H41" s="1360">
        <v>1399430</v>
      </c>
      <c r="I41" s="1361">
        <v>1392886</v>
      </c>
      <c r="J41" s="1362">
        <v>1411043</v>
      </c>
    </row>
    <row r="42" spans="1:10" ht="6" customHeight="1" x14ac:dyDescent="0.25">
      <c r="A42" s="1390"/>
      <c r="B42" s="1391"/>
      <c r="C42" s="1392"/>
      <c r="D42" s="1393"/>
      <c r="E42" s="1394"/>
      <c r="F42" s="1394"/>
      <c r="G42" s="1394"/>
      <c r="H42" s="1394"/>
      <c r="I42" s="1394"/>
      <c r="J42" s="1394"/>
    </row>
    <row r="43" spans="1:10" ht="6" customHeight="1" x14ac:dyDescent="0.25">
      <c r="A43" s="2885"/>
      <c r="B43" s="2885" t="s">
        <v>15</v>
      </c>
      <c r="C43" s="2885" t="s">
        <v>15</v>
      </c>
      <c r="D43" s="2885" t="s">
        <v>15</v>
      </c>
      <c r="E43" s="2885" t="s">
        <v>15</v>
      </c>
      <c r="F43" s="2885" t="s">
        <v>15</v>
      </c>
      <c r="G43" s="2885" t="s">
        <v>15</v>
      </c>
      <c r="H43" s="2885" t="s">
        <v>15</v>
      </c>
      <c r="I43" s="2885" t="s">
        <v>15</v>
      </c>
      <c r="J43" s="2885" t="s">
        <v>15</v>
      </c>
    </row>
  </sheetData>
  <mergeCells count="4">
    <mergeCell ref="A2:J2"/>
    <mergeCell ref="B3:E3"/>
    <mergeCell ref="F3:I3"/>
    <mergeCell ref="A43:J43"/>
  </mergeCells>
  <hyperlinks>
    <hyperlink ref="A1" location="ToC!A2" display="Back to Table of Contents" xr:uid="{55584BA3-5638-4FA1-B052-6369A512FDB3}"/>
  </hyperlinks>
  <pageMargins left="0.5" right="0.5" top="0.5" bottom="0.5" header="0.25" footer="0.25"/>
  <pageSetup scale="74" orientation="landscape" r:id="rId1"/>
  <headerFooter>
    <oddFooter>&amp;L&amp;G&amp;C&amp;"Scotia,Regular"&amp;9Supplementary Financial Information (SFI)&amp;R14&amp;"Scotia,Regular"&amp;7</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7369-324C-4A4F-9F5B-C677DF826879}">
  <sheetPr>
    <pageSetUpPr fitToPage="1"/>
  </sheetPr>
  <dimension ref="A1:L59"/>
  <sheetViews>
    <sheetView showGridLines="0" zoomScaleNormal="100" workbookViewId="0"/>
  </sheetViews>
  <sheetFormatPr defaultColWidth="8.77734375" defaultRowHeight="13.2" x14ac:dyDescent="0.25"/>
  <cols>
    <col min="1" max="1" width="68.6640625" style="23" customWidth="1"/>
    <col min="2" max="5" width="12.21875" style="23" customWidth="1"/>
    <col min="6" max="12" width="11.77734375" style="23" customWidth="1"/>
    <col min="13" max="16384" width="8.77734375" style="23"/>
  </cols>
  <sheetData>
    <row r="1" spans="1:12" ht="19.95" customHeight="1" x14ac:dyDescent="0.25">
      <c r="A1" s="22" t="s">
        <v>12</v>
      </c>
    </row>
    <row r="2" spans="1:12" ht="25.05" customHeight="1" x14ac:dyDescent="0.25">
      <c r="A2" s="2887" t="s">
        <v>607</v>
      </c>
      <c r="B2" s="2887" t="s">
        <v>15</v>
      </c>
      <c r="C2" s="2887" t="s">
        <v>15</v>
      </c>
      <c r="D2" s="2887" t="s">
        <v>15</v>
      </c>
      <c r="E2" s="2887" t="s">
        <v>15</v>
      </c>
      <c r="F2" s="2887" t="s">
        <v>15</v>
      </c>
      <c r="G2" s="2887" t="s">
        <v>15</v>
      </c>
      <c r="H2" s="2887" t="s">
        <v>15</v>
      </c>
      <c r="I2" s="2887" t="s">
        <v>15</v>
      </c>
      <c r="J2" s="2887" t="s">
        <v>15</v>
      </c>
      <c r="K2" s="2887" t="s">
        <v>15</v>
      </c>
      <c r="L2" s="2887" t="s">
        <v>15</v>
      </c>
    </row>
    <row r="3" spans="1:12" ht="15" customHeight="1" x14ac:dyDescent="0.25">
      <c r="A3" s="1395"/>
      <c r="B3" s="2888"/>
      <c r="C3" s="2889"/>
      <c r="D3" s="2889"/>
      <c r="E3" s="2890"/>
      <c r="F3" s="2888"/>
      <c r="G3" s="2889"/>
      <c r="H3" s="2889"/>
      <c r="I3" s="2890"/>
      <c r="J3" s="1396"/>
      <c r="K3" s="2891" t="s">
        <v>163</v>
      </c>
      <c r="L3" s="2892" t="s">
        <v>15</v>
      </c>
    </row>
    <row r="4" spans="1:12" ht="15" customHeight="1" x14ac:dyDescent="0.25">
      <c r="A4" s="1397" t="s">
        <v>556</v>
      </c>
      <c r="B4" s="903" t="s">
        <v>165</v>
      </c>
      <c r="C4" s="1398" t="s">
        <v>166</v>
      </c>
      <c r="D4" s="1398" t="s">
        <v>167</v>
      </c>
      <c r="E4" s="1399" t="s">
        <v>168</v>
      </c>
      <c r="F4" s="1400" t="s">
        <v>169</v>
      </c>
      <c r="G4" s="1398" t="s">
        <v>170</v>
      </c>
      <c r="H4" s="1398" t="s">
        <v>171</v>
      </c>
      <c r="I4" s="1399" t="s">
        <v>172</v>
      </c>
      <c r="J4" s="1401" t="s">
        <v>173</v>
      </c>
      <c r="K4" s="1400">
        <v>2025</v>
      </c>
      <c r="L4" s="1398">
        <v>2024</v>
      </c>
    </row>
    <row r="5" spans="1:12" ht="15" customHeight="1" x14ac:dyDescent="0.25">
      <c r="A5" s="1402" t="s">
        <v>608</v>
      </c>
      <c r="B5" s="1403">
        <v>64502</v>
      </c>
      <c r="C5" s="1404">
        <v>67554</v>
      </c>
      <c r="D5" s="1404">
        <v>74489</v>
      </c>
      <c r="E5" s="1405">
        <v>65371</v>
      </c>
      <c r="F5" s="1406">
        <v>60003</v>
      </c>
      <c r="G5" s="1407">
        <v>62858</v>
      </c>
      <c r="H5" s="1407">
        <v>62725</v>
      </c>
      <c r="I5" s="1408">
        <v>72182</v>
      </c>
      <c r="J5" s="1409">
        <v>81228</v>
      </c>
      <c r="K5" s="1410">
        <v>67925</v>
      </c>
      <c r="L5" s="1411">
        <v>64451</v>
      </c>
    </row>
    <row r="6" spans="1:12" ht="15" customHeight="1" x14ac:dyDescent="0.25">
      <c r="A6" s="1412"/>
      <c r="B6" s="1413"/>
      <c r="C6" s="1414"/>
      <c r="D6" s="1414"/>
      <c r="E6" s="1415"/>
      <c r="F6" s="1416"/>
      <c r="G6" s="1417"/>
      <c r="H6" s="1417"/>
      <c r="I6" s="1418"/>
      <c r="J6" s="1419"/>
      <c r="K6" s="1420"/>
      <c r="L6" s="1421"/>
    </row>
    <row r="7" spans="1:12" ht="15" customHeight="1" x14ac:dyDescent="0.3">
      <c r="A7" s="1412" t="s">
        <v>609</v>
      </c>
      <c r="B7" s="1413"/>
      <c r="C7" s="1414"/>
      <c r="D7" s="1414"/>
      <c r="E7" s="1422"/>
      <c r="F7" s="1416"/>
      <c r="G7" s="1417"/>
      <c r="H7" s="1417"/>
      <c r="I7" s="1418"/>
      <c r="J7" s="1419"/>
      <c r="K7" s="1420"/>
      <c r="L7" s="1421"/>
    </row>
    <row r="8" spans="1:12" ht="15" customHeight="1" x14ac:dyDescent="0.25">
      <c r="A8" s="1423" t="s">
        <v>610</v>
      </c>
      <c r="B8" s="1424">
        <v>149108</v>
      </c>
      <c r="C8" s="1425">
        <v>140691</v>
      </c>
      <c r="D8" s="1425">
        <v>143146</v>
      </c>
      <c r="E8" s="1426">
        <v>148672</v>
      </c>
      <c r="F8" s="1427">
        <v>137321</v>
      </c>
      <c r="G8" s="1428">
        <v>145722</v>
      </c>
      <c r="H8" s="1428">
        <v>137187</v>
      </c>
      <c r="I8" s="1429">
        <v>134547</v>
      </c>
      <c r="J8" s="1430">
        <v>117678</v>
      </c>
      <c r="K8" s="1431">
        <v>145423</v>
      </c>
      <c r="L8" s="1432">
        <v>138702</v>
      </c>
    </row>
    <row r="9" spans="1:12" ht="15" customHeight="1" x14ac:dyDescent="0.25">
      <c r="A9" s="1423" t="s">
        <v>611</v>
      </c>
      <c r="B9" s="1424">
        <v>7845</v>
      </c>
      <c r="C9" s="1425">
        <v>7876</v>
      </c>
      <c r="D9" s="1425">
        <v>7851</v>
      </c>
      <c r="E9" s="1426">
        <v>7868</v>
      </c>
      <c r="F9" s="1427">
        <v>7874</v>
      </c>
      <c r="G9" s="1428">
        <v>7526</v>
      </c>
      <c r="H9" s="1428">
        <v>7550</v>
      </c>
      <c r="I9" s="1429">
        <v>7467</v>
      </c>
      <c r="J9" s="1430">
        <v>8539</v>
      </c>
      <c r="K9" s="1431">
        <v>7860</v>
      </c>
      <c r="L9" s="1432">
        <v>7605</v>
      </c>
    </row>
    <row r="10" spans="1:12" ht="15" customHeight="1" x14ac:dyDescent="0.25">
      <c r="A10" s="1433" t="s">
        <v>561</v>
      </c>
      <c r="B10" s="1424">
        <v>156953</v>
      </c>
      <c r="C10" s="1425">
        <v>148567</v>
      </c>
      <c r="D10" s="1425">
        <v>150997</v>
      </c>
      <c r="E10" s="1426">
        <v>156540</v>
      </c>
      <c r="F10" s="1427">
        <v>145195</v>
      </c>
      <c r="G10" s="1428">
        <v>153248</v>
      </c>
      <c r="H10" s="1428">
        <v>144737</v>
      </c>
      <c r="I10" s="1429">
        <v>142014</v>
      </c>
      <c r="J10" s="1430">
        <v>126217</v>
      </c>
      <c r="K10" s="1431">
        <v>153283</v>
      </c>
      <c r="L10" s="1432">
        <v>146307</v>
      </c>
    </row>
    <row r="11" spans="1:12" ht="15" customHeight="1" x14ac:dyDescent="0.25">
      <c r="A11" s="1412"/>
      <c r="B11" s="1413"/>
      <c r="C11" s="1414"/>
      <c r="D11" s="1414"/>
      <c r="E11" s="1415"/>
      <c r="F11" s="1416"/>
      <c r="G11" s="1417"/>
      <c r="H11" s="1417"/>
      <c r="I11" s="1418"/>
      <c r="J11" s="1419"/>
      <c r="K11" s="1420"/>
      <c r="L11" s="1421"/>
    </row>
    <row r="12" spans="1:12" ht="15" customHeight="1" x14ac:dyDescent="0.25">
      <c r="A12" s="1412" t="s">
        <v>612</v>
      </c>
      <c r="B12" s="1424">
        <v>229014</v>
      </c>
      <c r="C12" s="1425">
        <v>200737</v>
      </c>
      <c r="D12" s="1425">
        <v>206266</v>
      </c>
      <c r="E12" s="1426">
        <v>200930</v>
      </c>
      <c r="F12" s="1427">
        <v>196305</v>
      </c>
      <c r="G12" s="1428">
        <v>189557</v>
      </c>
      <c r="H12" s="1428">
        <v>191661</v>
      </c>
      <c r="I12" s="1429">
        <v>194807</v>
      </c>
      <c r="J12" s="1430">
        <v>196039</v>
      </c>
      <c r="K12" s="1431">
        <v>209261</v>
      </c>
      <c r="L12" s="1432">
        <v>193090</v>
      </c>
    </row>
    <row r="13" spans="1:12" ht="15" customHeight="1" x14ac:dyDescent="0.25">
      <c r="A13" s="1412"/>
      <c r="B13" s="1413"/>
      <c r="C13" s="1414"/>
      <c r="D13" s="1414"/>
      <c r="E13" s="1415"/>
      <c r="F13" s="1416"/>
      <c r="G13" s="1417"/>
      <c r="H13" s="1417"/>
      <c r="I13" s="1418"/>
      <c r="J13" s="1419"/>
      <c r="K13" s="1420"/>
      <c r="L13" s="1421"/>
    </row>
    <row r="14" spans="1:12" ht="15" customHeight="1" x14ac:dyDescent="0.25">
      <c r="A14" s="1412" t="s">
        <v>613</v>
      </c>
      <c r="B14" s="1424">
        <v>156491</v>
      </c>
      <c r="C14" s="1425">
        <v>157488</v>
      </c>
      <c r="D14" s="1425">
        <v>157659</v>
      </c>
      <c r="E14" s="1426">
        <v>157023</v>
      </c>
      <c r="F14" s="1427">
        <v>154243</v>
      </c>
      <c r="G14" s="1428">
        <v>150774</v>
      </c>
      <c r="H14" s="1428">
        <v>146404</v>
      </c>
      <c r="I14" s="1429">
        <v>138972</v>
      </c>
      <c r="J14" s="1430">
        <v>120556</v>
      </c>
      <c r="K14" s="1431">
        <v>157161</v>
      </c>
      <c r="L14" s="1432">
        <v>147605</v>
      </c>
    </row>
    <row r="15" spans="1:12" ht="15" customHeight="1" x14ac:dyDescent="0.25">
      <c r="A15" s="1412"/>
      <c r="B15" s="1413"/>
      <c r="C15" s="1414"/>
      <c r="D15" s="1414"/>
      <c r="E15" s="1415"/>
      <c r="F15" s="1416"/>
      <c r="G15" s="1417"/>
      <c r="H15" s="1417"/>
      <c r="I15" s="1418"/>
      <c r="J15" s="1419"/>
      <c r="K15" s="1420"/>
      <c r="L15" s="1421"/>
    </row>
    <row r="16" spans="1:12" ht="15" customHeight="1" x14ac:dyDescent="0.25">
      <c r="A16" s="1412" t="s">
        <v>614</v>
      </c>
      <c r="B16" s="1413"/>
      <c r="C16" s="1414"/>
      <c r="D16" s="1414"/>
      <c r="E16" s="1415"/>
      <c r="F16" s="1416"/>
      <c r="G16" s="1417"/>
      <c r="H16" s="1417"/>
      <c r="I16" s="1418"/>
      <c r="J16" s="1419"/>
      <c r="K16" s="1420"/>
      <c r="L16" s="1421"/>
    </row>
    <row r="17" spans="1:12" ht="15" customHeight="1" x14ac:dyDescent="0.25">
      <c r="A17" s="1423" t="s">
        <v>615</v>
      </c>
      <c r="B17" s="1424">
        <v>364027</v>
      </c>
      <c r="C17" s="1425">
        <v>359286</v>
      </c>
      <c r="D17" s="1425">
        <v>358721</v>
      </c>
      <c r="E17" s="1426">
        <v>353825</v>
      </c>
      <c r="F17" s="1427">
        <v>347915</v>
      </c>
      <c r="G17" s="1428">
        <v>345526</v>
      </c>
      <c r="H17" s="1428">
        <v>341092</v>
      </c>
      <c r="I17" s="1429">
        <v>341492</v>
      </c>
      <c r="J17" s="1430">
        <v>343696</v>
      </c>
      <c r="K17" s="1431">
        <v>358967</v>
      </c>
      <c r="L17" s="1432">
        <v>344138</v>
      </c>
    </row>
    <row r="18" spans="1:12" ht="15" customHeight="1" x14ac:dyDescent="0.25">
      <c r="A18" s="1423" t="s">
        <v>616</v>
      </c>
      <c r="B18" s="1424">
        <v>109293</v>
      </c>
      <c r="C18" s="1425">
        <v>107179</v>
      </c>
      <c r="D18" s="1425">
        <v>106188</v>
      </c>
      <c r="E18" s="1426">
        <v>106919</v>
      </c>
      <c r="F18" s="1427">
        <v>106256</v>
      </c>
      <c r="G18" s="1428">
        <v>106082</v>
      </c>
      <c r="H18" s="1428">
        <v>105050</v>
      </c>
      <c r="I18" s="1429">
        <v>104444</v>
      </c>
      <c r="J18" s="1430">
        <v>104104</v>
      </c>
      <c r="K18" s="1431">
        <v>107404</v>
      </c>
      <c r="L18" s="1432">
        <v>105461</v>
      </c>
    </row>
    <row r="19" spans="1:12" ht="15" customHeight="1" x14ac:dyDescent="0.25">
      <c r="A19" s="1423" t="s">
        <v>617</v>
      </c>
      <c r="B19" s="1424">
        <v>17727</v>
      </c>
      <c r="C19" s="1425">
        <v>17330</v>
      </c>
      <c r="D19" s="1425">
        <v>17301</v>
      </c>
      <c r="E19" s="1426">
        <v>17504</v>
      </c>
      <c r="F19" s="1427">
        <v>17388</v>
      </c>
      <c r="G19" s="1428">
        <v>17622</v>
      </c>
      <c r="H19" s="1428">
        <v>17148</v>
      </c>
      <c r="I19" s="1429">
        <v>17096</v>
      </c>
      <c r="J19" s="1430">
        <v>16656</v>
      </c>
      <c r="K19" s="1431">
        <v>17467</v>
      </c>
      <c r="L19" s="1432">
        <v>17314</v>
      </c>
    </row>
    <row r="20" spans="1:12" ht="15" customHeight="1" x14ac:dyDescent="0.25">
      <c r="A20" s="1423" t="s">
        <v>618</v>
      </c>
      <c r="B20" s="1424">
        <v>280529</v>
      </c>
      <c r="C20" s="1425">
        <v>280550</v>
      </c>
      <c r="D20" s="1425">
        <v>285059</v>
      </c>
      <c r="E20" s="1426">
        <v>293899</v>
      </c>
      <c r="F20" s="1427">
        <v>290422</v>
      </c>
      <c r="G20" s="1428">
        <v>290805</v>
      </c>
      <c r="H20" s="1428">
        <v>286874</v>
      </c>
      <c r="I20" s="1429">
        <v>289899</v>
      </c>
      <c r="J20" s="1430">
        <v>290547</v>
      </c>
      <c r="K20" s="1431">
        <v>285009</v>
      </c>
      <c r="L20" s="1432">
        <v>289387</v>
      </c>
    </row>
    <row r="21" spans="1:12" ht="15" customHeight="1" x14ac:dyDescent="0.25">
      <c r="A21" s="1423" t="s">
        <v>619</v>
      </c>
      <c r="B21" s="1424">
        <v>771576</v>
      </c>
      <c r="C21" s="1425">
        <v>764345</v>
      </c>
      <c r="D21" s="1425">
        <v>767269</v>
      </c>
      <c r="E21" s="1426">
        <v>772147</v>
      </c>
      <c r="F21" s="1427">
        <v>761981</v>
      </c>
      <c r="G21" s="1428">
        <v>760035</v>
      </c>
      <c r="H21" s="1428">
        <v>750164</v>
      </c>
      <c r="I21" s="1429">
        <v>752931</v>
      </c>
      <c r="J21" s="1430">
        <v>755003</v>
      </c>
      <c r="K21" s="1431">
        <v>768847</v>
      </c>
      <c r="L21" s="1432">
        <v>756300</v>
      </c>
    </row>
    <row r="22" spans="1:12" ht="15" customHeight="1" x14ac:dyDescent="0.25">
      <c r="A22" s="1423" t="s">
        <v>620</v>
      </c>
      <c r="B22" s="1424">
        <v>7411</v>
      </c>
      <c r="C22" s="1425">
        <v>7251</v>
      </c>
      <c r="D22" s="1425">
        <v>6979</v>
      </c>
      <c r="E22" s="1426">
        <v>6722</v>
      </c>
      <c r="F22" s="1427">
        <v>6683</v>
      </c>
      <c r="G22" s="1428">
        <v>6613</v>
      </c>
      <c r="H22" s="1428">
        <v>6490</v>
      </c>
      <c r="I22" s="1429">
        <v>6507</v>
      </c>
      <c r="J22" s="1430">
        <v>6090</v>
      </c>
      <c r="K22" s="1431">
        <v>7092</v>
      </c>
      <c r="L22" s="1432">
        <v>6573</v>
      </c>
    </row>
    <row r="23" spans="1:12" ht="15" customHeight="1" x14ac:dyDescent="0.25">
      <c r="A23" s="1412" t="s">
        <v>621</v>
      </c>
      <c r="B23" s="1424">
        <v>764165</v>
      </c>
      <c r="C23" s="1425">
        <v>757094</v>
      </c>
      <c r="D23" s="1425">
        <v>760290</v>
      </c>
      <c r="E23" s="1426">
        <v>765425</v>
      </c>
      <c r="F23" s="1427">
        <v>755298</v>
      </c>
      <c r="G23" s="1428">
        <v>753422</v>
      </c>
      <c r="H23" s="1428">
        <v>743674</v>
      </c>
      <c r="I23" s="1429">
        <v>746424</v>
      </c>
      <c r="J23" s="1430">
        <v>748913</v>
      </c>
      <c r="K23" s="1431">
        <v>761755</v>
      </c>
      <c r="L23" s="1432">
        <v>749727</v>
      </c>
    </row>
    <row r="24" spans="1:12" ht="15" customHeight="1" x14ac:dyDescent="0.25">
      <c r="A24" s="1433"/>
      <c r="B24" s="1413"/>
      <c r="C24" s="1414"/>
      <c r="D24" s="1414"/>
      <c r="E24" s="1415"/>
      <c r="F24" s="1416"/>
      <c r="G24" s="1417"/>
      <c r="H24" s="1417"/>
      <c r="I24" s="1418"/>
      <c r="J24" s="1419"/>
      <c r="K24" s="1420"/>
      <c r="L24" s="1421"/>
    </row>
    <row r="25" spans="1:12" ht="15" customHeight="1" x14ac:dyDescent="0.25">
      <c r="A25" s="1412" t="s">
        <v>622</v>
      </c>
      <c r="B25" s="1424">
        <v>166</v>
      </c>
      <c r="C25" s="1425">
        <v>155</v>
      </c>
      <c r="D25" s="1425">
        <v>206</v>
      </c>
      <c r="E25" s="1426">
        <v>171</v>
      </c>
      <c r="F25" s="1427">
        <v>1130</v>
      </c>
      <c r="G25" s="1428">
        <v>7342</v>
      </c>
      <c r="H25" s="1428">
        <v>13575</v>
      </c>
      <c r="I25" s="1429">
        <v>18006</v>
      </c>
      <c r="J25" s="1430">
        <v>20718</v>
      </c>
      <c r="K25" s="1431">
        <v>174</v>
      </c>
      <c r="L25" s="1432">
        <v>9994</v>
      </c>
    </row>
    <row r="26" spans="1:12" ht="15" customHeight="1" x14ac:dyDescent="0.25">
      <c r="A26" s="1434"/>
      <c r="B26" s="1413"/>
      <c r="C26" s="1414"/>
      <c r="D26" s="1414"/>
      <c r="E26" s="1415"/>
      <c r="F26" s="1416"/>
      <c r="G26" s="1417"/>
      <c r="H26" s="1417"/>
      <c r="I26" s="1418"/>
      <c r="J26" s="1419"/>
      <c r="K26" s="1420"/>
      <c r="L26" s="1421"/>
    </row>
    <row r="27" spans="1:12" ht="15" customHeight="1" x14ac:dyDescent="0.25">
      <c r="A27" s="1412" t="s">
        <v>623</v>
      </c>
      <c r="B27" s="1424">
        <v>1371290</v>
      </c>
      <c r="C27" s="1425">
        <v>1331595</v>
      </c>
      <c r="D27" s="1425">
        <v>1349907</v>
      </c>
      <c r="E27" s="1426">
        <v>1345460</v>
      </c>
      <c r="F27" s="1427">
        <v>1312174</v>
      </c>
      <c r="G27" s="1428">
        <v>1317201</v>
      </c>
      <c r="H27" s="1428">
        <v>1302776</v>
      </c>
      <c r="I27" s="1429">
        <v>1312405</v>
      </c>
      <c r="J27" s="1430">
        <v>1293671</v>
      </c>
      <c r="K27" s="1431">
        <v>1349560</v>
      </c>
      <c r="L27" s="1432">
        <v>1311174</v>
      </c>
    </row>
    <row r="28" spans="1:12" ht="15" customHeight="1" x14ac:dyDescent="0.25">
      <c r="A28" s="1412"/>
      <c r="B28" s="1413"/>
      <c r="C28" s="1414"/>
      <c r="D28" s="1414"/>
      <c r="E28" s="1415"/>
      <c r="F28" s="1416"/>
      <c r="G28" s="1417"/>
      <c r="H28" s="1417"/>
      <c r="I28" s="1418"/>
      <c r="J28" s="1419"/>
      <c r="K28" s="1420"/>
      <c r="L28" s="1421"/>
    </row>
    <row r="29" spans="1:12" ht="15" customHeight="1" x14ac:dyDescent="0.25">
      <c r="A29" s="1412" t="s">
        <v>587</v>
      </c>
      <c r="B29" s="1424">
        <v>43112</v>
      </c>
      <c r="C29" s="1425">
        <v>43904</v>
      </c>
      <c r="D29" s="1425">
        <v>46394</v>
      </c>
      <c r="E29" s="1426">
        <v>48550</v>
      </c>
      <c r="F29" s="1427">
        <v>40825</v>
      </c>
      <c r="G29" s="1428">
        <v>39249</v>
      </c>
      <c r="H29" s="1428">
        <v>41918</v>
      </c>
      <c r="I29" s="1429">
        <v>44012</v>
      </c>
      <c r="J29" s="1430">
        <v>48906</v>
      </c>
      <c r="K29" s="1431">
        <v>45726</v>
      </c>
      <c r="L29" s="1432">
        <v>41694</v>
      </c>
    </row>
    <row r="30" spans="1:12" ht="15" customHeight="1" x14ac:dyDescent="0.25">
      <c r="A30" s="1412" t="s">
        <v>321</v>
      </c>
      <c r="B30" s="1424">
        <v>72127</v>
      </c>
      <c r="C30" s="1425">
        <v>70359</v>
      </c>
      <c r="D30" s="1425">
        <v>72009</v>
      </c>
      <c r="E30" s="1426">
        <v>66605</v>
      </c>
      <c r="F30" s="1427">
        <v>65796</v>
      </c>
      <c r="G30" s="1428">
        <v>66290</v>
      </c>
      <c r="H30" s="1428">
        <v>66487</v>
      </c>
      <c r="I30" s="1429">
        <v>66920</v>
      </c>
      <c r="J30" s="1430">
        <v>67547</v>
      </c>
      <c r="K30" s="1431">
        <v>69992</v>
      </c>
      <c r="L30" s="1432">
        <v>66416</v>
      </c>
    </row>
    <row r="31" spans="1:12" ht="15" customHeight="1" x14ac:dyDescent="0.25">
      <c r="A31" s="1435"/>
      <c r="B31" s="1436"/>
      <c r="C31" s="1437"/>
      <c r="D31" s="1437"/>
      <c r="E31" s="1438"/>
      <c r="F31" s="1439"/>
      <c r="G31" s="1440"/>
      <c r="H31" s="1440"/>
      <c r="I31" s="1441"/>
      <c r="J31" s="1442"/>
      <c r="K31" s="1443"/>
      <c r="L31" s="1444"/>
    </row>
    <row r="32" spans="1:12" ht="15" customHeight="1" x14ac:dyDescent="0.25">
      <c r="A32" s="1445" t="s">
        <v>322</v>
      </c>
      <c r="B32" s="1446">
        <v>1486529</v>
      </c>
      <c r="C32" s="1447">
        <v>1445858</v>
      </c>
      <c r="D32" s="1447">
        <v>1468310</v>
      </c>
      <c r="E32" s="1448">
        <v>1460615</v>
      </c>
      <c r="F32" s="1449">
        <v>1418795</v>
      </c>
      <c r="G32" s="1450">
        <v>1422740</v>
      </c>
      <c r="H32" s="1450">
        <v>1411181</v>
      </c>
      <c r="I32" s="1451">
        <v>1423337</v>
      </c>
      <c r="J32" s="1452">
        <v>1410124</v>
      </c>
      <c r="K32" s="1453">
        <v>1465278</v>
      </c>
      <c r="L32" s="1454">
        <v>1419284</v>
      </c>
    </row>
    <row r="33" spans="1:12" ht="15" customHeight="1" x14ac:dyDescent="0.25">
      <c r="A33" s="1455"/>
      <c r="B33" s="1456"/>
      <c r="C33" s="1457"/>
      <c r="D33" s="1457"/>
      <c r="E33" s="1458"/>
      <c r="F33" s="1459"/>
      <c r="G33" s="1460"/>
      <c r="H33" s="1460"/>
      <c r="I33" s="1461"/>
      <c r="J33" s="1462"/>
      <c r="K33" s="1463"/>
      <c r="L33" s="1460"/>
    </row>
    <row r="34" spans="1:12" ht="15" customHeight="1" x14ac:dyDescent="0.25">
      <c r="A34" s="1412" t="s">
        <v>624</v>
      </c>
      <c r="B34" s="1424">
        <v>924667</v>
      </c>
      <c r="C34" s="1425">
        <v>906416</v>
      </c>
      <c r="D34" s="1425">
        <v>924427</v>
      </c>
      <c r="E34" s="1426">
        <v>920225</v>
      </c>
      <c r="F34" s="1427">
        <v>899312</v>
      </c>
      <c r="G34" s="1428">
        <v>906831</v>
      </c>
      <c r="H34" s="1428">
        <v>901875</v>
      </c>
      <c r="I34" s="1429">
        <v>902281</v>
      </c>
      <c r="J34" s="1430">
        <v>902526</v>
      </c>
      <c r="K34" s="1431">
        <v>918888</v>
      </c>
      <c r="L34" s="1432">
        <v>902588</v>
      </c>
    </row>
    <row r="35" spans="1:12" ht="15" customHeight="1" x14ac:dyDescent="0.25">
      <c r="A35" s="1412" t="s">
        <v>625</v>
      </c>
      <c r="B35" s="1424">
        <v>39689</v>
      </c>
      <c r="C35" s="1425">
        <v>42368</v>
      </c>
      <c r="D35" s="1425">
        <v>43346</v>
      </c>
      <c r="E35" s="1426">
        <v>46586</v>
      </c>
      <c r="F35" s="1427">
        <v>46160</v>
      </c>
      <c r="G35" s="1428">
        <v>49272</v>
      </c>
      <c r="H35" s="1428">
        <v>49105</v>
      </c>
      <c r="I35" s="1429">
        <v>51997</v>
      </c>
      <c r="J35" s="1430">
        <v>53384</v>
      </c>
      <c r="K35" s="1431">
        <v>42994</v>
      </c>
      <c r="L35" s="1432">
        <v>49135</v>
      </c>
    </row>
    <row r="36" spans="1:12" ht="15" customHeight="1" x14ac:dyDescent="0.25">
      <c r="A36" s="1412" t="s">
        <v>584</v>
      </c>
      <c r="B36" s="1424">
        <v>45349</v>
      </c>
      <c r="C36" s="1425">
        <v>40347</v>
      </c>
      <c r="D36" s="1425">
        <v>39256</v>
      </c>
      <c r="E36" s="1426">
        <v>38033</v>
      </c>
      <c r="F36" s="1427">
        <v>36098</v>
      </c>
      <c r="G36" s="1428">
        <v>35434</v>
      </c>
      <c r="H36" s="1428">
        <v>32713</v>
      </c>
      <c r="I36" s="1429">
        <v>29818</v>
      </c>
      <c r="J36" s="1430">
        <v>27950</v>
      </c>
      <c r="K36" s="1431">
        <v>40758</v>
      </c>
      <c r="L36" s="1432">
        <v>33520</v>
      </c>
    </row>
    <row r="37" spans="1:12" ht="15" customHeight="1" x14ac:dyDescent="0.25">
      <c r="A37" s="1412"/>
      <c r="B37" s="1424">
        <v>1009705</v>
      </c>
      <c r="C37" s="1425">
        <v>989131</v>
      </c>
      <c r="D37" s="1425">
        <v>1007029</v>
      </c>
      <c r="E37" s="1426">
        <v>1004844</v>
      </c>
      <c r="F37" s="1427">
        <v>981570</v>
      </c>
      <c r="G37" s="1428">
        <v>991537</v>
      </c>
      <c r="H37" s="1428">
        <v>983693</v>
      </c>
      <c r="I37" s="1429">
        <v>984096</v>
      </c>
      <c r="J37" s="1430">
        <v>983860</v>
      </c>
      <c r="K37" s="1431">
        <v>1002640</v>
      </c>
      <c r="L37" s="1432">
        <v>985243</v>
      </c>
    </row>
    <row r="38" spans="1:12" ht="15" customHeight="1" x14ac:dyDescent="0.25">
      <c r="A38" s="1412"/>
      <c r="B38" s="1413"/>
      <c r="C38" s="1414"/>
      <c r="D38" s="1414"/>
      <c r="E38" s="1415"/>
      <c r="F38" s="1416"/>
      <c r="G38" s="1417"/>
      <c r="H38" s="1417"/>
      <c r="I38" s="1418"/>
      <c r="J38" s="1419"/>
      <c r="K38" s="1420"/>
      <c r="L38" s="1421"/>
    </row>
    <row r="39" spans="1:12" ht="15" customHeight="1" x14ac:dyDescent="0.25">
      <c r="A39" s="1412" t="s">
        <v>626</v>
      </c>
      <c r="B39" s="1424">
        <v>41941</v>
      </c>
      <c r="C39" s="1425">
        <v>40205</v>
      </c>
      <c r="D39" s="1425">
        <v>40087</v>
      </c>
      <c r="E39" s="1426">
        <v>38150</v>
      </c>
      <c r="F39" s="1427">
        <v>40796</v>
      </c>
      <c r="G39" s="1428">
        <v>39331</v>
      </c>
      <c r="H39" s="1428">
        <v>41865</v>
      </c>
      <c r="I39" s="1429">
        <v>42848</v>
      </c>
      <c r="J39" s="1430">
        <v>40904</v>
      </c>
      <c r="K39" s="1431">
        <v>40096</v>
      </c>
      <c r="L39" s="1432">
        <v>41207</v>
      </c>
    </row>
    <row r="40" spans="1:12" ht="15" customHeight="1" x14ac:dyDescent="0.25">
      <c r="A40" s="1412"/>
      <c r="B40" s="1413"/>
      <c r="C40" s="1414"/>
      <c r="D40" s="1414"/>
      <c r="E40" s="1415"/>
      <c r="F40" s="1416"/>
      <c r="G40" s="1417"/>
      <c r="H40" s="1417"/>
      <c r="I40" s="1418"/>
      <c r="J40" s="1419"/>
      <c r="K40" s="1420"/>
      <c r="L40" s="1421"/>
    </row>
    <row r="41" spans="1:12" ht="15" customHeight="1" x14ac:dyDescent="0.25">
      <c r="A41" s="1412" t="s">
        <v>627</v>
      </c>
      <c r="B41" s="1413"/>
      <c r="C41" s="1414"/>
      <c r="D41" s="1414"/>
      <c r="E41" s="1415"/>
      <c r="F41" s="1416"/>
      <c r="G41" s="1417"/>
      <c r="H41" s="1417"/>
      <c r="I41" s="1418"/>
      <c r="J41" s="1419"/>
      <c r="K41" s="1420"/>
      <c r="L41" s="1421"/>
    </row>
    <row r="42" spans="1:12" ht="15" customHeight="1" x14ac:dyDescent="0.25">
      <c r="A42" s="1433" t="s">
        <v>628</v>
      </c>
      <c r="B42" s="1424">
        <v>224726</v>
      </c>
      <c r="C42" s="1425">
        <v>207507</v>
      </c>
      <c r="D42" s="1425">
        <v>202955</v>
      </c>
      <c r="E42" s="1426">
        <v>200169</v>
      </c>
      <c r="F42" s="1427">
        <v>186202</v>
      </c>
      <c r="G42" s="1428">
        <v>181157</v>
      </c>
      <c r="H42" s="1428">
        <v>168136</v>
      </c>
      <c r="I42" s="1429">
        <v>169126</v>
      </c>
      <c r="J42" s="1430">
        <v>153580</v>
      </c>
      <c r="K42" s="1431">
        <v>208888</v>
      </c>
      <c r="L42" s="1432">
        <v>176199</v>
      </c>
    </row>
    <row r="43" spans="1:12" ht="15" customHeight="1" x14ac:dyDescent="0.25">
      <c r="A43" s="1412"/>
      <c r="B43" s="1413"/>
      <c r="C43" s="1414"/>
      <c r="D43" s="1414"/>
      <c r="E43" s="1415"/>
      <c r="F43" s="1416"/>
      <c r="G43" s="1417"/>
      <c r="H43" s="1417"/>
      <c r="I43" s="1418"/>
      <c r="J43" s="1419"/>
      <c r="K43" s="1420"/>
      <c r="L43" s="1421"/>
    </row>
    <row r="44" spans="1:12" ht="15" customHeight="1" x14ac:dyDescent="0.25">
      <c r="A44" s="1412" t="s">
        <v>590</v>
      </c>
      <c r="B44" s="1424">
        <v>7625</v>
      </c>
      <c r="C44" s="1425">
        <v>7733</v>
      </c>
      <c r="D44" s="1425">
        <v>7970</v>
      </c>
      <c r="E44" s="1426">
        <v>7946</v>
      </c>
      <c r="F44" s="1427">
        <v>7810</v>
      </c>
      <c r="G44" s="1428">
        <v>8287</v>
      </c>
      <c r="H44" s="1428">
        <v>8264</v>
      </c>
      <c r="I44" s="1429">
        <v>9802</v>
      </c>
      <c r="J44" s="1430">
        <v>10016</v>
      </c>
      <c r="K44" s="1431">
        <v>7817</v>
      </c>
      <c r="L44" s="1432">
        <v>8542</v>
      </c>
    </row>
    <row r="45" spans="1:12" ht="15" customHeight="1" x14ac:dyDescent="0.25">
      <c r="A45" s="1412"/>
      <c r="B45" s="1413"/>
      <c r="C45" s="1414"/>
      <c r="D45" s="1414"/>
      <c r="E45" s="1415"/>
      <c r="F45" s="1416"/>
      <c r="G45" s="1417"/>
      <c r="H45" s="1417"/>
      <c r="I45" s="1418"/>
      <c r="J45" s="1419"/>
      <c r="K45" s="1420"/>
      <c r="L45" s="1421"/>
    </row>
    <row r="46" spans="1:12" ht="15" customHeight="1" x14ac:dyDescent="0.25">
      <c r="A46" s="1412" t="s">
        <v>326</v>
      </c>
      <c r="B46" s="1424">
        <v>115903</v>
      </c>
      <c r="C46" s="1425">
        <v>115498</v>
      </c>
      <c r="D46" s="1425">
        <v>123797</v>
      </c>
      <c r="E46" s="1426">
        <v>124936</v>
      </c>
      <c r="F46" s="1427">
        <v>118791</v>
      </c>
      <c r="G46" s="1428">
        <v>120293</v>
      </c>
      <c r="H46" s="1428">
        <v>128464</v>
      </c>
      <c r="I46" s="1429">
        <v>138196</v>
      </c>
      <c r="J46" s="1430">
        <v>143635</v>
      </c>
      <c r="K46" s="1431">
        <v>120032</v>
      </c>
      <c r="L46" s="1432">
        <v>126634</v>
      </c>
    </row>
    <row r="47" spans="1:12" ht="15" customHeight="1" x14ac:dyDescent="0.25">
      <c r="A47" s="1434"/>
      <c r="B47" s="1464"/>
      <c r="C47" s="1465"/>
      <c r="D47" s="1465"/>
      <c r="E47" s="1466"/>
      <c r="F47" s="1467"/>
      <c r="G47" s="1468"/>
      <c r="H47" s="1468"/>
      <c r="I47" s="1469"/>
      <c r="J47" s="1470"/>
      <c r="K47" s="1420"/>
      <c r="L47" s="1421"/>
    </row>
    <row r="48" spans="1:12" ht="15" customHeight="1" x14ac:dyDescent="0.25">
      <c r="A48" s="1471" t="s">
        <v>629</v>
      </c>
      <c r="B48" s="1472"/>
      <c r="C48" s="1473"/>
      <c r="D48" s="1473"/>
      <c r="E48" s="1474"/>
      <c r="F48" s="1475"/>
      <c r="G48" s="1476"/>
      <c r="H48" s="1476"/>
      <c r="I48" s="1477"/>
      <c r="J48" s="1478"/>
      <c r="K48" s="1479"/>
      <c r="L48" s="1476"/>
    </row>
    <row r="49" spans="1:12" ht="15" customHeight="1" x14ac:dyDescent="0.25">
      <c r="A49" s="1480" t="s">
        <v>630</v>
      </c>
      <c r="B49" s="1472"/>
      <c r="C49" s="1473"/>
      <c r="D49" s="1473"/>
      <c r="E49" s="1474"/>
      <c r="F49" s="1475"/>
      <c r="G49" s="1476"/>
      <c r="H49" s="1476"/>
      <c r="I49" s="1477"/>
      <c r="J49" s="1478"/>
      <c r="K49" s="1479"/>
      <c r="L49" s="1476"/>
    </row>
    <row r="50" spans="1:12" ht="15" customHeight="1" x14ac:dyDescent="0.25">
      <c r="A50" s="1481" t="s">
        <v>631</v>
      </c>
      <c r="B50" s="1424">
        <v>76093</v>
      </c>
      <c r="C50" s="1425">
        <v>74972</v>
      </c>
      <c r="D50" s="1425">
        <v>74625</v>
      </c>
      <c r="E50" s="1426">
        <v>74077</v>
      </c>
      <c r="F50" s="1427">
        <v>73158</v>
      </c>
      <c r="G50" s="1428">
        <v>71651</v>
      </c>
      <c r="H50" s="1428">
        <v>70277</v>
      </c>
      <c r="I50" s="1429">
        <v>69372</v>
      </c>
      <c r="J50" s="1430">
        <v>68352</v>
      </c>
      <c r="K50" s="1431">
        <v>75005</v>
      </c>
      <c r="L50" s="1432">
        <v>71127</v>
      </c>
    </row>
    <row r="51" spans="1:12" ht="15" customHeight="1" x14ac:dyDescent="0.25">
      <c r="A51" s="1423" t="s">
        <v>632</v>
      </c>
      <c r="B51" s="1424">
        <v>8817</v>
      </c>
      <c r="C51" s="1425">
        <v>9168</v>
      </c>
      <c r="D51" s="1425">
        <v>10232</v>
      </c>
      <c r="E51" s="1426">
        <v>8794</v>
      </c>
      <c r="F51" s="1427">
        <v>8779</v>
      </c>
      <c r="G51" s="1428">
        <v>8779</v>
      </c>
      <c r="H51" s="1428">
        <v>8779</v>
      </c>
      <c r="I51" s="1429">
        <v>8174</v>
      </c>
      <c r="J51" s="1430">
        <v>8075</v>
      </c>
      <c r="K51" s="1431">
        <v>9130</v>
      </c>
      <c r="L51" s="1432">
        <v>8627</v>
      </c>
    </row>
    <row r="52" spans="1:12" ht="15" customHeight="1" x14ac:dyDescent="0.25">
      <c r="A52" s="1423" t="s">
        <v>633</v>
      </c>
      <c r="B52" s="1424">
        <v>1719</v>
      </c>
      <c r="C52" s="1425">
        <v>1644</v>
      </c>
      <c r="D52" s="1425">
        <v>1615</v>
      </c>
      <c r="E52" s="1426">
        <v>1699</v>
      </c>
      <c r="F52" s="1427">
        <v>1689</v>
      </c>
      <c r="G52" s="1428">
        <v>1705</v>
      </c>
      <c r="H52" s="1428">
        <v>1703</v>
      </c>
      <c r="I52" s="1429">
        <v>1723</v>
      </c>
      <c r="J52" s="1430">
        <v>1702</v>
      </c>
      <c r="K52" s="1431">
        <v>1670</v>
      </c>
      <c r="L52" s="1432">
        <v>1705</v>
      </c>
    </row>
    <row r="53" spans="1:12" ht="15" customHeight="1" x14ac:dyDescent="0.25">
      <c r="A53" s="1423" t="s">
        <v>634</v>
      </c>
      <c r="B53" s="1424">
        <v>86629</v>
      </c>
      <c r="C53" s="1425">
        <v>85784</v>
      </c>
      <c r="D53" s="1425">
        <v>86472</v>
      </c>
      <c r="E53" s="1426">
        <v>84570</v>
      </c>
      <c r="F53" s="1427">
        <v>83626</v>
      </c>
      <c r="G53" s="1428">
        <v>82135</v>
      </c>
      <c r="H53" s="1428">
        <v>80759</v>
      </c>
      <c r="I53" s="1429">
        <v>79269</v>
      </c>
      <c r="J53" s="1430">
        <v>78129</v>
      </c>
      <c r="K53" s="1431">
        <v>85805</v>
      </c>
      <c r="L53" s="1432">
        <v>81459</v>
      </c>
    </row>
    <row r="54" spans="1:12" ht="15" customHeight="1" x14ac:dyDescent="0.3">
      <c r="A54" s="1482"/>
      <c r="B54" s="1483"/>
      <c r="C54" s="1484"/>
      <c r="D54" s="1484"/>
      <c r="E54" s="1485"/>
      <c r="F54" s="1486"/>
      <c r="G54" s="1487"/>
      <c r="H54" s="1487"/>
      <c r="I54" s="1488"/>
      <c r="J54" s="1489"/>
      <c r="K54" s="1490"/>
      <c r="L54" s="1491"/>
    </row>
    <row r="55" spans="1:12" ht="15" customHeight="1" x14ac:dyDescent="0.25">
      <c r="A55" s="1492" t="s">
        <v>635</v>
      </c>
      <c r="B55" s="1493">
        <v>1486529</v>
      </c>
      <c r="C55" s="1494">
        <v>1445858</v>
      </c>
      <c r="D55" s="1494">
        <v>1468310</v>
      </c>
      <c r="E55" s="1495">
        <v>1460615</v>
      </c>
      <c r="F55" s="1496">
        <v>1418795</v>
      </c>
      <c r="G55" s="1497">
        <v>1422740</v>
      </c>
      <c r="H55" s="1497">
        <v>1411181</v>
      </c>
      <c r="I55" s="1498">
        <v>1423337</v>
      </c>
      <c r="J55" s="1499">
        <v>1410124</v>
      </c>
      <c r="K55" s="1500">
        <v>1465278</v>
      </c>
      <c r="L55" s="1501">
        <v>1419284</v>
      </c>
    </row>
    <row r="56" spans="1:12" ht="10.95" customHeight="1" x14ac:dyDescent="0.25">
      <c r="A56" s="1502"/>
      <c r="B56" s="1503"/>
      <c r="C56" s="1504"/>
      <c r="D56" s="1504"/>
      <c r="E56" s="1503"/>
      <c r="F56" s="1504"/>
      <c r="G56" s="1504"/>
      <c r="H56" s="1504"/>
      <c r="I56" s="1504"/>
      <c r="J56" s="1504"/>
      <c r="K56" s="1505"/>
      <c r="L56" s="1505"/>
    </row>
    <row r="57" spans="1:12" ht="32.549999999999997" customHeight="1" x14ac:dyDescent="0.25">
      <c r="A57" s="2893" t="s">
        <v>636</v>
      </c>
      <c r="B57" s="2893" t="s">
        <v>15</v>
      </c>
      <c r="C57" s="2893" t="s">
        <v>15</v>
      </c>
      <c r="D57" s="2893" t="s">
        <v>15</v>
      </c>
      <c r="E57" s="2893" t="s">
        <v>15</v>
      </c>
      <c r="F57" s="2893" t="s">
        <v>15</v>
      </c>
      <c r="G57" s="2893" t="s">
        <v>15</v>
      </c>
      <c r="H57" s="2893" t="s">
        <v>15</v>
      </c>
      <c r="I57" s="2893" t="s">
        <v>15</v>
      </c>
      <c r="J57" s="2893" t="s">
        <v>15</v>
      </c>
      <c r="K57" s="2893" t="s">
        <v>15</v>
      </c>
      <c r="L57" s="2893" t="s">
        <v>15</v>
      </c>
    </row>
    <row r="58" spans="1:12" ht="8.1" customHeight="1" x14ac:dyDescent="0.25">
      <c r="A58" s="2886"/>
      <c r="B58" s="2886" t="s">
        <v>15</v>
      </c>
      <c r="C58" s="2886" t="s">
        <v>15</v>
      </c>
      <c r="D58" s="2886" t="s">
        <v>15</v>
      </c>
      <c r="E58" s="2886" t="s">
        <v>15</v>
      </c>
      <c r="F58" s="2886" t="s">
        <v>15</v>
      </c>
      <c r="G58" s="2886" t="s">
        <v>15</v>
      </c>
      <c r="H58" s="2886" t="s">
        <v>15</v>
      </c>
      <c r="I58" s="2886" t="s">
        <v>15</v>
      </c>
      <c r="J58" s="2886" t="s">
        <v>15</v>
      </c>
      <c r="K58" s="2886" t="s">
        <v>15</v>
      </c>
      <c r="L58" s="2886" t="s">
        <v>15</v>
      </c>
    </row>
    <row r="59" spans="1:12" ht="10.35" customHeight="1" x14ac:dyDescent="0.25">
      <c r="A59" s="1506"/>
      <c r="B59" s="1507"/>
      <c r="C59" s="1508"/>
      <c r="D59" s="1508"/>
      <c r="E59" s="1507"/>
      <c r="F59" s="1508"/>
      <c r="G59" s="1508"/>
      <c r="H59" s="1508"/>
      <c r="I59" s="1508"/>
      <c r="J59" s="1508"/>
      <c r="K59" s="1509"/>
      <c r="L59" s="1509"/>
    </row>
  </sheetData>
  <mergeCells count="6">
    <mergeCell ref="A58:L58"/>
    <mergeCell ref="A2:L2"/>
    <mergeCell ref="B3:E3"/>
    <mergeCell ref="F3:I3"/>
    <mergeCell ref="K3:L3"/>
    <mergeCell ref="A57:L57"/>
  </mergeCells>
  <hyperlinks>
    <hyperlink ref="A1" location="ToC!A2" display="Back to Table of Contents" xr:uid="{DF39903C-6E3E-41D4-84C6-767E6134896F}"/>
  </hyperlinks>
  <pageMargins left="0.5" right="0.5" top="0.5" bottom="0.5" header="0.25" footer="0.25"/>
  <pageSetup scale="60" orientation="landscape" r:id="rId1"/>
  <headerFooter>
    <oddFooter>&amp;L&amp;G&amp;C&amp;"Scotia,Regular"&amp;9Supplementary Financial Information (SFI)&amp;R15&amp;"Scotia,Regular"&amp;7</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36B47-FC3A-4768-878E-F27C9363B77F}">
  <sheetPr>
    <pageSetUpPr fitToPage="1"/>
  </sheetPr>
  <dimension ref="A1:L45"/>
  <sheetViews>
    <sheetView showGridLines="0" zoomScaleNormal="100" workbookViewId="0"/>
  </sheetViews>
  <sheetFormatPr defaultColWidth="8.77734375" defaultRowHeight="13.2" x14ac:dyDescent="0.25"/>
  <cols>
    <col min="1" max="1" width="81" style="23" customWidth="1"/>
    <col min="2" max="12" width="11.77734375" style="23" customWidth="1"/>
    <col min="13" max="16384" width="8.77734375" style="23"/>
  </cols>
  <sheetData>
    <row r="1" spans="1:12" ht="19.95" customHeight="1" x14ac:dyDescent="0.25">
      <c r="A1" s="22" t="s">
        <v>12</v>
      </c>
    </row>
    <row r="2" spans="1:12" ht="25.05" customHeight="1" x14ac:dyDescent="0.25">
      <c r="A2" s="2873" t="s">
        <v>637</v>
      </c>
      <c r="B2" s="2873" t="s">
        <v>15</v>
      </c>
      <c r="C2" s="2873" t="s">
        <v>15</v>
      </c>
      <c r="D2" s="2873" t="s">
        <v>15</v>
      </c>
      <c r="E2" s="2873" t="s">
        <v>15</v>
      </c>
      <c r="F2" s="2873" t="s">
        <v>15</v>
      </c>
      <c r="G2" s="2873" t="s">
        <v>15</v>
      </c>
      <c r="H2" s="2873" t="s">
        <v>15</v>
      </c>
      <c r="I2" s="2873" t="s">
        <v>15</v>
      </c>
      <c r="J2" s="2873" t="s">
        <v>15</v>
      </c>
      <c r="K2" s="2873" t="s">
        <v>15</v>
      </c>
      <c r="L2" s="2873" t="s">
        <v>15</v>
      </c>
    </row>
    <row r="3" spans="1:12" ht="20.100000000000001" customHeight="1" x14ac:dyDescent="0.25">
      <c r="A3" s="1176"/>
      <c r="B3" s="2894"/>
      <c r="C3" s="2895"/>
      <c r="D3" s="2895"/>
      <c r="E3" s="2896"/>
      <c r="F3" s="2897"/>
      <c r="G3" s="2898"/>
      <c r="H3" s="2898"/>
      <c r="I3" s="2899"/>
      <c r="J3" s="1510"/>
      <c r="K3" s="2871" t="s">
        <v>163</v>
      </c>
      <c r="L3" s="2872" t="s">
        <v>15</v>
      </c>
    </row>
    <row r="4" spans="1:12" ht="20.100000000000001" customHeight="1" x14ac:dyDescent="0.25">
      <c r="A4" s="1176" t="s">
        <v>556</v>
      </c>
      <c r="B4" s="1511" t="s">
        <v>165</v>
      </c>
      <c r="C4" s="1093" t="s">
        <v>166</v>
      </c>
      <c r="D4" s="1093" t="s">
        <v>167</v>
      </c>
      <c r="E4" s="1512" t="s">
        <v>168</v>
      </c>
      <c r="F4" s="1513" t="s">
        <v>169</v>
      </c>
      <c r="G4" s="1093" t="s">
        <v>170</v>
      </c>
      <c r="H4" s="1093" t="s">
        <v>171</v>
      </c>
      <c r="I4" s="1512" t="s">
        <v>172</v>
      </c>
      <c r="J4" s="1514" t="s">
        <v>173</v>
      </c>
      <c r="K4" s="1515">
        <v>2025</v>
      </c>
      <c r="L4" s="1516">
        <v>2024</v>
      </c>
    </row>
    <row r="5" spans="1:12" ht="20.100000000000001" customHeight="1" x14ac:dyDescent="0.25">
      <c r="A5" s="1517" t="s">
        <v>638</v>
      </c>
      <c r="B5" s="1518"/>
      <c r="C5" s="1519"/>
      <c r="D5" s="1519"/>
      <c r="E5" s="1520"/>
      <c r="F5" s="1521"/>
      <c r="G5" s="1519"/>
      <c r="H5" s="1522"/>
      <c r="I5" s="1523"/>
      <c r="J5" s="1524"/>
      <c r="K5" s="1525"/>
      <c r="L5" s="1526"/>
    </row>
    <row r="6" spans="1:12" ht="20.100000000000001" customHeight="1" x14ac:dyDescent="0.25">
      <c r="A6" s="1527" t="s">
        <v>639</v>
      </c>
      <c r="B6" s="1528">
        <v>22089</v>
      </c>
      <c r="C6" s="1529">
        <v>22138</v>
      </c>
      <c r="D6" s="1529">
        <v>22136</v>
      </c>
      <c r="E6" s="1530">
        <v>22054</v>
      </c>
      <c r="F6" s="1531">
        <v>21549</v>
      </c>
      <c r="G6" s="1529">
        <v>21066</v>
      </c>
      <c r="H6" s="1529">
        <v>20599</v>
      </c>
      <c r="I6" s="1530">
        <v>20109</v>
      </c>
      <c r="J6" s="1532">
        <v>19627</v>
      </c>
      <c r="K6" s="1533">
        <v>22054</v>
      </c>
      <c r="L6" s="1534">
        <v>20109</v>
      </c>
    </row>
    <row r="7" spans="1:12" ht="20.100000000000001" customHeight="1" x14ac:dyDescent="0.25">
      <c r="A7" s="1527" t="s">
        <v>640</v>
      </c>
      <c r="B7" s="1528">
        <v>-22</v>
      </c>
      <c r="C7" s="1529">
        <v>-49</v>
      </c>
      <c r="D7" s="1529">
        <v>2</v>
      </c>
      <c r="E7" s="1530">
        <v>82</v>
      </c>
      <c r="F7" s="1531">
        <v>505</v>
      </c>
      <c r="G7" s="1529">
        <v>483</v>
      </c>
      <c r="H7" s="1529">
        <v>467</v>
      </c>
      <c r="I7" s="1530">
        <v>490</v>
      </c>
      <c r="J7" s="1532">
        <v>482</v>
      </c>
      <c r="K7" s="1533">
        <v>13</v>
      </c>
      <c r="L7" s="1534">
        <v>1945</v>
      </c>
    </row>
    <row r="8" spans="1:12" ht="20.100000000000001" customHeight="1" x14ac:dyDescent="0.25">
      <c r="A8" s="1535" t="s">
        <v>641</v>
      </c>
      <c r="B8" s="1528">
        <v>22067</v>
      </c>
      <c r="C8" s="1529">
        <v>22089</v>
      </c>
      <c r="D8" s="1529">
        <v>22138</v>
      </c>
      <c r="E8" s="1536">
        <v>22136</v>
      </c>
      <c r="F8" s="1531">
        <v>22054</v>
      </c>
      <c r="G8" s="1529">
        <v>21549</v>
      </c>
      <c r="H8" s="1529">
        <v>21066</v>
      </c>
      <c r="I8" s="1536">
        <v>20599</v>
      </c>
      <c r="J8" s="1532">
        <v>20109</v>
      </c>
      <c r="K8" s="1531">
        <v>22067</v>
      </c>
      <c r="L8" s="1529">
        <v>22054</v>
      </c>
    </row>
    <row r="9" spans="1:12" ht="20.100000000000001" customHeight="1" x14ac:dyDescent="0.25">
      <c r="A9" s="1535"/>
      <c r="B9" s="1537"/>
      <c r="C9" s="1529"/>
      <c r="D9" s="1529"/>
      <c r="E9" s="1536"/>
      <c r="F9" s="1538"/>
      <c r="G9" s="1529"/>
      <c r="H9" s="1529"/>
      <c r="I9" s="1536"/>
      <c r="J9" s="1532"/>
      <c r="K9" s="1531"/>
      <c r="L9" s="1529"/>
    </row>
    <row r="10" spans="1:12" ht="20.100000000000001" customHeight="1" x14ac:dyDescent="0.25">
      <c r="A10" s="1539" t="s">
        <v>642</v>
      </c>
      <c r="B10" s="1537"/>
      <c r="C10" s="1529"/>
      <c r="D10" s="1529"/>
      <c r="E10" s="1530"/>
      <c r="F10" s="1538"/>
      <c r="G10" s="1529"/>
      <c r="H10" s="1529"/>
      <c r="I10" s="1530"/>
      <c r="J10" s="1532"/>
      <c r="K10" s="1533"/>
      <c r="L10" s="1534"/>
    </row>
    <row r="11" spans="1:12" ht="20.100000000000001" customHeight="1" x14ac:dyDescent="0.25">
      <c r="A11" s="1527" t="s">
        <v>643</v>
      </c>
      <c r="B11" s="1528">
        <v>58703</v>
      </c>
      <c r="C11" s="1529">
        <v>57965</v>
      </c>
      <c r="D11" s="1529">
        <v>57445</v>
      </c>
      <c r="E11" s="1530">
        <v>57751</v>
      </c>
      <c r="F11" s="1531">
        <v>57541</v>
      </c>
      <c r="G11" s="1529">
        <v>57081</v>
      </c>
      <c r="H11" s="1529">
        <v>56443</v>
      </c>
      <c r="I11" s="1530">
        <v>55673</v>
      </c>
      <c r="J11" s="1532">
        <v>55741</v>
      </c>
      <c r="K11" s="1533">
        <v>57751</v>
      </c>
      <c r="L11" s="1534">
        <v>55673</v>
      </c>
    </row>
    <row r="12" spans="1:12" ht="20.100000000000001" customHeight="1" x14ac:dyDescent="0.25">
      <c r="A12" s="1527" t="s">
        <v>644</v>
      </c>
      <c r="B12" s="1528">
        <v>2104</v>
      </c>
      <c r="C12" s="1540">
        <v>2313</v>
      </c>
      <c r="D12" s="1529">
        <v>1841</v>
      </c>
      <c r="E12" s="1530">
        <v>1025</v>
      </c>
      <c r="F12" s="1531">
        <v>1521</v>
      </c>
      <c r="G12" s="1529">
        <v>1756</v>
      </c>
      <c r="H12" s="1529">
        <v>1943</v>
      </c>
      <c r="I12" s="1530">
        <v>2066</v>
      </c>
      <c r="J12" s="1532">
        <v>1214</v>
      </c>
      <c r="K12" s="1533">
        <v>7283</v>
      </c>
      <c r="L12" s="1534">
        <v>7286</v>
      </c>
    </row>
    <row r="13" spans="1:12" ht="20.100000000000001" customHeight="1" x14ac:dyDescent="0.25">
      <c r="A13" s="1527" t="s">
        <v>645</v>
      </c>
      <c r="B13" s="1528">
        <v>-1361</v>
      </c>
      <c r="C13" s="1529">
        <v>-1367</v>
      </c>
      <c r="D13" s="1529">
        <v>-1321</v>
      </c>
      <c r="E13" s="1530">
        <v>-1320</v>
      </c>
      <c r="F13" s="1531">
        <v>-1312</v>
      </c>
      <c r="G13" s="1529">
        <v>-1304</v>
      </c>
      <c r="H13" s="1529">
        <v>-1295</v>
      </c>
      <c r="I13" s="1530">
        <v>-1287</v>
      </c>
      <c r="J13" s="1532">
        <v>-1278</v>
      </c>
      <c r="K13" s="1533">
        <v>-5369</v>
      </c>
      <c r="L13" s="1534">
        <v>-5198</v>
      </c>
    </row>
    <row r="14" spans="1:12" ht="20.100000000000001" customHeight="1" x14ac:dyDescent="0.25">
      <c r="A14" s="1527" t="s">
        <v>646</v>
      </c>
      <c r="B14" s="1528">
        <v>-530</v>
      </c>
      <c r="C14" s="1529">
        <v>-186</v>
      </c>
      <c r="D14" s="1529">
        <v>0</v>
      </c>
      <c r="E14" s="1530">
        <v>0</v>
      </c>
      <c r="F14" s="1531">
        <v>0</v>
      </c>
      <c r="G14" s="1529">
        <v>0</v>
      </c>
      <c r="H14" s="1529">
        <v>0</v>
      </c>
      <c r="I14" s="1530">
        <v>0</v>
      </c>
      <c r="J14" s="1532">
        <v>0</v>
      </c>
      <c r="K14" s="1533">
        <v>-716</v>
      </c>
      <c r="L14" s="1534">
        <v>0</v>
      </c>
    </row>
    <row r="15" spans="1:12" ht="20.100000000000001" customHeight="1" x14ac:dyDescent="0.25">
      <c r="A15" s="1527" t="s">
        <v>647</v>
      </c>
      <c r="B15" s="1528"/>
      <c r="C15" s="1529">
        <v>-22</v>
      </c>
      <c r="D15" s="1529">
        <v>0</v>
      </c>
      <c r="E15" s="1530">
        <v>0</v>
      </c>
      <c r="F15" s="1531">
        <v>0</v>
      </c>
      <c r="G15" s="1529">
        <v>0</v>
      </c>
      <c r="H15" s="1529">
        <v>0</v>
      </c>
      <c r="I15" s="1530">
        <v>0</v>
      </c>
      <c r="J15" s="1532">
        <v>0</v>
      </c>
      <c r="K15" s="1533">
        <v>-22</v>
      </c>
      <c r="L15" s="1534">
        <v>0</v>
      </c>
    </row>
    <row r="16" spans="1:12" ht="20.100000000000001" customHeight="1" x14ac:dyDescent="0.25">
      <c r="A16" s="1527" t="s">
        <v>648</v>
      </c>
      <c r="B16" s="1528">
        <v>0</v>
      </c>
      <c r="C16" s="1529">
        <v>0</v>
      </c>
      <c r="D16" s="1529">
        <v>0</v>
      </c>
      <c r="E16" s="1530">
        <v>-11</v>
      </c>
      <c r="F16" s="1531">
        <v>1</v>
      </c>
      <c r="G16" s="1529">
        <v>8</v>
      </c>
      <c r="H16" s="1529">
        <v>-10</v>
      </c>
      <c r="I16" s="1530">
        <v>-9</v>
      </c>
      <c r="J16" s="1532">
        <v>-4</v>
      </c>
      <c r="K16" s="1533">
        <v>-11</v>
      </c>
      <c r="L16" s="1534">
        <v>-10</v>
      </c>
    </row>
    <row r="17" spans="1:12" ht="20.100000000000001" customHeight="1" x14ac:dyDescent="0.25">
      <c r="A17" s="1535" t="s">
        <v>641</v>
      </c>
      <c r="B17" s="1528">
        <v>58916</v>
      </c>
      <c r="C17" s="1529">
        <v>58703</v>
      </c>
      <c r="D17" s="1529">
        <v>57965</v>
      </c>
      <c r="E17" s="1536">
        <v>57445</v>
      </c>
      <c r="F17" s="1531">
        <v>57751</v>
      </c>
      <c r="G17" s="1529">
        <v>57541</v>
      </c>
      <c r="H17" s="1529">
        <v>57081</v>
      </c>
      <c r="I17" s="1536">
        <v>56443</v>
      </c>
      <c r="J17" s="1532">
        <v>55673</v>
      </c>
      <c r="K17" s="1531">
        <v>58916</v>
      </c>
      <c r="L17" s="1529">
        <v>57751</v>
      </c>
    </row>
    <row r="18" spans="1:12" ht="20.100000000000001" customHeight="1" x14ac:dyDescent="0.25">
      <c r="A18" s="1535"/>
      <c r="B18" s="1537"/>
      <c r="C18" s="1529"/>
      <c r="D18" s="1529"/>
      <c r="E18" s="1536"/>
      <c r="F18" s="1538"/>
      <c r="G18" s="1529"/>
      <c r="H18" s="1529"/>
      <c r="I18" s="1536"/>
      <c r="J18" s="1532"/>
      <c r="K18" s="1531"/>
      <c r="L18" s="1529"/>
    </row>
    <row r="19" spans="1:12" ht="20.100000000000001" customHeight="1" x14ac:dyDescent="0.25">
      <c r="A19" s="1539" t="s">
        <v>649</v>
      </c>
      <c r="B19" s="1537"/>
      <c r="C19" s="1529"/>
      <c r="D19" s="1529"/>
      <c r="E19" s="1530"/>
      <c r="F19" s="1538"/>
      <c r="G19" s="1529"/>
      <c r="H19" s="1529"/>
      <c r="I19" s="1530"/>
      <c r="J19" s="1532"/>
      <c r="K19" s="1533"/>
      <c r="L19" s="1534"/>
    </row>
    <row r="20" spans="1:12" ht="20.100000000000001" customHeight="1" x14ac:dyDescent="0.25">
      <c r="A20" s="1527" t="s">
        <v>643</v>
      </c>
      <c r="B20" s="1528">
        <v>-5310</v>
      </c>
      <c r="C20" s="1529">
        <v>-5191</v>
      </c>
      <c r="D20" s="1529">
        <v>-4789</v>
      </c>
      <c r="E20" s="1530">
        <v>-6147</v>
      </c>
      <c r="F20" s="1531">
        <v>-6298</v>
      </c>
      <c r="G20" s="1529">
        <v>-7502</v>
      </c>
      <c r="H20" s="1529">
        <v>-6998</v>
      </c>
      <c r="I20" s="1530">
        <v>-6931</v>
      </c>
      <c r="J20" s="1532">
        <v>-7343</v>
      </c>
      <c r="K20" s="1533">
        <v>-6147</v>
      </c>
      <c r="L20" s="1534">
        <v>-6931</v>
      </c>
    </row>
    <row r="21" spans="1:12" ht="20.100000000000001" customHeight="1" x14ac:dyDescent="0.25">
      <c r="A21" s="1527" t="s">
        <v>650</v>
      </c>
      <c r="B21" s="1528">
        <v>1484</v>
      </c>
      <c r="C21" s="1529">
        <v>-119</v>
      </c>
      <c r="D21" s="1529">
        <v>-402</v>
      </c>
      <c r="E21" s="1530">
        <v>1358</v>
      </c>
      <c r="F21" s="1531">
        <v>151</v>
      </c>
      <c r="G21" s="1529">
        <v>1204</v>
      </c>
      <c r="H21" s="1529">
        <v>-504</v>
      </c>
      <c r="I21" s="1530">
        <v>-67</v>
      </c>
      <c r="J21" s="1532">
        <v>412</v>
      </c>
      <c r="K21" s="1533">
        <v>2321</v>
      </c>
      <c r="L21" s="1534">
        <v>784</v>
      </c>
    </row>
    <row r="22" spans="1:12" ht="20.100000000000001" customHeight="1" x14ac:dyDescent="0.25">
      <c r="A22" s="1541" t="s">
        <v>651</v>
      </c>
      <c r="B22" s="1528">
        <v>841</v>
      </c>
      <c r="C22" s="1529">
        <v>159</v>
      </c>
      <c r="D22" s="1529">
        <v>-1370</v>
      </c>
      <c r="E22" s="1530">
        <v>1078</v>
      </c>
      <c r="F22" s="1531">
        <v>-463</v>
      </c>
      <c r="G22" s="1529">
        <v>-514</v>
      </c>
      <c r="H22" s="1529">
        <v>443</v>
      </c>
      <c r="I22" s="1530">
        <v>-1270</v>
      </c>
      <c r="J22" s="1532">
        <v>379</v>
      </c>
      <c r="K22" s="1533">
        <v>708</v>
      </c>
      <c r="L22" s="1534">
        <v>-1804</v>
      </c>
    </row>
    <row r="23" spans="1:12" ht="20.100000000000001" customHeight="1" x14ac:dyDescent="0.25">
      <c r="A23" s="1541" t="s">
        <v>652</v>
      </c>
      <c r="B23" s="1528">
        <v>238</v>
      </c>
      <c r="C23" s="1529">
        <v>187</v>
      </c>
      <c r="D23" s="1529">
        <v>84</v>
      </c>
      <c r="E23" s="1530">
        <v>24</v>
      </c>
      <c r="F23" s="1531">
        <v>-39</v>
      </c>
      <c r="G23" s="1529">
        <v>253</v>
      </c>
      <c r="H23" s="1529">
        <v>-207</v>
      </c>
      <c r="I23" s="1530">
        <v>606</v>
      </c>
      <c r="J23" s="1532">
        <v>-257</v>
      </c>
      <c r="K23" s="1533">
        <v>533</v>
      </c>
      <c r="L23" s="1534">
        <v>613</v>
      </c>
    </row>
    <row r="24" spans="1:12" ht="20.100000000000001" customHeight="1" x14ac:dyDescent="0.25">
      <c r="A24" s="1541" t="s">
        <v>653</v>
      </c>
      <c r="B24" s="1528">
        <v>9</v>
      </c>
      <c r="C24" s="1529">
        <v>21</v>
      </c>
      <c r="D24" s="1529">
        <v>14</v>
      </c>
      <c r="E24" s="1530">
        <v>15</v>
      </c>
      <c r="F24" s="1531">
        <v>86</v>
      </c>
      <c r="G24" s="1529">
        <v>86</v>
      </c>
      <c r="H24" s="1529">
        <v>-13</v>
      </c>
      <c r="I24" s="1530">
        <v>166</v>
      </c>
      <c r="J24" s="1532">
        <v>-87</v>
      </c>
      <c r="K24" s="1533">
        <v>59</v>
      </c>
      <c r="L24" s="1534">
        <v>325</v>
      </c>
    </row>
    <row r="25" spans="1:12" ht="20.100000000000001" customHeight="1" x14ac:dyDescent="0.25">
      <c r="A25" s="1541" t="s">
        <v>654</v>
      </c>
      <c r="B25" s="1528">
        <v>513</v>
      </c>
      <c r="C25" s="1529">
        <v>-362</v>
      </c>
      <c r="D25" s="1529">
        <v>569</v>
      </c>
      <c r="E25" s="1530">
        <v>337</v>
      </c>
      <c r="F25" s="1531">
        <v>656</v>
      </c>
      <c r="G25" s="1529">
        <v>1201</v>
      </c>
      <c r="H25" s="1529">
        <v>-592</v>
      </c>
      <c r="I25" s="1530">
        <v>1083</v>
      </c>
      <c r="J25" s="1532">
        <v>217</v>
      </c>
      <c r="K25" s="1533">
        <v>1057</v>
      </c>
      <c r="L25" s="1534">
        <v>2348</v>
      </c>
    </row>
    <row r="26" spans="1:12" ht="20.100000000000001" customHeight="1" x14ac:dyDescent="0.25">
      <c r="A26" s="1541" t="s">
        <v>481</v>
      </c>
      <c r="B26" s="1528">
        <v>-117</v>
      </c>
      <c r="C26" s="1529">
        <v>-124</v>
      </c>
      <c r="D26" s="1529">
        <v>301</v>
      </c>
      <c r="E26" s="1530">
        <v>-96</v>
      </c>
      <c r="F26" s="1531">
        <v>-89</v>
      </c>
      <c r="G26" s="1529">
        <v>178</v>
      </c>
      <c r="H26" s="1529">
        <v>-135</v>
      </c>
      <c r="I26" s="1530">
        <v>-652</v>
      </c>
      <c r="J26" s="1532">
        <v>160</v>
      </c>
      <c r="K26" s="1533">
        <v>-36</v>
      </c>
      <c r="L26" s="1534">
        <v>-698</v>
      </c>
    </row>
    <row r="27" spans="1:12" ht="20.100000000000001" customHeight="1" x14ac:dyDescent="0.25">
      <c r="A27" s="1535" t="s">
        <v>641</v>
      </c>
      <c r="B27" s="1528">
        <v>-3826</v>
      </c>
      <c r="C27" s="1529">
        <v>-5310</v>
      </c>
      <c r="D27" s="1529">
        <v>-5191</v>
      </c>
      <c r="E27" s="1536">
        <v>-4789</v>
      </c>
      <c r="F27" s="1531">
        <v>-6147</v>
      </c>
      <c r="G27" s="1529">
        <v>-6298</v>
      </c>
      <c r="H27" s="1529">
        <v>-7502</v>
      </c>
      <c r="I27" s="1536">
        <v>-6998</v>
      </c>
      <c r="J27" s="1532">
        <v>-6931</v>
      </c>
      <c r="K27" s="1531">
        <v>-3826</v>
      </c>
      <c r="L27" s="1529">
        <v>-6147</v>
      </c>
    </row>
    <row r="28" spans="1:12" ht="20.100000000000001" customHeight="1" x14ac:dyDescent="0.25">
      <c r="A28" s="1535"/>
      <c r="B28" s="1537"/>
      <c r="C28" s="1529"/>
      <c r="D28" s="1529"/>
      <c r="E28" s="1536"/>
      <c r="F28" s="1538"/>
      <c r="G28" s="1529"/>
      <c r="H28" s="1529"/>
      <c r="I28" s="1536"/>
      <c r="J28" s="1532"/>
      <c r="K28" s="1531"/>
      <c r="L28" s="1529"/>
    </row>
    <row r="29" spans="1:12" ht="20.100000000000001" customHeight="1" x14ac:dyDescent="0.25">
      <c r="A29" s="1539" t="s">
        <v>655</v>
      </c>
      <c r="B29" s="1537"/>
      <c r="C29" s="1529"/>
      <c r="D29" s="1529"/>
      <c r="E29" s="1530"/>
      <c r="F29" s="1538"/>
      <c r="G29" s="1529"/>
      <c r="H29" s="1529"/>
      <c r="I29" s="1530"/>
      <c r="J29" s="1532"/>
      <c r="K29" s="1533"/>
      <c r="L29" s="1534"/>
    </row>
    <row r="30" spans="1:12" ht="20.100000000000001" customHeight="1" x14ac:dyDescent="0.25">
      <c r="A30" s="1527" t="s">
        <v>643</v>
      </c>
      <c r="B30" s="1528">
        <v>-224</v>
      </c>
      <c r="C30" s="1529">
        <v>-226</v>
      </c>
      <c r="D30" s="1529">
        <v>-229</v>
      </c>
      <c r="E30" s="1530">
        <v>-68</v>
      </c>
      <c r="F30" s="1531">
        <v>-67</v>
      </c>
      <c r="G30" s="1529">
        <v>-68</v>
      </c>
      <c r="H30" s="1529">
        <v>-67</v>
      </c>
      <c r="I30" s="1530">
        <v>-84</v>
      </c>
      <c r="J30" s="1532">
        <v>-88</v>
      </c>
      <c r="K30" s="1533">
        <v>-68</v>
      </c>
      <c r="L30" s="1534">
        <v>-84</v>
      </c>
    </row>
    <row r="31" spans="1:12" ht="20.100000000000001" customHeight="1" x14ac:dyDescent="0.25">
      <c r="A31" s="1527" t="s">
        <v>656</v>
      </c>
      <c r="B31" s="1528">
        <v>2</v>
      </c>
      <c r="C31" s="1529">
        <v>2</v>
      </c>
      <c r="D31" s="1529">
        <v>3</v>
      </c>
      <c r="E31" s="1530">
        <v>8</v>
      </c>
      <c r="F31" s="1531">
        <v>2</v>
      </c>
      <c r="G31" s="1529">
        <v>1</v>
      </c>
      <c r="H31" s="1529">
        <v>0</v>
      </c>
      <c r="I31" s="1530">
        <v>10</v>
      </c>
      <c r="J31" s="1532">
        <v>2</v>
      </c>
      <c r="K31" s="1533">
        <v>15</v>
      </c>
      <c r="L31" s="1534">
        <v>13</v>
      </c>
    </row>
    <row r="32" spans="1:12" ht="20.100000000000001" customHeight="1" x14ac:dyDescent="0.25">
      <c r="A32" s="1527" t="s">
        <v>657</v>
      </c>
      <c r="B32" s="1528">
        <v>-8</v>
      </c>
      <c r="C32" s="1529">
        <v>-1</v>
      </c>
      <c r="D32" s="1529">
        <v>0</v>
      </c>
      <c r="E32" s="1530">
        <v>-5</v>
      </c>
      <c r="F32" s="1531">
        <v>-3</v>
      </c>
      <c r="G32" s="1529">
        <v>0</v>
      </c>
      <c r="H32" s="1529">
        <v>-1</v>
      </c>
      <c r="I32" s="1530">
        <v>0</v>
      </c>
      <c r="J32" s="1532">
        <v>0</v>
      </c>
      <c r="K32" s="1533">
        <v>-14</v>
      </c>
      <c r="L32" s="1534">
        <v>-4</v>
      </c>
    </row>
    <row r="33" spans="1:12" ht="20.100000000000001" customHeight="1" x14ac:dyDescent="0.25">
      <c r="A33" s="1527" t="s">
        <v>481</v>
      </c>
      <c r="B33" s="1528">
        <v>0</v>
      </c>
      <c r="C33" s="1529">
        <v>1</v>
      </c>
      <c r="D33" s="1529">
        <v>0</v>
      </c>
      <c r="E33" s="1530">
        <v>-164</v>
      </c>
      <c r="F33" s="1531">
        <v>0</v>
      </c>
      <c r="G33" s="1529">
        <v>0</v>
      </c>
      <c r="H33" s="1529">
        <v>0</v>
      </c>
      <c r="I33" s="1530">
        <v>7</v>
      </c>
      <c r="J33" s="1532">
        <v>2</v>
      </c>
      <c r="K33" s="1533">
        <v>-163</v>
      </c>
      <c r="L33" s="1534">
        <v>7</v>
      </c>
    </row>
    <row r="34" spans="1:12" ht="20.100000000000001" customHeight="1" x14ac:dyDescent="0.25">
      <c r="A34" s="1535" t="s">
        <v>641</v>
      </c>
      <c r="B34" s="1528">
        <v>-230</v>
      </c>
      <c r="C34" s="1529">
        <v>-224</v>
      </c>
      <c r="D34" s="1529">
        <v>-226</v>
      </c>
      <c r="E34" s="1536">
        <v>-229</v>
      </c>
      <c r="F34" s="1531">
        <v>-68</v>
      </c>
      <c r="G34" s="1529">
        <v>-67</v>
      </c>
      <c r="H34" s="1529">
        <v>-68</v>
      </c>
      <c r="I34" s="1536">
        <v>-67</v>
      </c>
      <c r="J34" s="1532">
        <v>-84</v>
      </c>
      <c r="K34" s="1531">
        <v>-230</v>
      </c>
      <c r="L34" s="1529">
        <v>-68</v>
      </c>
    </row>
    <row r="35" spans="1:12" ht="20.100000000000001" customHeight="1" x14ac:dyDescent="0.25">
      <c r="A35" s="1542"/>
      <c r="B35" s="1537"/>
      <c r="C35" s="1529"/>
      <c r="D35" s="1529"/>
      <c r="E35" s="1530"/>
      <c r="F35" s="1538"/>
      <c r="G35" s="1529"/>
      <c r="H35" s="1529"/>
      <c r="I35" s="1530"/>
      <c r="J35" s="1532"/>
      <c r="K35" s="1533"/>
      <c r="L35" s="1534"/>
    </row>
    <row r="36" spans="1:12" ht="20.100000000000001" customHeight="1" x14ac:dyDescent="0.25">
      <c r="A36" s="1543" t="s">
        <v>658</v>
      </c>
      <c r="B36" s="1528">
        <v>76927</v>
      </c>
      <c r="C36" s="1529">
        <v>75258</v>
      </c>
      <c r="D36" s="1529">
        <v>74686</v>
      </c>
      <c r="E36" s="1536">
        <v>74563</v>
      </c>
      <c r="F36" s="1531">
        <v>73590</v>
      </c>
      <c r="G36" s="1529">
        <v>72725</v>
      </c>
      <c r="H36" s="1529">
        <v>70577</v>
      </c>
      <c r="I36" s="1536">
        <v>69977</v>
      </c>
      <c r="J36" s="1532">
        <v>68767</v>
      </c>
      <c r="K36" s="1531">
        <v>76927</v>
      </c>
      <c r="L36" s="1529">
        <v>73590</v>
      </c>
    </row>
    <row r="37" spans="1:12" ht="20.100000000000001" customHeight="1" x14ac:dyDescent="0.25">
      <c r="A37" s="1544"/>
      <c r="B37" s="1537"/>
      <c r="C37" s="1529"/>
      <c r="D37" s="1545"/>
      <c r="E37" s="1530"/>
      <c r="F37" s="1538"/>
      <c r="G37" s="1529"/>
      <c r="H37" s="1529"/>
      <c r="I37" s="1530"/>
      <c r="J37" s="1532"/>
      <c r="K37" s="1533"/>
      <c r="L37" s="1534"/>
    </row>
    <row r="38" spans="1:12" ht="20.100000000000001" customHeight="1" x14ac:dyDescent="0.25">
      <c r="A38" s="1539" t="s">
        <v>659</v>
      </c>
      <c r="B38" s="1537"/>
      <c r="C38" s="1529"/>
      <c r="D38" s="1545"/>
      <c r="E38" s="1530"/>
      <c r="F38" s="1538"/>
      <c r="G38" s="1529"/>
      <c r="H38" s="1529"/>
      <c r="I38" s="1530"/>
      <c r="J38" s="1532"/>
      <c r="K38" s="1533"/>
      <c r="L38" s="1534"/>
    </row>
    <row r="39" spans="1:12" ht="20.100000000000001" customHeight="1" x14ac:dyDescent="0.25">
      <c r="A39" s="1527" t="s">
        <v>651</v>
      </c>
      <c r="B39" s="1528">
        <v>-2851</v>
      </c>
      <c r="C39" s="1529">
        <v>-3692</v>
      </c>
      <c r="D39" s="1529">
        <v>-3851</v>
      </c>
      <c r="E39" s="1530">
        <v>-2481</v>
      </c>
      <c r="F39" s="1531">
        <v>-3559</v>
      </c>
      <c r="G39" s="1529">
        <v>-3096</v>
      </c>
      <c r="H39" s="1529">
        <v>-2582</v>
      </c>
      <c r="I39" s="1530">
        <v>-3025</v>
      </c>
      <c r="J39" s="1532">
        <v>-1755</v>
      </c>
      <c r="K39" s="1546"/>
      <c r="L39" s="1547"/>
    </row>
    <row r="40" spans="1:12" ht="20.100000000000001" customHeight="1" x14ac:dyDescent="0.25">
      <c r="A40" s="1527" t="s">
        <v>652</v>
      </c>
      <c r="B40" s="1528">
        <v>42</v>
      </c>
      <c r="C40" s="1529">
        <v>-196</v>
      </c>
      <c r="D40" s="1529">
        <v>-383</v>
      </c>
      <c r="E40" s="1530">
        <v>-467</v>
      </c>
      <c r="F40" s="1531">
        <v>-491</v>
      </c>
      <c r="G40" s="1529">
        <v>-452</v>
      </c>
      <c r="H40" s="1529">
        <v>-705</v>
      </c>
      <c r="I40" s="1530">
        <v>-498</v>
      </c>
      <c r="J40" s="1532">
        <v>-1104</v>
      </c>
      <c r="K40" s="1546"/>
      <c r="L40" s="1547"/>
    </row>
    <row r="41" spans="1:12" ht="20.100000000000001" customHeight="1" x14ac:dyDescent="0.25">
      <c r="A41" s="1527" t="s">
        <v>653</v>
      </c>
      <c r="B41" s="1528">
        <v>398</v>
      </c>
      <c r="C41" s="1529">
        <v>389</v>
      </c>
      <c r="D41" s="1529">
        <v>368</v>
      </c>
      <c r="E41" s="1530">
        <v>354</v>
      </c>
      <c r="F41" s="1531">
        <v>339</v>
      </c>
      <c r="G41" s="1529">
        <v>253</v>
      </c>
      <c r="H41" s="1529">
        <v>167</v>
      </c>
      <c r="I41" s="1530">
        <v>180</v>
      </c>
      <c r="J41" s="1532">
        <v>14</v>
      </c>
      <c r="K41" s="1546"/>
      <c r="L41" s="1547"/>
    </row>
    <row r="42" spans="1:12" ht="20.100000000000001" customHeight="1" x14ac:dyDescent="0.25">
      <c r="A42" s="1527" t="s">
        <v>654</v>
      </c>
      <c r="B42" s="1528">
        <v>-1140</v>
      </c>
      <c r="C42" s="1529">
        <v>-1653</v>
      </c>
      <c r="D42" s="1529">
        <v>-1291</v>
      </c>
      <c r="E42" s="1530">
        <v>-1860</v>
      </c>
      <c r="F42" s="1531">
        <v>-2197</v>
      </c>
      <c r="G42" s="1529">
        <v>-2853</v>
      </c>
      <c r="H42" s="1529">
        <v>-4054</v>
      </c>
      <c r="I42" s="1530">
        <v>-3462</v>
      </c>
      <c r="J42" s="1532">
        <v>-4545</v>
      </c>
      <c r="K42" s="1546"/>
      <c r="L42" s="1547"/>
    </row>
    <row r="43" spans="1:12" ht="20.100000000000001" customHeight="1" x14ac:dyDescent="0.25">
      <c r="A43" s="1527" t="s">
        <v>481</v>
      </c>
      <c r="B43" s="1528">
        <v>-275</v>
      </c>
      <c r="C43" s="1529">
        <v>-158</v>
      </c>
      <c r="D43" s="1529">
        <v>-34</v>
      </c>
      <c r="E43" s="1530">
        <v>-335</v>
      </c>
      <c r="F43" s="1531">
        <v>-239</v>
      </c>
      <c r="G43" s="1529">
        <v>-150</v>
      </c>
      <c r="H43" s="1529">
        <v>-328</v>
      </c>
      <c r="I43" s="1530">
        <v>-193</v>
      </c>
      <c r="J43" s="1532">
        <v>459</v>
      </c>
      <c r="K43" s="1546"/>
      <c r="L43" s="1547"/>
    </row>
    <row r="44" spans="1:12" ht="20.100000000000001" customHeight="1" x14ac:dyDescent="0.25">
      <c r="A44" s="1548" t="s">
        <v>506</v>
      </c>
      <c r="B44" s="1549">
        <v>-3826</v>
      </c>
      <c r="C44" s="1550">
        <v>-5310</v>
      </c>
      <c r="D44" s="1550">
        <v>-5191</v>
      </c>
      <c r="E44" s="1551">
        <v>-4789</v>
      </c>
      <c r="F44" s="1552">
        <v>-6147</v>
      </c>
      <c r="G44" s="1550">
        <v>-6298</v>
      </c>
      <c r="H44" s="1550">
        <v>-7502</v>
      </c>
      <c r="I44" s="1551">
        <v>-6998</v>
      </c>
      <c r="J44" s="1553">
        <v>-6931</v>
      </c>
      <c r="K44" s="1554"/>
      <c r="L44" s="1555"/>
    </row>
    <row r="45" spans="1:12" ht="15" customHeight="1" x14ac:dyDescent="0.3">
      <c r="A45" s="1556"/>
      <c r="B45" s="1557"/>
      <c r="C45" s="1557"/>
      <c r="D45" s="1558"/>
      <c r="E45" s="1559"/>
      <c r="F45" s="1558"/>
      <c r="G45" s="1558"/>
      <c r="H45" s="1558"/>
      <c r="I45" s="1559"/>
      <c r="J45" s="1559"/>
      <c r="K45" s="1203"/>
      <c r="L45" s="1203"/>
    </row>
  </sheetData>
  <mergeCells count="4">
    <mergeCell ref="A2:L2"/>
    <mergeCell ref="B3:E3"/>
    <mergeCell ref="F3:I3"/>
    <mergeCell ref="K3:L3"/>
  </mergeCells>
  <hyperlinks>
    <hyperlink ref="A1" location="ToC!A2" display="Back to Table of Contents" xr:uid="{094A2685-81A7-4398-971D-C4094AD284E7}"/>
  </hyperlinks>
  <pageMargins left="0.5" right="0.5" top="0.5" bottom="0.5" header="0.25" footer="0.25"/>
  <pageSetup scale="59" orientation="landscape" r:id="rId1"/>
  <headerFooter>
    <oddFooter>&amp;L&amp;G&amp;C&amp;"Scotia,Regular"&amp;9Supplementary Financial Information (SFI)&amp;R16&amp;"Scotia,Regular"&amp;7</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387E-D05A-4748-85B7-28D67032121A}">
  <sheetPr>
    <pageSetUpPr fitToPage="1"/>
  </sheetPr>
  <dimension ref="A1:L22"/>
  <sheetViews>
    <sheetView showGridLines="0" zoomScaleNormal="100" workbookViewId="0"/>
  </sheetViews>
  <sheetFormatPr defaultColWidth="8.77734375" defaultRowHeight="13.2" x14ac:dyDescent="0.25"/>
  <cols>
    <col min="1" max="1" width="95.5546875" style="23" customWidth="1"/>
    <col min="2" max="12" width="10.77734375" style="23" customWidth="1"/>
    <col min="13" max="16384" width="8.77734375" style="23"/>
  </cols>
  <sheetData>
    <row r="1" spans="1:12" ht="19.95" customHeight="1" x14ac:dyDescent="0.25">
      <c r="A1" s="22" t="s">
        <v>12</v>
      </c>
    </row>
    <row r="2" spans="1:12" ht="25.05" customHeight="1" x14ac:dyDescent="0.25">
      <c r="A2" s="2873" t="s">
        <v>660</v>
      </c>
      <c r="B2" s="2873" t="s">
        <v>15</v>
      </c>
      <c r="C2" s="2873" t="s">
        <v>15</v>
      </c>
      <c r="D2" s="2873" t="s">
        <v>15</v>
      </c>
      <c r="E2" s="2873" t="s">
        <v>15</v>
      </c>
      <c r="F2" s="2873" t="s">
        <v>15</v>
      </c>
      <c r="G2" s="2873" t="s">
        <v>15</v>
      </c>
      <c r="H2" s="2873" t="s">
        <v>15</v>
      </c>
      <c r="I2" s="2873" t="s">
        <v>15</v>
      </c>
      <c r="J2" s="2873" t="s">
        <v>15</v>
      </c>
      <c r="K2" s="2873" t="s">
        <v>15</v>
      </c>
      <c r="L2" s="2873" t="s">
        <v>15</v>
      </c>
    </row>
    <row r="3" spans="1:12" ht="20.100000000000001" customHeight="1" x14ac:dyDescent="0.25">
      <c r="A3" s="1176"/>
      <c r="B3" s="2894"/>
      <c r="C3" s="2895"/>
      <c r="D3" s="2895"/>
      <c r="E3" s="2896"/>
      <c r="F3" s="2897"/>
      <c r="G3" s="2898"/>
      <c r="H3" s="2898"/>
      <c r="I3" s="2899"/>
      <c r="J3" s="1510"/>
      <c r="K3" s="2871" t="s">
        <v>163</v>
      </c>
      <c r="L3" s="2872" t="s">
        <v>15</v>
      </c>
    </row>
    <row r="4" spans="1:12" ht="20.100000000000001" customHeight="1" x14ac:dyDescent="0.25">
      <c r="A4" s="1176" t="s">
        <v>556</v>
      </c>
      <c r="B4" s="1511" t="s">
        <v>165</v>
      </c>
      <c r="C4" s="1093" t="s">
        <v>166</v>
      </c>
      <c r="D4" s="1093" t="s">
        <v>167</v>
      </c>
      <c r="E4" s="1512" t="s">
        <v>168</v>
      </c>
      <c r="F4" s="1513" t="s">
        <v>169</v>
      </c>
      <c r="G4" s="1093" t="s">
        <v>170</v>
      </c>
      <c r="H4" s="1093" t="s">
        <v>171</v>
      </c>
      <c r="I4" s="1512" t="s">
        <v>172</v>
      </c>
      <c r="J4" s="1514" t="s">
        <v>173</v>
      </c>
      <c r="K4" s="1515">
        <v>2025</v>
      </c>
      <c r="L4" s="1516">
        <v>2024</v>
      </c>
    </row>
    <row r="5" spans="1:12" ht="20.100000000000001" customHeight="1" x14ac:dyDescent="0.25">
      <c r="A5" s="1517" t="s">
        <v>661</v>
      </c>
      <c r="B5" s="1518"/>
      <c r="C5" s="1560"/>
      <c r="D5" s="1560"/>
      <c r="E5" s="1561"/>
      <c r="F5" s="1521"/>
      <c r="G5" s="1560"/>
      <c r="H5" s="1560"/>
      <c r="I5" s="1561"/>
      <c r="J5" s="1562"/>
      <c r="K5" s="1563"/>
      <c r="L5" s="1564"/>
    </row>
    <row r="6" spans="1:12" ht="20.100000000000001" customHeight="1" x14ac:dyDescent="0.25">
      <c r="A6" s="1527" t="s">
        <v>643</v>
      </c>
      <c r="B6" s="1528">
        <v>8544</v>
      </c>
      <c r="C6" s="1529">
        <v>10232</v>
      </c>
      <c r="D6" s="1529">
        <v>10232</v>
      </c>
      <c r="E6" s="1530">
        <v>8779</v>
      </c>
      <c r="F6" s="1531">
        <v>8779</v>
      </c>
      <c r="G6" s="1529">
        <v>8779</v>
      </c>
      <c r="H6" s="1529">
        <v>8779</v>
      </c>
      <c r="I6" s="1530">
        <v>8075</v>
      </c>
      <c r="J6" s="1532">
        <v>8075</v>
      </c>
      <c r="K6" s="1533">
        <v>8779</v>
      </c>
      <c r="L6" s="1534">
        <v>8075</v>
      </c>
    </row>
    <row r="7" spans="1:12" ht="20.100000000000001" customHeight="1" x14ac:dyDescent="0.25">
      <c r="A7" s="1527" t="s">
        <v>662</v>
      </c>
      <c r="B7" s="1528">
        <v>1395</v>
      </c>
      <c r="C7" s="1529">
        <v>0</v>
      </c>
      <c r="D7" s="1529">
        <v>0</v>
      </c>
      <c r="E7" s="1530">
        <v>1453</v>
      </c>
      <c r="F7" s="1531">
        <v>0</v>
      </c>
      <c r="G7" s="1529">
        <v>0</v>
      </c>
      <c r="H7" s="1529">
        <v>0</v>
      </c>
      <c r="I7" s="1530">
        <v>1004</v>
      </c>
      <c r="J7" s="1532">
        <v>0</v>
      </c>
      <c r="K7" s="1533">
        <v>2848</v>
      </c>
      <c r="L7" s="1534">
        <v>1004</v>
      </c>
    </row>
    <row r="8" spans="1:12" ht="20.100000000000001" customHeight="1" x14ac:dyDescent="0.25">
      <c r="A8" s="1527" t="s">
        <v>663</v>
      </c>
      <c r="B8" s="1528">
        <v>0</v>
      </c>
      <c r="C8" s="1529">
        <v>-1688</v>
      </c>
      <c r="D8" s="1529">
        <v>0</v>
      </c>
      <c r="E8" s="1530">
        <v>0</v>
      </c>
      <c r="F8" s="1531">
        <v>0</v>
      </c>
      <c r="G8" s="1529">
        <v>0</v>
      </c>
      <c r="H8" s="1529">
        <v>0</v>
      </c>
      <c r="I8" s="1530">
        <v>-300</v>
      </c>
      <c r="J8" s="1532">
        <v>0</v>
      </c>
      <c r="K8" s="1533">
        <v>-1688</v>
      </c>
      <c r="L8" s="1534">
        <v>-300</v>
      </c>
    </row>
    <row r="9" spans="1:12" ht="20.100000000000001" customHeight="1" x14ac:dyDescent="0.25">
      <c r="A9" s="1527" t="s">
        <v>664</v>
      </c>
      <c r="B9" s="1528">
        <v>115</v>
      </c>
      <c r="C9" s="1529">
        <v>134</v>
      </c>
      <c r="D9" s="1529">
        <v>135</v>
      </c>
      <c r="E9" s="1530">
        <v>122</v>
      </c>
      <c r="F9" s="1531">
        <v>121</v>
      </c>
      <c r="G9" s="1529">
        <v>120</v>
      </c>
      <c r="H9" s="1529">
        <v>123</v>
      </c>
      <c r="I9" s="1530">
        <v>108</v>
      </c>
      <c r="J9" s="1532">
        <v>109</v>
      </c>
      <c r="K9" s="1533">
        <v>506</v>
      </c>
      <c r="L9" s="1534">
        <v>472</v>
      </c>
    </row>
    <row r="10" spans="1:12" ht="20.100000000000001" customHeight="1" x14ac:dyDescent="0.25">
      <c r="A10" s="1527" t="s">
        <v>665</v>
      </c>
      <c r="B10" s="1528">
        <v>-115</v>
      </c>
      <c r="C10" s="1529">
        <v>-134</v>
      </c>
      <c r="D10" s="1529">
        <v>-135</v>
      </c>
      <c r="E10" s="1530">
        <v>-122</v>
      </c>
      <c r="F10" s="1531">
        <v>-121</v>
      </c>
      <c r="G10" s="1529">
        <v>-120</v>
      </c>
      <c r="H10" s="1529">
        <v>-123</v>
      </c>
      <c r="I10" s="1530">
        <v>-108</v>
      </c>
      <c r="J10" s="1532">
        <v>-109</v>
      </c>
      <c r="K10" s="1533">
        <v>-506</v>
      </c>
      <c r="L10" s="1534">
        <v>-472</v>
      </c>
    </row>
    <row r="11" spans="1:12" ht="20.100000000000001" customHeight="1" x14ac:dyDescent="0.25">
      <c r="A11" s="1535" t="s">
        <v>641</v>
      </c>
      <c r="B11" s="1528">
        <v>9939</v>
      </c>
      <c r="C11" s="1529">
        <v>8544</v>
      </c>
      <c r="D11" s="1529">
        <v>10232</v>
      </c>
      <c r="E11" s="1536">
        <v>10232</v>
      </c>
      <c r="F11" s="1531">
        <v>8779</v>
      </c>
      <c r="G11" s="1529">
        <v>8779</v>
      </c>
      <c r="H11" s="1529">
        <v>8779</v>
      </c>
      <c r="I11" s="1536">
        <v>8779</v>
      </c>
      <c r="J11" s="1532">
        <v>8075</v>
      </c>
      <c r="K11" s="1533">
        <v>9939</v>
      </c>
      <c r="L11" s="1529">
        <v>8779</v>
      </c>
    </row>
    <row r="12" spans="1:12" ht="20.100000000000001" customHeight="1" x14ac:dyDescent="0.25">
      <c r="A12" s="1535"/>
      <c r="B12" s="1537"/>
      <c r="C12" s="1529"/>
      <c r="D12" s="1529"/>
      <c r="E12" s="1536"/>
      <c r="F12" s="1538"/>
      <c r="G12" s="1529"/>
      <c r="H12" s="1529"/>
      <c r="I12" s="1536"/>
      <c r="J12" s="1532"/>
      <c r="K12" s="1533"/>
      <c r="L12" s="1529"/>
    </row>
    <row r="13" spans="1:12" ht="20.100000000000001" customHeight="1" x14ac:dyDescent="0.25">
      <c r="A13" s="1539" t="s">
        <v>666</v>
      </c>
      <c r="B13" s="1537"/>
      <c r="C13" s="1529"/>
      <c r="D13" s="1529"/>
      <c r="E13" s="1530"/>
      <c r="F13" s="1538"/>
      <c r="G13" s="1529"/>
      <c r="H13" s="1529"/>
      <c r="I13" s="1530"/>
      <c r="J13" s="1532"/>
      <c r="K13" s="1533"/>
      <c r="L13" s="1534"/>
    </row>
    <row r="14" spans="1:12" ht="20.100000000000001" customHeight="1" x14ac:dyDescent="0.25">
      <c r="A14" s="1527" t="s">
        <v>643</v>
      </c>
      <c r="B14" s="1528">
        <v>1681</v>
      </c>
      <c r="C14" s="1529">
        <v>1588</v>
      </c>
      <c r="D14" s="1529">
        <v>1626</v>
      </c>
      <c r="E14" s="1530">
        <v>1707</v>
      </c>
      <c r="F14" s="1531">
        <v>1715</v>
      </c>
      <c r="G14" s="1529">
        <v>1719</v>
      </c>
      <c r="H14" s="1529">
        <v>1696</v>
      </c>
      <c r="I14" s="1530">
        <v>1729</v>
      </c>
      <c r="J14" s="1532">
        <v>1655</v>
      </c>
      <c r="K14" s="1533">
        <v>1707</v>
      </c>
      <c r="L14" s="1534">
        <v>1729</v>
      </c>
    </row>
    <row r="15" spans="1:12" ht="20.100000000000001" customHeight="1" x14ac:dyDescent="0.25">
      <c r="A15" s="1527" t="s">
        <v>667</v>
      </c>
      <c r="B15" s="1528">
        <v>-13</v>
      </c>
      <c r="C15" s="1529">
        <v>80</v>
      </c>
      <c r="D15" s="1529">
        <v>56</v>
      </c>
      <c r="E15" s="1530">
        <v>-154</v>
      </c>
      <c r="F15" s="1531">
        <v>47</v>
      </c>
      <c r="G15" s="1529">
        <v>36</v>
      </c>
      <c r="H15" s="1529">
        <v>26</v>
      </c>
      <c r="I15" s="1530">
        <v>25</v>
      </c>
      <c r="J15" s="1532">
        <v>31</v>
      </c>
      <c r="K15" s="1533">
        <v>-31</v>
      </c>
      <c r="L15" s="1534">
        <v>134</v>
      </c>
    </row>
    <row r="16" spans="1:12" ht="20.100000000000001" customHeight="1" x14ac:dyDescent="0.25">
      <c r="A16" s="1527" t="s">
        <v>650</v>
      </c>
      <c r="B16" s="1528">
        <v>72</v>
      </c>
      <c r="C16" s="1529">
        <v>-22</v>
      </c>
      <c r="D16" s="1529">
        <v>-63</v>
      </c>
      <c r="E16" s="1530">
        <v>89</v>
      </c>
      <c r="F16" s="1531">
        <v>-40</v>
      </c>
      <c r="G16" s="1529">
        <v>-23</v>
      </c>
      <c r="H16" s="1529">
        <v>34</v>
      </c>
      <c r="I16" s="1530">
        <v>-43</v>
      </c>
      <c r="J16" s="1532">
        <v>67</v>
      </c>
      <c r="K16" s="1533">
        <v>76</v>
      </c>
      <c r="L16" s="1534">
        <v>-72</v>
      </c>
    </row>
    <row r="17" spans="1:12" ht="20.100000000000001" customHeight="1" x14ac:dyDescent="0.25">
      <c r="A17" s="1527" t="s">
        <v>668</v>
      </c>
      <c r="B17" s="1528">
        <v>-19</v>
      </c>
      <c r="C17" s="1529">
        <v>-16</v>
      </c>
      <c r="D17" s="1529">
        <v>-31</v>
      </c>
      <c r="E17" s="1530">
        <v>-16</v>
      </c>
      <c r="F17" s="1531">
        <v>-15</v>
      </c>
      <c r="G17" s="1529">
        <v>-17</v>
      </c>
      <c r="H17" s="1529">
        <v>-41</v>
      </c>
      <c r="I17" s="1530">
        <v>-15</v>
      </c>
      <c r="J17" s="1532">
        <v>-26</v>
      </c>
      <c r="K17" s="1533">
        <v>-82</v>
      </c>
      <c r="L17" s="1534">
        <v>-88</v>
      </c>
    </row>
    <row r="18" spans="1:12" ht="20.100000000000001" customHeight="1" x14ac:dyDescent="0.25">
      <c r="A18" s="1527" t="s">
        <v>481</v>
      </c>
      <c r="B18" s="1528">
        <v>0</v>
      </c>
      <c r="C18" s="1529">
        <v>51</v>
      </c>
      <c r="D18" s="1529">
        <v>0</v>
      </c>
      <c r="E18" s="1530">
        <v>0</v>
      </c>
      <c r="F18" s="1531">
        <v>0</v>
      </c>
      <c r="G18" s="1529">
        <v>0</v>
      </c>
      <c r="H18" s="1529">
        <v>4</v>
      </c>
      <c r="I18" s="1530">
        <v>0</v>
      </c>
      <c r="J18" s="1532">
        <v>2</v>
      </c>
      <c r="K18" s="1533">
        <v>51</v>
      </c>
      <c r="L18" s="1534">
        <v>4</v>
      </c>
    </row>
    <row r="19" spans="1:12" ht="20.100000000000001" customHeight="1" x14ac:dyDescent="0.25">
      <c r="A19" s="1535" t="s">
        <v>641</v>
      </c>
      <c r="B19" s="1528">
        <v>1721</v>
      </c>
      <c r="C19" s="1529">
        <v>1681</v>
      </c>
      <c r="D19" s="1529">
        <v>1588</v>
      </c>
      <c r="E19" s="1536">
        <v>1626</v>
      </c>
      <c r="F19" s="1531">
        <v>1707</v>
      </c>
      <c r="G19" s="1529">
        <v>1715</v>
      </c>
      <c r="H19" s="1529">
        <v>1719</v>
      </c>
      <c r="I19" s="1536">
        <v>1696</v>
      </c>
      <c r="J19" s="1532">
        <v>1729</v>
      </c>
      <c r="K19" s="1533">
        <v>1721</v>
      </c>
      <c r="L19" s="1529">
        <v>1707</v>
      </c>
    </row>
    <row r="20" spans="1:12" ht="20.100000000000001" customHeight="1" x14ac:dyDescent="0.25">
      <c r="A20" s="1535"/>
      <c r="B20" s="1537"/>
      <c r="C20" s="1529"/>
      <c r="D20" s="1529"/>
      <c r="E20" s="1536"/>
      <c r="F20" s="1538"/>
      <c r="G20" s="1529"/>
      <c r="H20" s="1529"/>
      <c r="I20" s="1536"/>
      <c r="J20" s="1532"/>
      <c r="K20" s="1533"/>
      <c r="L20" s="1529"/>
    </row>
    <row r="21" spans="1:12" ht="20.100000000000001" customHeight="1" x14ac:dyDescent="0.25">
      <c r="A21" s="1565" t="s">
        <v>669</v>
      </c>
      <c r="B21" s="1549">
        <v>88587</v>
      </c>
      <c r="C21" s="1550">
        <v>85483</v>
      </c>
      <c r="D21" s="1550">
        <v>86506</v>
      </c>
      <c r="E21" s="1551">
        <v>86421</v>
      </c>
      <c r="F21" s="1552">
        <v>84076</v>
      </c>
      <c r="G21" s="1550">
        <v>83219</v>
      </c>
      <c r="H21" s="1550">
        <v>81075</v>
      </c>
      <c r="I21" s="1551">
        <v>80452</v>
      </c>
      <c r="J21" s="1553">
        <v>78571</v>
      </c>
      <c r="K21" s="1566">
        <v>88587</v>
      </c>
      <c r="L21" s="1550">
        <v>84076</v>
      </c>
    </row>
    <row r="22" spans="1:12" ht="12" customHeight="1" x14ac:dyDescent="0.25">
      <c r="A22" s="1567"/>
      <c r="B22" s="1558"/>
      <c r="C22" s="1558"/>
      <c r="D22" s="1557"/>
      <c r="E22" s="1559"/>
      <c r="F22" s="1568"/>
      <c r="G22" s="1558"/>
      <c r="H22" s="1558"/>
      <c r="I22" s="1559"/>
      <c r="J22" s="1559"/>
      <c r="K22" s="1558"/>
      <c r="L22" s="1558"/>
    </row>
  </sheetData>
  <mergeCells count="4">
    <mergeCell ref="A2:L2"/>
    <mergeCell ref="B3:E3"/>
    <mergeCell ref="F3:I3"/>
    <mergeCell ref="K3:L3"/>
  </mergeCells>
  <hyperlinks>
    <hyperlink ref="A1" location="ToC!A2" display="Back to Table of Contents" xr:uid="{7C385BD8-6326-48DA-9FC3-7B544F7FB53C}"/>
  </hyperlinks>
  <pageMargins left="0.5" right="0.5" top="0.5" bottom="0.5" header="0.25" footer="0.25"/>
  <pageSetup scale="59" orientation="landscape" r:id="rId1"/>
  <headerFooter>
    <oddFooter>&amp;L&amp;G&amp;C&amp;"Scotia,Regular"&amp;9Supplementary Financial Information (SFI)&amp;R17&amp;"Scotia,Regular"&amp;7</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0568-CBAF-4BC5-BB6B-92CBB92B9E4B}">
  <sheetPr>
    <pageSetUpPr fitToPage="1"/>
  </sheetPr>
  <dimension ref="A1:K39"/>
  <sheetViews>
    <sheetView showGridLines="0" zoomScaleNormal="100" workbookViewId="0"/>
  </sheetViews>
  <sheetFormatPr defaultColWidth="8.77734375" defaultRowHeight="13.2" x14ac:dyDescent="0.25"/>
  <cols>
    <col min="1" max="1" width="60.77734375" style="23" customWidth="1"/>
    <col min="2" max="11" width="11.77734375" style="23" customWidth="1"/>
    <col min="12" max="16384" width="8.77734375" style="23"/>
  </cols>
  <sheetData>
    <row r="1" spans="1:11" ht="19.95" customHeight="1" x14ac:dyDescent="0.25">
      <c r="A1" s="22" t="s">
        <v>12</v>
      </c>
    </row>
    <row r="2" spans="1:11" ht="25.05" customHeight="1" x14ac:dyDescent="0.25">
      <c r="A2" s="2900" t="s">
        <v>670</v>
      </c>
      <c r="B2" s="2900" t="s">
        <v>15</v>
      </c>
      <c r="C2" s="2900" t="s">
        <v>15</v>
      </c>
      <c r="D2" s="2900" t="s">
        <v>15</v>
      </c>
      <c r="E2" s="2900" t="s">
        <v>15</v>
      </c>
      <c r="F2" s="2900" t="s">
        <v>15</v>
      </c>
      <c r="G2" s="2900" t="s">
        <v>15</v>
      </c>
      <c r="H2" s="2900" t="s">
        <v>15</v>
      </c>
      <c r="I2" s="2900" t="s">
        <v>15</v>
      </c>
      <c r="J2" s="2900" t="s">
        <v>15</v>
      </c>
      <c r="K2" s="2900" t="s">
        <v>15</v>
      </c>
    </row>
    <row r="3" spans="1:11" ht="20.100000000000001" customHeight="1" x14ac:dyDescent="0.25">
      <c r="A3" s="1569" t="s">
        <v>671</v>
      </c>
      <c r="B3" s="2901" t="s">
        <v>672</v>
      </c>
      <c r="C3" s="2902" t="s">
        <v>15</v>
      </c>
      <c r="D3" s="2903" t="s">
        <v>673</v>
      </c>
      <c r="E3" s="2904" t="s">
        <v>15</v>
      </c>
      <c r="F3" s="2903" t="s">
        <v>674</v>
      </c>
      <c r="G3" s="2904" t="s">
        <v>15</v>
      </c>
      <c r="H3" s="2903" t="s">
        <v>675</v>
      </c>
      <c r="I3" s="2904" t="s">
        <v>15</v>
      </c>
      <c r="J3" s="2903" t="s">
        <v>676</v>
      </c>
      <c r="K3" s="2905" t="s">
        <v>15</v>
      </c>
    </row>
    <row r="4" spans="1:11" ht="20.100000000000001" customHeight="1" x14ac:dyDescent="0.25">
      <c r="A4" s="1570"/>
      <c r="B4" s="1571" t="s">
        <v>677</v>
      </c>
      <c r="C4" s="1572" t="s">
        <v>678</v>
      </c>
      <c r="D4" s="1573" t="s">
        <v>679</v>
      </c>
      <c r="E4" s="1574" t="s">
        <v>678</v>
      </c>
      <c r="F4" s="1573" t="s">
        <v>679</v>
      </c>
      <c r="G4" s="1574" t="s">
        <v>678</v>
      </c>
      <c r="H4" s="1573" t="s">
        <v>679</v>
      </c>
      <c r="I4" s="1574" t="s">
        <v>678</v>
      </c>
      <c r="J4" s="1573" t="s">
        <v>679</v>
      </c>
      <c r="K4" s="1575" t="s">
        <v>678</v>
      </c>
    </row>
    <row r="5" spans="1:11" ht="20.100000000000001" customHeight="1" x14ac:dyDescent="0.25">
      <c r="A5" s="1576" t="s">
        <v>316</v>
      </c>
      <c r="B5" s="1577">
        <v>370.2</v>
      </c>
      <c r="C5" s="1578">
        <v>0.47499999999999998</v>
      </c>
      <c r="D5" s="1579">
        <v>360.9</v>
      </c>
      <c r="E5" s="1580">
        <v>0.46899999999999997</v>
      </c>
      <c r="F5" s="1579">
        <v>359.8</v>
      </c>
      <c r="G5" s="1580">
        <v>0.47099999999999997</v>
      </c>
      <c r="H5" s="1579">
        <v>358.8</v>
      </c>
      <c r="I5" s="1580">
        <v>0.46400000000000002</v>
      </c>
      <c r="J5" s="1579">
        <v>350.9</v>
      </c>
      <c r="K5" s="1581">
        <v>0.45700000000000002</v>
      </c>
    </row>
    <row r="6" spans="1:11" ht="20.100000000000001" customHeight="1" x14ac:dyDescent="0.25">
      <c r="A6" s="1582" t="s">
        <v>346</v>
      </c>
      <c r="B6" s="1583">
        <v>110.6</v>
      </c>
      <c r="C6" s="1584">
        <v>0.14199999999999999</v>
      </c>
      <c r="D6" s="1585">
        <v>107.9</v>
      </c>
      <c r="E6" s="1586">
        <v>0.14000000000000001</v>
      </c>
      <c r="F6" s="1585">
        <v>106</v>
      </c>
      <c r="G6" s="1586">
        <v>0.13900000000000001</v>
      </c>
      <c r="H6" s="1585">
        <v>106.6</v>
      </c>
      <c r="I6" s="1586">
        <v>0.13800000000000001</v>
      </c>
      <c r="J6" s="1585">
        <v>106.4</v>
      </c>
      <c r="K6" s="1587">
        <v>0.13800000000000001</v>
      </c>
    </row>
    <row r="7" spans="1:11" ht="20.100000000000001" customHeight="1" x14ac:dyDescent="0.25">
      <c r="A7" s="1588" t="s">
        <v>347</v>
      </c>
      <c r="B7" s="1589">
        <v>18</v>
      </c>
      <c r="C7" s="1590">
        <v>2.3E-2</v>
      </c>
      <c r="D7" s="1591">
        <v>17.5</v>
      </c>
      <c r="E7" s="1592">
        <v>2.3E-2</v>
      </c>
      <c r="F7" s="1591">
        <v>17.2</v>
      </c>
      <c r="G7" s="1592">
        <v>2.3E-2</v>
      </c>
      <c r="H7" s="1591">
        <v>17.600000000000001</v>
      </c>
      <c r="I7" s="1592">
        <v>2.3E-2</v>
      </c>
      <c r="J7" s="1591">
        <v>17.399999999999999</v>
      </c>
      <c r="K7" s="1593">
        <v>2.3E-2</v>
      </c>
    </row>
    <row r="8" spans="1:11" ht="20.100000000000001" customHeight="1" x14ac:dyDescent="0.25">
      <c r="A8" s="1594" t="s">
        <v>680</v>
      </c>
      <c r="B8" s="1595">
        <v>498.79999999999995</v>
      </c>
      <c r="C8" s="1596">
        <v>0.64100000000000001</v>
      </c>
      <c r="D8" s="1597">
        <v>486.29999999999995</v>
      </c>
      <c r="E8" s="1598">
        <v>0.63200000000000001</v>
      </c>
      <c r="F8" s="1597">
        <v>483</v>
      </c>
      <c r="G8" s="1598">
        <v>0.63200000000000001</v>
      </c>
      <c r="H8" s="1597">
        <v>483</v>
      </c>
      <c r="I8" s="1598">
        <v>0.625</v>
      </c>
      <c r="J8" s="1597">
        <v>474.7</v>
      </c>
      <c r="K8" s="1599">
        <v>0.61799999999999999</v>
      </c>
    </row>
    <row r="9" spans="1:11" ht="20.100000000000001" customHeight="1" x14ac:dyDescent="0.25">
      <c r="A9" s="1600"/>
      <c r="B9" s="1601"/>
      <c r="C9" s="1602"/>
      <c r="D9" s="1603"/>
      <c r="E9" s="1604"/>
      <c r="F9" s="1603"/>
      <c r="G9" s="1604"/>
      <c r="H9" s="1603"/>
      <c r="I9" s="1604"/>
      <c r="J9" s="1603"/>
      <c r="K9" s="1605"/>
    </row>
    <row r="10" spans="1:11" ht="20.100000000000001" customHeight="1" x14ac:dyDescent="0.25">
      <c r="A10" s="1582" t="s">
        <v>681</v>
      </c>
      <c r="B10" s="1606"/>
      <c r="C10" s="1607"/>
      <c r="D10" s="1608"/>
      <c r="E10" s="1609"/>
      <c r="F10" s="1610"/>
      <c r="G10" s="1611"/>
      <c r="H10" s="1612"/>
      <c r="I10" s="1611"/>
      <c r="J10" s="1612"/>
      <c r="K10" s="1613"/>
    </row>
    <row r="11" spans="1:11" ht="20.100000000000001" customHeight="1" x14ac:dyDescent="0.25">
      <c r="A11" s="1614" t="s">
        <v>682</v>
      </c>
      <c r="B11" s="1615">
        <v>31.4</v>
      </c>
      <c r="C11" s="1584">
        <v>0.04</v>
      </c>
      <c r="D11" s="1616">
        <v>30</v>
      </c>
      <c r="E11" s="1586">
        <v>3.9E-2</v>
      </c>
      <c r="F11" s="1616">
        <v>28.9</v>
      </c>
      <c r="G11" s="1586">
        <v>3.7999999999999999E-2</v>
      </c>
      <c r="H11" s="1585">
        <v>29</v>
      </c>
      <c r="I11" s="1586">
        <v>3.6999999999999998E-2</v>
      </c>
      <c r="J11" s="1585">
        <v>29.7</v>
      </c>
      <c r="K11" s="1587">
        <v>3.9E-2</v>
      </c>
    </row>
    <row r="12" spans="1:11" ht="20.100000000000001" customHeight="1" x14ac:dyDescent="0.25">
      <c r="A12" s="1614" t="s">
        <v>683</v>
      </c>
      <c r="B12" s="1615">
        <v>1</v>
      </c>
      <c r="C12" s="1584">
        <v>1E-3</v>
      </c>
      <c r="D12" s="1616">
        <v>1</v>
      </c>
      <c r="E12" s="1586">
        <v>1E-3</v>
      </c>
      <c r="F12" s="1616">
        <v>1.3</v>
      </c>
      <c r="G12" s="1586">
        <v>2E-3</v>
      </c>
      <c r="H12" s="1585">
        <v>0.9</v>
      </c>
      <c r="I12" s="1586">
        <v>1E-3</v>
      </c>
      <c r="J12" s="1585">
        <v>0.9</v>
      </c>
      <c r="K12" s="1587">
        <v>1E-3</v>
      </c>
    </row>
    <row r="13" spans="1:11" ht="20.100000000000001" customHeight="1" x14ac:dyDescent="0.25">
      <c r="A13" s="1582" t="s">
        <v>684</v>
      </c>
      <c r="B13" s="1615">
        <v>29</v>
      </c>
      <c r="C13" s="1584">
        <v>3.6999999999999998E-2</v>
      </c>
      <c r="D13" s="1616">
        <v>29</v>
      </c>
      <c r="E13" s="1586">
        <v>3.7999999999999999E-2</v>
      </c>
      <c r="F13" s="1616">
        <v>28.9</v>
      </c>
      <c r="G13" s="1586">
        <v>3.7999999999999999E-2</v>
      </c>
      <c r="H13" s="1585">
        <v>29.6</v>
      </c>
      <c r="I13" s="1586">
        <v>3.7999999999999999E-2</v>
      </c>
      <c r="J13" s="1585">
        <v>29.9</v>
      </c>
      <c r="K13" s="1587">
        <v>3.9E-2</v>
      </c>
    </row>
    <row r="14" spans="1:11" ht="20.100000000000001" customHeight="1" x14ac:dyDescent="0.25">
      <c r="A14" s="1582" t="s">
        <v>685</v>
      </c>
      <c r="B14" s="1615">
        <v>60</v>
      </c>
      <c r="C14" s="1584">
        <v>7.6999999999999999E-2</v>
      </c>
      <c r="D14" s="1616">
        <v>62.6</v>
      </c>
      <c r="E14" s="1586">
        <v>8.1000000000000003E-2</v>
      </c>
      <c r="F14" s="1616">
        <v>62.3</v>
      </c>
      <c r="G14" s="1586">
        <v>8.2000000000000003E-2</v>
      </c>
      <c r="H14" s="1585">
        <v>64.3</v>
      </c>
      <c r="I14" s="1586">
        <v>8.3000000000000004E-2</v>
      </c>
      <c r="J14" s="1585">
        <v>66</v>
      </c>
      <c r="K14" s="1587">
        <v>8.5999999999999993E-2</v>
      </c>
    </row>
    <row r="15" spans="1:11" ht="20.100000000000001" customHeight="1" x14ac:dyDescent="0.25">
      <c r="A15" s="1582" t="s">
        <v>686</v>
      </c>
      <c r="B15" s="1615">
        <v>6</v>
      </c>
      <c r="C15" s="1584">
        <v>8.0000000000000002E-3</v>
      </c>
      <c r="D15" s="1616">
        <v>6.4</v>
      </c>
      <c r="E15" s="1586">
        <v>8.0000000000000002E-3</v>
      </c>
      <c r="F15" s="1616">
        <v>7.5</v>
      </c>
      <c r="G15" s="1586">
        <v>0.01</v>
      </c>
      <c r="H15" s="1585">
        <v>7.2</v>
      </c>
      <c r="I15" s="1586">
        <v>8.9999999999999993E-3</v>
      </c>
      <c r="J15" s="1585">
        <v>7.1</v>
      </c>
      <c r="K15" s="1587">
        <v>8.9999999999999993E-3</v>
      </c>
    </row>
    <row r="16" spans="1:11" ht="20.100000000000001" customHeight="1" x14ac:dyDescent="0.25">
      <c r="A16" s="1582" t="s">
        <v>687</v>
      </c>
      <c r="B16" s="1615">
        <v>8.4</v>
      </c>
      <c r="C16" s="1584">
        <v>1.0999999999999999E-2</v>
      </c>
      <c r="D16" s="1616">
        <v>8.8000000000000007</v>
      </c>
      <c r="E16" s="1586">
        <v>1.0999999999999999E-2</v>
      </c>
      <c r="F16" s="1616">
        <v>9.1</v>
      </c>
      <c r="G16" s="1586">
        <v>1.2E-2</v>
      </c>
      <c r="H16" s="1585">
        <v>9.6</v>
      </c>
      <c r="I16" s="1586">
        <v>1.2E-2</v>
      </c>
      <c r="J16" s="1585">
        <v>9.6999999999999993</v>
      </c>
      <c r="K16" s="1587">
        <v>1.2999999999999999E-2</v>
      </c>
    </row>
    <row r="17" spans="1:11" ht="20.100000000000001" customHeight="1" x14ac:dyDescent="0.25">
      <c r="A17" s="1582" t="s">
        <v>688</v>
      </c>
      <c r="B17" s="1615">
        <v>17.600000000000001</v>
      </c>
      <c r="C17" s="1584">
        <v>2.3E-2</v>
      </c>
      <c r="D17" s="1616">
        <v>18.2</v>
      </c>
      <c r="E17" s="1586">
        <v>2.4E-2</v>
      </c>
      <c r="F17" s="1616">
        <v>18</v>
      </c>
      <c r="G17" s="1586">
        <v>2.4E-2</v>
      </c>
      <c r="H17" s="1585">
        <v>17.3</v>
      </c>
      <c r="I17" s="1586">
        <v>2.1999999999999999E-2</v>
      </c>
      <c r="J17" s="1585">
        <v>17.600000000000001</v>
      </c>
      <c r="K17" s="1587">
        <v>2.3E-2</v>
      </c>
    </row>
    <row r="18" spans="1:11" ht="20.100000000000001" customHeight="1" x14ac:dyDescent="0.25">
      <c r="A18" s="1582" t="s">
        <v>689</v>
      </c>
      <c r="B18" s="1615">
        <v>17.399999999999999</v>
      </c>
      <c r="C18" s="1584">
        <v>2.1999999999999999E-2</v>
      </c>
      <c r="D18" s="1616">
        <v>17.399999999999999</v>
      </c>
      <c r="E18" s="1586">
        <v>2.3E-2</v>
      </c>
      <c r="F18" s="1616">
        <v>16.5</v>
      </c>
      <c r="G18" s="1586">
        <v>2.1999999999999999E-2</v>
      </c>
      <c r="H18" s="1585">
        <v>17.2</v>
      </c>
      <c r="I18" s="1586">
        <v>2.1999999999999999E-2</v>
      </c>
      <c r="J18" s="1585">
        <v>17</v>
      </c>
      <c r="K18" s="1587">
        <v>2.1999999999999999E-2</v>
      </c>
    </row>
    <row r="19" spans="1:11" ht="20.100000000000001" customHeight="1" x14ac:dyDescent="0.25">
      <c r="A19" s="1582" t="s">
        <v>690</v>
      </c>
      <c r="B19" s="1615">
        <v>3.5</v>
      </c>
      <c r="C19" s="1584">
        <v>4.0000000000000001E-3</v>
      </c>
      <c r="D19" s="1616">
        <v>3.6</v>
      </c>
      <c r="E19" s="1586">
        <v>5.0000000000000001E-3</v>
      </c>
      <c r="F19" s="1616">
        <v>3.5</v>
      </c>
      <c r="G19" s="1586">
        <v>5.0000000000000001E-3</v>
      </c>
      <c r="H19" s="1585">
        <v>3.9</v>
      </c>
      <c r="I19" s="1586">
        <v>5.0000000000000001E-3</v>
      </c>
      <c r="J19" s="1585">
        <v>3.8</v>
      </c>
      <c r="K19" s="1587">
        <v>5.0000000000000001E-3</v>
      </c>
    </row>
    <row r="20" spans="1:11" ht="20.100000000000001" customHeight="1" x14ac:dyDescent="0.25">
      <c r="A20" s="1582" t="s">
        <v>691</v>
      </c>
      <c r="B20" s="1615">
        <v>5.4</v>
      </c>
      <c r="C20" s="1584">
        <v>7.0000000000000001E-3</v>
      </c>
      <c r="D20" s="1616">
        <v>5.2</v>
      </c>
      <c r="E20" s="1586">
        <v>7.0000000000000001E-3</v>
      </c>
      <c r="F20" s="1616">
        <v>6.1</v>
      </c>
      <c r="G20" s="1586">
        <v>8.0000000000000002E-3</v>
      </c>
      <c r="H20" s="1585">
        <v>6.7</v>
      </c>
      <c r="I20" s="1586">
        <v>8.9999999999999993E-3</v>
      </c>
      <c r="J20" s="1585">
        <v>6.4</v>
      </c>
      <c r="K20" s="1587">
        <v>8.0000000000000002E-3</v>
      </c>
    </row>
    <row r="21" spans="1:11" ht="20.100000000000001" customHeight="1" x14ac:dyDescent="0.25">
      <c r="A21" s="1582" t="s">
        <v>692</v>
      </c>
      <c r="B21" s="1615">
        <v>1.9</v>
      </c>
      <c r="C21" s="1584">
        <v>2E-3</v>
      </c>
      <c r="D21" s="1616">
        <v>1.9</v>
      </c>
      <c r="E21" s="1586">
        <v>2E-3</v>
      </c>
      <c r="F21" s="1616">
        <v>1.9</v>
      </c>
      <c r="G21" s="1586">
        <v>2E-3</v>
      </c>
      <c r="H21" s="1585">
        <v>2</v>
      </c>
      <c r="I21" s="1586">
        <v>3.0000000000000001E-3</v>
      </c>
      <c r="J21" s="1585">
        <v>2.2000000000000002</v>
      </c>
      <c r="K21" s="1587">
        <v>3.0000000000000001E-3</v>
      </c>
    </row>
    <row r="22" spans="1:11" ht="20.100000000000001" customHeight="1" x14ac:dyDescent="0.25">
      <c r="A22" s="1582" t="s">
        <v>693</v>
      </c>
      <c r="B22" s="1615">
        <v>21.6</v>
      </c>
      <c r="C22" s="1584">
        <v>2.8000000000000001E-2</v>
      </c>
      <c r="D22" s="1616">
        <v>21.5</v>
      </c>
      <c r="E22" s="1586">
        <v>2.8000000000000001E-2</v>
      </c>
      <c r="F22" s="1616">
        <v>21.5</v>
      </c>
      <c r="G22" s="1586">
        <v>2.8000000000000001E-2</v>
      </c>
      <c r="H22" s="1585">
        <v>24.4</v>
      </c>
      <c r="I22" s="1586">
        <v>3.2000000000000001E-2</v>
      </c>
      <c r="J22" s="1585">
        <v>25</v>
      </c>
      <c r="K22" s="1587">
        <v>3.3000000000000002E-2</v>
      </c>
    </row>
    <row r="23" spans="1:11" ht="20.100000000000001" customHeight="1" x14ac:dyDescent="0.25">
      <c r="A23" s="1582" t="s">
        <v>694</v>
      </c>
      <c r="B23" s="1615">
        <v>8.9</v>
      </c>
      <c r="C23" s="1584">
        <v>1.0999999999999999E-2</v>
      </c>
      <c r="D23" s="1616">
        <v>8</v>
      </c>
      <c r="E23" s="1586">
        <v>0.01</v>
      </c>
      <c r="F23" s="1616">
        <v>8.1999999999999993</v>
      </c>
      <c r="G23" s="1586">
        <v>1.0999999999999999E-2</v>
      </c>
      <c r="H23" s="1585">
        <v>8</v>
      </c>
      <c r="I23" s="1586">
        <v>0.01</v>
      </c>
      <c r="J23" s="1585">
        <v>7.9</v>
      </c>
      <c r="K23" s="1587">
        <v>0.01</v>
      </c>
    </row>
    <row r="24" spans="1:11" ht="20.100000000000001" customHeight="1" x14ac:dyDescent="0.25">
      <c r="A24" s="1582" t="s">
        <v>695</v>
      </c>
      <c r="B24" s="1615">
        <v>18.899999999999999</v>
      </c>
      <c r="C24" s="1584">
        <v>2.4E-2</v>
      </c>
      <c r="D24" s="1616">
        <v>19.5</v>
      </c>
      <c r="E24" s="1586">
        <v>2.5000000000000001E-2</v>
      </c>
      <c r="F24" s="1616">
        <v>18.100000000000001</v>
      </c>
      <c r="G24" s="1586">
        <v>2.4E-2</v>
      </c>
      <c r="H24" s="1585">
        <v>19.399999999999999</v>
      </c>
      <c r="I24" s="1586">
        <v>2.5000000000000001E-2</v>
      </c>
      <c r="J24" s="1585">
        <v>21.7</v>
      </c>
      <c r="K24" s="1587">
        <v>2.8000000000000001E-2</v>
      </c>
    </row>
    <row r="25" spans="1:11" ht="20.100000000000001" customHeight="1" x14ac:dyDescent="0.25">
      <c r="A25" s="1582" t="s">
        <v>696</v>
      </c>
      <c r="B25" s="1615">
        <v>2.1</v>
      </c>
      <c r="C25" s="1584">
        <v>3.0000000000000001E-3</v>
      </c>
      <c r="D25" s="1616">
        <v>2</v>
      </c>
      <c r="E25" s="1586">
        <v>3.0000000000000001E-3</v>
      </c>
      <c r="F25" s="1616">
        <v>2</v>
      </c>
      <c r="G25" s="1586">
        <v>3.0000000000000001E-3</v>
      </c>
      <c r="H25" s="1585">
        <v>2.1</v>
      </c>
      <c r="I25" s="1586">
        <v>3.0000000000000001E-3</v>
      </c>
      <c r="J25" s="1585">
        <v>1.9</v>
      </c>
      <c r="K25" s="1587">
        <v>2E-3</v>
      </c>
    </row>
    <row r="26" spans="1:11" ht="20.100000000000001" customHeight="1" x14ac:dyDescent="0.25">
      <c r="A26" s="1582" t="s">
        <v>697</v>
      </c>
      <c r="B26" s="1615">
        <v>10.1</v>
      </c>
      <c r="C26" s="1584">
        <v>1.2999999999999999E-2</v>
      </c>
      <c r="D26" s="1616">
        <v>10</v>
      </c>
      <c r="E26" s="1586">
        <v>1.2999999999999999E-2</v>
      </c>
      <c r="F26" s="1616">
        <v>10.1</v>
      </c>
      <c r="G26" s="1586">
        <v>1.2999999999999999E-2</v>
      </c>
      <c r="H26" s="1585">
        <v>10.4</v>
      </c>
      <c r="I26" s="1586">
        <v>1.2999999999999999E-2</v>
      </c>
      <c r="J26" s="1585">
        <v>10.8</v>
      </c>
      <c r="K26" s="1587">
        <v>1.4E-2</v>
      </c>
    </row>
    <row r="27" spans="1:11" ht="20.100000000000001" customHeight="1" x14ac:dyDescent="0.25">
      <c r="A27" s="1582" t="s">
        <v>698</v>
      </c>
      <c r="B27" s="1615">
        <v>2.5</v>
      </c>
      <c r="C27" s="1584">
        <v>3.0000000000000001E-3</v>
      </c>
      <c r="D27" s="1616">
        <v>2.7</v>
      </c>
      <c r="E27" s="1586">
        <v>4.0000000000000001E-3</v>
      </c>
      <c r="F27" s="1616">
        <v>2.8</v>
      </c>
      <c r="G27" s="1586">
        <v>4.0000000000000001E-3</v>
      </c>
      <c r="H27" s="1585">
        <v>2.9</v>
      </c>
      <c r="I27" s="1586">
        <v>4.0000000000000001E-3</v>
      </c>
      <c r="J27" s="1585">
        <v>2.8</v>
      </c>
      <c r="K27" s="1587">
        <v>4.0000000000000001E-3</v>
      </c>
    </row>
    <row r="28" spans="1:11" ht="20.100000000000001" customHeight="1" x14ac:dyDescent="0.25">
      <c r="A28" s="1582" t="s">
        <v>699</v>
      </c>
      <c r="B28" s="1615">
        <v>28.1</v>
      </c>
      <c r="C28" s="1584">
        <v>3.5999999999999997E-2</v>
      </c>
      <c r="D28" s="1616">
        <v>28.3</v>
      </c>
      <c r="E28" s="1586">
        <v>3.6999999999999998E-2</v>
      </c>
      <c r="F28" s="1616">
        <v>27.6</v>
      </c>
      <c r="G28" s="1586">
        <v>3.5999999999999997E-2</v>
      </c>
      <c r="H28" s="1585">
        <v>28</v>
      </c>
      <c r="I28" s="1586">
        <v>3.5999999999999997E-2</v>
      </c>
      <c r="J28" s="1585">
        <v>25.2</v>
      </c>
      <c r="K28" s="1587">
        <v>3.3000000000000002E-2</v>
      </c>
    </row>
    <row r="29" spans="1:11" ht="20.100000000000001" customHeight="1" x14ac:dyDescent="0.25">
      <c r="A29" s="1588" t="s">
        <v>700</v>
      </c>
      <c r="B29" s="1617">
        <v>6.1</v>
      </c>
      <c r="C29" s="1590">
        <v>8.0000000000000002E-3</v>
      </c>
      <c r="D29" s="1618">
        <v>6.5</v>
      </c>
      <c r="E29" s="1592">
        <v>8.0000000000000002E-3</v>
      </c>
      <c r="F29" s="1618">
        <v>6.4</v>
      </c>
      <c r="G29" s="1592">
        <v>8.0000000000000002E-3</v>
      </c>
      <c r="H29" s="1591">
        <v>7.5</v>
      </c>
      <c r="I29" s="1592">
        <v>0.01</v>
      </c>
      <c r="J29" s="1591">
        <v>7.2</v>
      </c>
      <c r="K29" s="1593">
        <v>8.9999999999999993E-3</v>
      </c>
    </row>
    <row r="30" spans="1:11" ht="20.100000000000001" customHeight="1" x14ac:dyDescent="0.25">
      <c r="A30" s="1594" t="s">
        <v>701</v>
      </c>
      <c r="B30" s="1619">
        <v>279.90000000000003</v>
      </c>
      <c r="C30" s="1596">
        <v>0.35899999999999999</v>
      </c>
      <c r="D30" s="1620">
        <v>282.59999999999997</v>
      </c>
      <c r="E30" s="1598">
        <v>0.36799999999999999</v>
      </c>
      <c r="F30" s="1597">
        <v>280.7</v>
      </c>
      <c r="G30" s="1598">
        <v>0.36799999999999999</v>
      </c>
      <c r="H30" s="1597">
        <v>290.39999999999998</v>
      </c>
      <c r="I30" s="1598">
        <v>0.375</v>
      </c>
      <c r="J30" s="1597">
        <v>292.8</v>
      </c>
      <c r="K30" s="1599">
        <v>0.38200000000000001</v>
      </c>
    </row>
    <row r="31" spans="1:11" ht="20.100000000000001" customHeight="1" x14ac:dyDescent="0.25">
      <c r="A31" s="1621"/>
      <c r="B31" s="1622"/>
      <c r="C31" s="1602"/>
      <c r="D31" s="1623"/>
      <c r="E31" s="1604"/>
      <c r="F31" s="1623"/>
      <c r="G31" s="1604"/>
      <c r="H31" s="1603"/>
      <c r="I31" s="1604"/>
      <c r="J31" s="1603"/>
      <c r="K31" s="1605"/>
    </row>
    <row r="32" spans="1:11" ht="20.100000000000001" customHeight="1" x14ac:dyDescent="0.25">
      <c r="A32" s="1624" t="s">
        <v>702</v>
      </c>
      <c r="B32" s="1625">
        <v>778.7</v>
      </c>
      <c r="C32" s="1626">
        <v>1</v>
      </c>
      <c r="D32" s="1627">
        <v>768.89999999999986</v>
      </c>
      <c r="E32" s="1628">
        <v>1</v>
      </c>
      <c r="F32" s="1627">
        <v>763.7</v>
      </c>
      <c r="G32" s="1628">
        <v>1</v>
      </c>
      <c r="H32" s="1627">
        <v>773.4</v>
      </c>
      <c r="I32" s="1628">
        <v>1</v>
      </c>
      <c r="J32" s="1627">
        <v>767.5</v>
      </c>
      <c r="K32" s="1629">
        <v>1</v>
      </c>
    </row>
    <row r="33" spans="1:11" ht="20.100000000000001" customHeight="1" x14ac:dyDescent="0.25">
      <c r="A33" s="1624" t="s">
        <v>703</v>
      </c>
      <c r="B33" s="1615">
        <v>-7.5</v>
      </c>
      <c r="C33" s="1630"/>
      <c r="D33" s="1616">
        <v>-7.2</v>
      </c>
      <c r="E33" s="1631"/>
      <c r="F33" s="1616">
        <v>-7.1</v>
      </c>
      <c r="G33" s="1632"/>
      <c r="H33" s="1616">
        <v>-6.9</v>
      </c>
      <c r="I33" s="1632"/>
      <c r="J33" s="1616">
        <v>-6.5</v>
      </c>
      <c r="K33" s="1633"/>
    </row>
    <row r="34" spans="1:11" ht="20.100000000000001" customHeight="1" x14ac:dyDescent="0.25">
      <c r="A34" s="1634" t="s">
        <v>704</v>
      </c>
      <c r="B34" s="1625">
        <v>771.2</v>
      </c>
      <c r="C34" s="1635"/>
      <c r="D34" s="1627">
        <v>761.69999999999982</v>
      </c>
      <c r="E34" s="1636"/>
      <c r="F34" s="1627">
        <v>756.6</v>
      </c>
      <c r="G34" s="1637"/>
      <c r="H34" s="1627">
        <v>766.5</v>
      </c>
      <c r="I34" s="1637"/>
      <c r="J34" s="1627">
        <v>761</v>
      </c>
      <c r="K34" s="1638"/>
    </row>
    <row r="35" spans="1:11" ht="20.100000000000001" customHeight="1" x14ac:dyDescent="0.25">
      <c r="A35" s="1639"/>
      <c r="B35" s="1639"/>
      <c r="C35" s="1639"/>
      <c r="D35" s="1640"/>
      <c r="E35" s="1640"/>
      <c r="F35" s="1640"/>
      <c r="G35" s="1641"/>
      <c r="H35" s="1641"/>
      <c r="I35" s="1641"/>
      <c r="J35" s="1641"/>
      <c r="K35" s="1641"/>
    </row>
    <row r="36" spans="1:11" ht="12" customHeight="1" x14ac:dyDescent="0.25">
      <c r="A36" s="2861" t="s">
        <v>705</v>
      </c>
      <c r="B36" s="2816" t="s">
        <v>15</v>
      </c>
      <c r="C36" s="2816" t="s">
        <v>15</v>
      </c>
      <c r="D36" s="2816" t="s">
        <v>15</v>
      </c>
      <c r="E36" s="2816" t="s">
        <v>15</v>
      </c>
      <c r="F36" s="2816" t="s">
        <v>15</v>
      </c>
      <c r="G36" s="2816" t="s">
        <v>15</v>
      </c>
      <c r="H36" s="2816" t="s">
        <v>15</v>
      </c>
      <c r="I36" s="2816" t="s">
        <v>15</v>
      </c>
      <c r="J36" s="2816" t="s">
        <v>15</v>
      </c>
      <c r="K36" s="2816" t="s">
        <v>15</v>
      </c>
    </row>
    <row r="37" spans="1:11" ht="12" customHeight="1" x14ac:dyDescent="0.25">
      <c r="A37" s="2861" t="s">
        <v>706</v>
      </c>
      <c r="B37" s="2816" t="s">
        <v>15</v>
      </c>
      <c r="C37" s="2816" t="s">
        <v>15</v>
      </c>
      <c r="D37" s="2816" t="s">
        <v>15</v>
      </c>
      <c r="E37" s="2816" t="s">
        <v>15</v>
      </c>
      <c r="F37" s="2816" t="s">
        <v>15</v>
      </c>
      <c r="G37" s="2816" t="s">
        <v>15</v>
      </c>
      <c r="H37" s="2816" t="s">
        <v>15</v>
      </c>
      <c r="I37" s="2816" t="s">
        <v>15</v>
      </c>
      <c r="J37" s="2816" t="s">
        <v>15</v>
      </c>
      <c r="K37" s="2816" t="s">
        <v>15</v>
      </c>
    </row>
    <row r="38" spans="1:11" ht="12" customHeight="1" x14ac:dyDescent="0.25">
      <c r="A38" s="2861" t="s">
        <v>707</v>
      </c>
      <c r="B38" s="2816" t="s">
        <v>15</v>
      </c>
      <c r="C38" s="2816" t="s">
        <v>15</v>
      </c>
      <c r="D38" s="2816" t="s">
        <v>15</v>
      </c>
      <c r="E38" s="2816" t="s">
        <v>15</v>
      </c>
      <c r="F38" s="2816" t="s">
        <v>15</v>
      </c>
      <c r="G38" s="2816" t="s">
        <v>15</v>
      </c>
      <c r="H38" s="2816" t="s">
        <v>15</v>
      </c>
      <c r="I38" s="2816" t="s">
        <v>15</v>
      </c>
      <c r="J38" s="2816" t="s">
        <v>15</v>
      </c>
      <c r="K38" s="2816" t="s">
        <v>15</v>
      </c>
    </row>
    <row r="39" spans="1:11" ht="10.35" customHeight="1" x14ac:dyDescent="0.25">
      <c r="A39" s="1642"/>
      <c r="B39" s="1642"/>
      <c r="C39" s="1642"/>
      <c r="D39" s="1642"/>
      <c r="E39" s="1642"/>
      <c r="F39" s="1642"/>
      <c r="G39" s="1642"/>
      <c r="H39" s="1642"/>
      <c r="I39" s="1642"/>
      <c r="J39" s="1642"/>
      <c r="K39" s="1642"/>
    </row>
  </sheetData>
  <mergeCells count="9">
    <mergeCell ref="A36:K36"/>
    <mergeCell ref="A37:K37"/>
    <mergeCell ref="A38:K38"/>
    <mergeCell ref="A2:K2"/>
    <mergeCell ref="B3:C3"/>
    <mergeCell ref="D3:E3"/>
    <mergeCell ref="F3:G3"/>
    <mergeCell ref="H3:I3"/>
    <mergeCell ref="J3:K3"/>
  </mergeCells>
  <hyperlinks>
    <hyperlink ref="A1" location="ToC!A2" display="Back to Table of Contents" xr:uid="{D7CC1913-1D85-403F-9587-4FF86F35FC0B}"/>
  </hyperlinks>
  <pageMargins left="0.5" right="0.5" top="0.5" bottom="0.5" header="0.25" footer="0.25"/>
  <pageSetup scale="71" orientation="landscape" r:id="rId1"/>
  <headerFooter>
    <oddFooter>&amp;L&amp;G&amp;C&amp;"Scotia,Regular"&amp;9Supplementary Financial Information (SFI)&amp;R18&amp;"Scotia,Regular"&amp;7</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6F1D8-6737-4B17-B789-1B13ABD64206}">
  <sheetPr>
    <pageSetUpPr fitToPage="1"/>
  </sheetPr>
  <dimension ref="A1:J63"/>
  <sheetViews>
    <sheetView showGridLines="0" zoomScaleNormal="100" workbookViewId="0"/>
  </sheetViews>
  <sheetFormatPr defaultColWidth="8.77734375" defaultRowHeight="13.2" x14ac:dyDescent="0.25"/>
  <cols>
    <col min="1" max="1" width="63.5546875" style="23" customWidth="1"/>
    <col min="2" max="10" width="13.77734375" style="23" customWidth="1"/>
    <col min="11" max="16384" width="8.77734375" style="23"/>
  </cols>
  <sheetData>
    <row r="1" spans="1:10" ht="19.95" customHeight="1" x14ac:dyDescent="0.25">
      <c r="A1" s="22" t="s">
        <v>12</v>
      </c>
    </row>
    <row r="2" spans="1:10" ht="25.35" customHeight="1" x14ac:dyDescent="0.25">
      <c r="A2" s="2873" t="s">
        <v>708</v>
      </c>
      <c r="B2" s="2873" t="s">
        <v>15</v>
      </c>
      <c r="C2" s="2873" t="s">
        <v>15</v>
      </c>
      <c r="D2" s="2873" t="s">
        <v>15</v>
      </c>
      <c r="E2" s="2873" t="s">
        <v>15</v>
      </c>
      <c r="F2" s="2873" t="s">
        <v>15</v>
      </c>
      <c r="G2" s="2873" t="s">
        <v>15</v>
      </c>
      <c r="H2" s="2873" t="s">
        <v>15</v>
      </c>
      <c r="I2" s="2873" t="s">
        <v>15</v>
      </c>
      <c r="J2" s="2873" t="s">
        <v>15</v>
      </c>
    </row>
    <row r="3" spans="1:10" ht="13.35" customHeight="1" x14ac:dyDescent="0.25">
      <c r="A3" s="1176"/>
      <c r="B3" s="2907"/>
      <c r="C3" s="2908"/>
      <c r="D3" s="2908"/>
      <c r="E3" s="2909"/>
      <c r="F3" s="2910"/>
      <c r="G3" s="2911"/>
      <c r="H3" s="2911"/>
      <c r="I3" s="2912"/>
      <c r="J3" s="1643"/>
    </row>
    <row r="4" spans="1:10" ht="13.35" customHeight="1" x14ac:dyDescent="0.25">
      <c r="A4" s="1176" t="s">
        <v>265</v>
      </c>
      <c r="B4" s="1511" t="s">
        <v>165</v>
      </c>
      <c r="C4" s="1516" t="s">
        <v>166</v>
      </c>
      <c r="D4" s="1516" t="s">
        <v>167</v>
      </c>
      <c r="E4" s="1644" t="s">
        <v>168</v>
      </c>
      <c r="F4" s="1515" t="s">
        <v>169</v>
      </c>
      <c r="G4" s="1516" t="s">
        <v>170</v>
      </c>
      <c r="H4" s="1516" t="s">
        <v>171</v>
      </c>
      <c r="I4" s="1644" t="s">
        <v>172</v>
      </c>
      <c r="J4" s="1515" t="s">
        <v>173</v>
      </c>
    </row>
    <row r="5" spans="1:10" ht="13.35" customHeight="1" x14ac:dyDescent="0.25">
      <c r="A5" s="1517" t="s">
        <v>709</v>
      </c>
      <c r="B5" s="1518"/>
      <c r="C5" s="1645"/>
      <c r="D5" s="1645"/>
      <c r="E5" s="1646"/>
      <c r="F5" s="1647"/>
      <c r="G5" s="1645"/>
      <c r="H5" s="1645"/>
      <c r="I5" s="1646"/>
      <c r="J5" s="1647"/>
    </row>
    <row r="6" spans="1:10" ht="13.35" customHeight="1" x14ac:dyDescent="0.25">
      <c r="A6" s="1541" t="s">
        <v>710</v>
      </c>
      <c r="B6" s="1528">
        <v>1368</v>
      </c>
      <c r="C6" s="1648">
        <v>1218</v>
      </c>
      <c r="D6" s="1648">
        <v>1241</v>
      </c>
      <c r="E6" s="1536">
        <v>1309</v>
      </c>
      <c r="F6" s="1533">
        <v>1212</v>
      </c>
      <c r="G6" s="1534">
        <v>994</v>
      </c>
      <c r="H6" s="1534">
        <v>991</v>
      </c>
      <c r="I6" s="1536">
        <v>1011</v>
      </c>
      <c r="J6" s="1533">
        <v>965</v>
      </c>
    </row>
    <row r="7" spans="1:10" ht="13.35" customHeight="1" x14ac:dyDescent="0.25">
      <c r="A7" s="1541" t="s">
        <v>711</v>
      </c>
      <c r="B7" s="1528">
        <v>911</v>
      </c>
      <c r="C7" s="1648">
        <v>910</v>
      </c>
      <c r="D7" s="1648">
        <v>920</v>
      </c>
      <c r="E7" s="1536">
        <v>883</v>
      </c>
      <c r="F7" s="1533">
        <v>840</v>
      </c>
      <c r="G7" s="1534">
        <v>776</v>
      </c>
      <c r="H7" s="1534">
        <v>674</v>
      </c>
      <c r="I7" s="1536">
        <v>673</v>
      </c>
      <c r="J7" s="1533">
        <v>475</v>
      </c>
    </row>
    <row r="8" spans="1:10" ht="13.35" customHeight="1" x14ac:dyDescent="0.25">
      <c r="A8" s="1535" t="s">
        <v>712</v>
      </c>
      <c r="B8" s="1528">
        <v>2279</v>
      </c>
      <c r="C8" s="1648">
        <v>2128</v>
      </c>
      <c r="D8" s="1648">
        <v>2161</v>
      </c>
      <c r="E8" s="1536">
        <v>2192</v>
      </c>
      <c r="F8" s="1533">
        <v>2052</v>
      </c>
      <c r="G8" s="1534">
        <v>1770</v>
      </c>
      <c r="H8" s="1534">
        <v>1665</v>
      </c>
      <c r="I8" s="1536">
        <v>1684</v>
      </c>
      <c r="J8" s="1533">
        <v>1440</v>
      </c>
    </row>
    <row r="9" spans="1:10" ht="13.35" customHeight="1" x14ac:dyDescent="0.25">
      <c r="A9" s="1541" t="s">
        <v>710</v>
      </c>
      <c r="B9" s="1528">
        <v>2567</v>
      </c>
      <c r="C9" s="1649">
        <v>2458</v>
      </c>
      <c r="D9" s="1649">
        <v>2369</v>
      </c>
      <c r="E9" s="1536">
        <v>2398</v>
      </c>
      <c r="F9" s="1533">
        <v>2252</v>
      </c>
      <c r="G9" s="1534">
        <v>2317</v>
      </c>
      <c r="H9" s="1534">
        <v>2332</v>
      </c>
      <c r="I9" s="1536">
        <v>2206</v>
      </c>
      <c r="J9" s="1533">
        <v>2055</v>
      </c>
    </row>
    <row r="10" spans="1:10" ht="13.35" customHeight="1" x14ac:dyDescent="0.25">
      <c r="A10" s="1544" t="s">
        <v>713</v>
      </c>
      <c r="B10" s="1528">
        <v>321</v>
      </c>
      <c r="C10" s="1649">
        <v>335</v>
      </c>
      <c r="D10" s="1649">
        <v>327</v>
      </c>
      <c r="E10" s="1536">
        <v>354</v>
      </c>
      <c r="F10" s="1533">
        <v>344</v>
      </c>
      <c r="G10" s="1534">
        <v>334</v>
      </c>
      <c r="H10" s="1534">
        <v>324</v>
      </c>
      <c r="I10" s="1536">
        <v>319</v>
      </c>
      <c r="J10" s="1533">
        <v>343</v>
      </c>
    </row>
    <row r="11" spans="1:10" ht="13.35" customHeight="1" x14ac:dyDescent="0.25">
      <c r="A11" s="1544" t="s">
        <v>714</v>
      </c>
      <c r="B11" s="1528">
        <v>977</v>
      </c>
      <c r="C11" s="1649">
        <v>927</v>
      </c>
      <c r="D11" s="1649">
        <v>863</v>
      </c>
      <c r="E11" s="1536">
        <v>802</v>
      </c>
      <c r="F11" s="1533">
        <v>735</v>
      </c>
      <c r="G11" s="1534">
        <v>737</v>
      </c>
      <c r="H11" s="1534">
        <v>745</v>
      </c>
      <c r="I11" s="1536">
        <v>692</v>
      </c>
      <c r="J11" s="1533">
        <v>621</v>
      </c>
    </row>
    <row r="12" spans="1:10" ht="13.35" customHeight="1" x14ac:dyDescent="0.25">
      <c r="A12" s="1544" t="s">
        <v>715</v>
      </c>
      <c r="B12" s="1528">
        <v>372</v>
      </c>
      <c r="C12" s="1649">
        <v>337</v>
      </c>
      <c r="D12" s="1649">
        <v>331</v>
      </c>
      <c r="E12" s="1536">
        <v>372</v>
      </c>
      <c r="F12" s="1533">
        <v>370</v>
      </c>
      <c r="G12" s="1534">
        <v>393</v>
      </c>
      <c r="H12" s="1534">
        <v>388</v>
      </c>
      <c r="I12" s="1536">
        <v>362</v>
      </c>
      <c r="J12" s="1533">
        <v>341</v>
      </c>
    </row>
    <row r="13" spans="1:10" ht="13.35" customHeight="1" x14ac:dyDescent="0.25">
      <c r="A13" s="1544" t="s">
        <v>716</v>
      </c>
      <c r="B13" s="1528">
        <v>614</v>
      </c>
      <c r="C13" s="1649">
        <v>595</v>
      </c>
      <c r="D13" s="1649">
        <v>590</v>
      </c>
      <c r="E13" s="1536">
        <v>590</v>
      </c>
      <c r="F13" s="1533">
        <v>543</v>
      </c>
      <c r="G13" s="1534">
        <v>559</v>
      </c>
      <c r="H13" s="1534">
        <v>563</v>
      </c>
      <c r="I13" s="1536">
        <v>534</v>
      </c>
      <c r="J13" s="1533">
        <v>496</v>
      </c>
    </row>
    <row r="14" spans="1:10" ht="13.35" customHeight="1" x14ac:dyDescent="0.25">
      <c r="A14" s="1544" t="s">
        <v>717</v>
      </c>
      <c r="B14" s="1528">
        <v>196</v>
      </c>
      <c r="C14" s="1649">
        <v>182</v>
      </c>
      <c r="D14" s="1649">
        <v>182</v>
      </c>
      <c r="E14" s="1536">
        <v>202</v>
      </c>
      <c r="F14" s="1533">
        <v>180</v>
      </c>
      <c r="G14" s="1534">
        <v>212</v>
      </c>
      <c r="H14" s="1534">
        <v>225</v>
      </c>
      <c r="I14" s="1536">
        <v>215</v>
      </c>
      <c r="J14" s="1533">
        <v>173</v>
      </c>
    </row>
    <row r="15" spans="1:10" ht="13.35" customHeight="1" x14ac:dyDescent="0.25">
      <c r="A15" s="1544" t="s">
        <v>699</v>
      </c>
      <c r="B15" s="1528">
        <v>87</v>
      </c>
      <c r="C15" s="1649">
        <v>82</v>
      </c>
      <c r="D15" s="1649">
        <v>76</v>
      </c>
      <c r="E15" s="1536">
        <v>78</v>
      </c>
      <c r="F15" s="1533">
        <v>80</v>
      </c>
      <c r="G15" s="1534">
        <v>82</v>
      </c>
      <c r="H15" s="1534">
        <v>87</v>
      </c>
      <c r="I15" s="1536">
        <v>84</v>
      </c>
      <c r="J15" s="1533">
        <v>81</v>
      </c>
    </row>
    <row r="16" spans="1:10" ht="13.35" customHeight="1" x14ac:dyDescent="0.25">
      <c r="A16" s="1541" t="s">
        <v>718</v>
      </c>
      <c r="B16" s="1528">
        <v>2248</v>
      </c>
      <c r="C16" s="1648">
        <v>2175</v>
      </c>
      <c r="D16" s="1648">
        <v>2128</v>
      </c>
      <c r="E16" s="1536">
        <v>2245</v>
      </c>
      <c r="F16" s="1533">
        <v>2208</v>
      </c>
      <c r="G16" s="1534">
        <v>2282</v>
      </c>
      <c r="H16" s="1534">
        <v>2271</v>
      </c>
      <c r="I16" s="1536">
        <v>2133</v>
      </c>
      <c r="J16" s="1533">
        <v>2102</v>
      </c>
    </row>
    <row r="17" spans="1:10" ht="13.35" customHeight="1" x14ac:dyDescent="0.25">
      <c r="A17" s="1544" t="s">
        <v>713</v>
      </c>
      <c r="B17" s="1528">
        <v>257</v>
      </c>
      <c r="C17" s="1648">
        <v>264</v>
      </c>
      <c r="D17" s="1648">
        <v>275</v>
      </c>
      <c r="E17" s="1536">
        <v>332</v>
      </c>
      <c r="F17" s="1533">
        <v>321</v>
      </c>
      <c r="G17" s="1534">
        <v>330</v>
      </c>
      <c r="H17" s="1534">
        <v>341</v>
      </c>
      <c r="I17" s="1536">
        <v>309</v>
      </c>
      <c r="J17" s="1533">
        <v>319</v>
      </c>
    </row>
    <row r="18" spans="1:10" ht="13.35" customHeight="1" x14ac:dyDescent="0.25">
      <c r="A18" s="1544" t="s">
        <v>714</v>
      </c>
      <c r="B18" s="1528">
        <v>517</v>
      </c>
      <c r="C18" s="1648">
        <v>519</v>
      </c>
      <c r="D18" s="1648">
        <v>523</v>
      </c>
      <c r="E18" s="1536">
        <v>569</v>
      </c>
      <c r="F18" s="1533">
        <v>608</v>
      </c>
      <c r="G18" s="1534">
        <v>632</v>
      </c>
      <c r="H18" s="1534">
        <v>625</v>
      </c>
      <c r="I18" s="1536">
        <v>650</v>
      </c>
      <c r="J18" s="1533">
        <v>562</v>
      </c>
    </row>
    <row r="19" spans="1:10" ht="13.35" customHeight="1" x14ac:dyDescent="0.25">
      <c r="A19" s="1544" t="s">
        <v>715</v>
      </c>
      <c r="B19" s="1528">
        <v>446</v>
      </c>
      <c r="C19" s="1648">
        <v>429</v>
      </c>
      <c r="D19" s="1648">
        <v>380</v>
      </c>
      <c r="E19" s="1536">
        <v>358</v>
      </c>
      <c r="F19" s="1533">
        <v>345</v>
      </c>
      <c r="G19" s="1534">
        <v>340</v>
      </c>
      <c r="H19" s="1534">
        <v>346</v>
      </c>
      <c r="I19" s="1536">
        <v>339</v>
      </c>
      <c r="J19" s="1533">
        <v>350</v>
      </c>
    </row>
    <row r="20" spans="1:10" ht="13.35" customHeight="1" x14ac:dyDescent="0.25">
      <c r="A20" s="1544" t="s">
        <v>716</v>
      </c>
      <c r="B20" s="1528">
        <v>798</v>
      </c>
      <c r="C20" s="1648">
        <v>750</v>
      </c>
      <c r="D20" s="1648">
        <v>732</v>
      </c>
      <c r="E20" s="1536">
        <v>753</v>
      </c>
      <c r="F20" s="1533">
        <v>706</v>
      </c>
      <c r="G20" s="1534">
        <v>741</v>
      </c>
      <c r="H20" s="1534">
        <v>695</v>
      </c>
      <c r="I20" s="1536">
        <v>569</v>
      </c>
      <c r="J20" s="1533">
        <v>602</v>
      </c>
    </row>
    <row r="21" spans="1:10" ht="13.35" customHeight="1" x14ac:dyDescent="0.25">
      <c r="A21" s="1544" t="s">
        <v>717</v>
      </c>
      <c r="B21" s="1528">
        <v>168</v>
      </c>
      <c r="C21" s="1648">
        <v>150</v>
      </c>
      <c r="D21" s="1648">
        <v>154</v>
      </c>
      <c r="E21" s="1536">
        <v>162</v>
      </c>
      <c r="F21" s="1533">
        <v>142</v>
      </c>
      <c r="G21" s="1534">
        <v>152</v>
      </c>
      <c r="H21" s="1534">
        <v>176</v>
      </c>
      <c r="I21" s="1536">
        <v>184</v>
      </c>
      <c r="J21" s="1533">
        <v>183</v>
      </c>
    </row>
    <row r="22" spans="1:10" ht="13.35" customHeight="1" x14ac:dyDescent="0.25">
      <c r="A22" s="1544" t="s">
        <v>719</v>
      </c>
      <c r="B22" s="1528">
        <v>62</v>
      </c>
      <c r="C22" s="1648">
        <v>63</v>
      </c>
      <c r="D22" s="1648">
        <v>64</v>
      </c>
      <c r="E22" s="1536">
        <v>71</v>
      </c>
      <c r="F22" s="1533">
        <v>86</v>
      </c>
      <c r="G22" s="1534">
        <v>87</v>
      </c>
      <c r="H22" s="1534">
        <v>88</v>
      </c>
      <c r="I22" s="1536">
        <v>82</v>
      </c>
      <c r="J22" s="1533">
        <v>86</v>
      </c>
    </row>
    <row r="23" spans="1:10" ht="13.35" customHeight="1" x14ac:dyDescent="0.25">
      <c r="A23" s="1535" t="s">
        <v>720</v>
      </c>
      <c r="B23" s="1528">
        <v>4815</v>
      </c>
      <c r="C23" s="1648">
        <v>4633</v>
      </c>
      <c r="D23" s="1648">
        <v>4497</v>
      </c>
      <c r="E23" s="1536">
        <v>4643</v>
      </c>
      <c r="F23" s="1533">
        <v>4460</v>
      </c>
      <c r="G23" s="1534">
        <v>4599</v>
      </c>
      <c r="H23" s="1534">
        <v>4603</v>
      </c>
      <c r="I23" s="1536">
        <v>4339</v>
      </c>
      <c r="J23" s="1533">
        <v>4157</v>
      </c>
    </row>
    <row r="24" spans="1:10" ht="13.35" customHeight="1" x14ac:dyDescent="0.25">
      <c r="A24" s="1535" t="s">
        <v>721</v>
      </c>
      <c r="B24" s="1528">
        <v>92</v>
      </c>
      <c r="C24" s="1648">
        <v>86</v>
      </c>
      <c r="D24" s="1648">
        <v>83</v>
      </c>
      <c r="E24" s="1536">
        <v>71</v>
      </c>
      <c r="F24" s="1533">
        <v>71</v>
      </c>
      <c r="G24" s="1534">
        <v>66</v>
      </c>
      <c r="H24" s="1534">
        <v>75</v>
      </c>
      <c r="I24" s="1536">
        <v>48</v>
      </c>
      <c r="J24" s="1533">
        <v>32</v>
      </c>
    </row>
    <row r="25" spans="1:10" ht="13.35" customHeight="1" x14ac:dyDescent="0.25">
      <c r="A25" s="1541" t="s">
        <v>383</v>
      </c>
      <c r="B25" s="1528">
        <v>58</v>
      </c>
      <c r="C25" s="1648">
        <v>43</v>
      </c>
      <c r="D25" s="1648">
        <v>44</v>
      </c>
      <c r="E25" s="1536">
        <v>48</v>
      </c>
      <c r="F25" s="1533">
        <v>47</v>
      </c>
      <c r="G25" s="1534">
        <v>48</v>
      </c>
      <c r="H25" s="1534">
        <v>50</v>
      </c>
      <c r="I25" s="1536">
        <v>48</v>
      </c>
      <c r="J25" s="1533">
        <v>96</v>
      </c>
    </row>
    <row r="26" spans="1:10" ht="13.35" customHeight="1" x14ac:dyDescent="0.25">
      <c r="A26" s="1541" t="s">
        <v>722</v>
      </c>
      <c r="B26" s="1528">
        <v>0</v>
      </c>
      <c r="C26" s="1648">
        <v>0</v>
      </c>
      <c r="D26" s="1648">
        <v>64</v>
      </c>
      <c r="E26" s="1536">
        <v>110</v>
      </c>
      <c r="F26" s="1533">
        <v>109</v>
      </c>
      <c r="G26" s="1534">
        <v>6</v>
      </c>
      <c r="H26" s="1534">
        <v>6</v>
      </c>
      <c r="I26" s="1536">
        <v>0</v>
      </c>
      <c r="J26" s="1533">
        <v>0</v>
      </c>
    </row>
    <row r="27" spans="1:10" ht="13.35" customHeight="1" x14ac:dyDescent="0.25">
      <c r="A27" s="1541" t="s">
        <v>723</v>
      </c>
      <c r="B27" s="1528">
        <v>0</v>
      </c>
      <c r="C27" s="1648">
        <v>0</v>
      </c>
      <c r="D27" s="1648">
        <v>0</v>
      </c>
      <c r="E27" s="1536">
        <v>0</v>
      </c>
      <c r="F27" s="1533">
        <v>0</v>
      </c>
      <c r="G27" s="1534">
        <v>0</v>
      </c>
      <c r="H27" s="1534">
        <v>0</v>
      </c>
      <c r="I27" s="1536">
        <v>0</v>
      </c>
      <c r="J27" s="1533">
        <v>0</v>
      </c>
    </row>
    <row r="28" spans="1:10" ht="13.35" customHeight="1" x14ac:dyDescent="0.25">
      <c r="A28" s="1541" t="s">
        <v>724</v>
      </c>
      <c r="B28" s="1528">
        <v>0</v>
      </c>
      <c r="C28" s="1648">
        <v>0</v>
      </c>
      <c r="D28" s="1648">
        <v>0</v>
      </c>
      <c r="E28" s="1536">
        <v>0</v>
      </c>
      <c r="F28" s="1533">
        <v>0</v>
      </c>
      <c r="G28" s="1534">
        <v>0</v>
      </c>
      <c r="H28" s="1534">
        <v>0</v>
      </c>
      <c r="I28" s="1536">
        <v>0</v>
      </c>
      <c r="J28" s="1533">
        <v>1</v>
      </c>
    </row>
    <row r="29" spans="1:10" ht="13.35" customHeight="1" x14ac:dyDescent="0.25">
      <c r="A29" s="1535" t="s">
        <v>725</v>
      </c>
      <c r="B29" s="1528">
        <v>58</v>
      </c>
      <c r="C29" s="1648">
        <v>43</v>
      </c>
      <c r="D29" s="1648">
        <v>108</v>
      </c>
      <c r="E29" s="1536">
        <v>158</v>
      </c>
      <c r="F29" s="1533">
        <v>156</v>
      </c>
      <c r="G29" s="1534">
        <v>54</v>
      </c>
      <c r="H29" s="1534">
        <v>56</v>
      </c>
      <c r="I29" s="1536">
        <v>48</v>
      </c>
      <c r="J29" s="1533">
        <v>97</v>
      </c>
    </row>
    <row r="30" spans="1:10" ht="13.35" customHeight="1" x14ac:dyDescent="0.25">
      <c r="A30" s="1543" t="s">
        <v>726</v>
      </c>
      <c r="B30" s="1528">
        <v>7244</v>
      </c>
      <c r="C30" s="1648">
        <v>6890</v>
      </c>
      <c r="D30" s="1648">
        <v>6849</v>
      </c>
      <c r="E30" s="1536">
        <v>7064</v>
      </c>
      <c r="F30" s="1533">
        <v>6739</v>
      </c>
      <c r="G30" s="1534">
        <v>6489</v>
      </c>
      <c r="H30" s="1534">
        <v>6399</v>
      </c>
      <c r="I30" s="1536">
        <v>6119</v>
      </c>
      <c r="J30" s="1533">
        <v>5726</v>
      </c>
    </row>
    <row r="31" spans="1:10" ht="13.35" customHeight="1" x14ac:dyDescent="0.25">
      <c r="A31" s="1650"/>
      <c r="B31" s="1651"/>
      <c r="C31" s="1652"/>
      <c r="D31" s="1652"/>
      <c r="E31" s="1653"/>
      <c r="F31" s="1654"/>
      <c r="G31" s="1655"/>
      <c r="H31" s="1655"/>
      <c r="I31" s="1653"/>
      <c r="J31" s="1654"/>
    </row>
    <row r="32" spans="1:10" ht="13.35" customHeight="1" x14ac:dyDescent="0.25">
      <c r="A32" s="1656" t="s">
        <v>727</v>
      </c>
      <c r="B32" s="1657"/>
      <c r="C32" s="1658"/>
      <c r="D32" s="1658"/>
      <c r="E32" s="1659"/>
      <c r="F32" s="1660"/>
      <c r="G32" s="1661"/>
      <c r="H32" s="1661"/>
      <c r="I32" s="1659"/>
      <c r="J32" s="1660"/>
    </row>
    <row r="33" spans="1:10" ht="13.35" customHeight="1" x14ac:dyDescent="0.25">
      <c r="A33" s="1662" t="s">
        <v>710</v>
      </c>
      <c r="B33" s="1663">
        <v>955</v>
      </c>
      <c r="C33" s="1664">
        <v>799</v>
      </c>
      <c r="D33" s="1664">
        <v>798</v>
      </c>
      <c r="E33" s="1665">
        <v>907</v>
      </c>
      <c r="F33" s="1666">
        <v>847</v>
      </c>
      <c r="G33" s="1667">
        <v>674</v>
      </c>
      <c r="H33" s="1667">
        <v>664</v>
      </c>
      <c r="I33" s="1665">
        <v>724</v>
      </c>
      <c r="J33" s="1666">
        <v>612</v>
      </c>
    </row>
    <row r="34" spans="1:10" ht="13.35" customHeight="1" x14ac:dyDescent="0.25">
      <c r="A34" s="1541" t="s">
        <v>711</v>
      </c>
      <c r="B34" s="1528">
        <v>657</v>
      </c>
      <c r="C34" s="1648">
        <v>687</v>
      </c>
      <c r="D34" s="1648">
        <v>700</v>
      </c>
      <c r="E34" s="1536">
        <v>681</v>
      </c>
      <c r="F34" s="1533">
        <v>654</v>
      </c>
      <c r="G34" s="1534">
        <v>579</v>
      </c>
      <c r="H34" s="1534">
        <v>494</v>
      </c>
      <c r="I34" s="1536">
        <v>493</v>
      </c>
      <c r="J34" s="1533">
        <v>337</v>
      </c>
    </row>
    <row r="35" spans="1:10" ht="13.35" customHeight="1" x14ac:dyDescent="0.25">
      <c r="A35" s="1535" t="s">
        <v>712</v>
      </c>
      <c r="B35" s="1528">
        <v>1612</v>
      </c>
      <c r="C35" s="1648">
        <v>1486</v>
      </c>
      <c r="D35" s="1648">
        <v>1498</v>
      </c>
      <c r="E35" s="1536">
        <v>1588</v>
      </c>
      <c r="F35" s="1533">
        <v>1501</v>
      </c>
      <c r="G35" s="1534">
        <v>1253</v>
      </c>
      <c r="H35" s="1534">
        <v>1158</v>
      </c>
      <c r="I35" s="1536">
        <v>1217</v>
      </c>
      <c r="J35" s="1533">
        <v>949</v>
      </c>
    </row>
    <row r="36" spans="1:10" ht="13.35" customHeight="1" x14ac:dyDescent="0.25">
      <c r="A36" s="1541" t="s">
        <v>710</v>
      </c>
      <c r="B36" s="1528">
        <v>1547</v>
      </c>
      <c r="C36" s="1649">
        <v>1488</v>
      </c>
      <c r="D36" s="1649">
        <v>1455</v>
      </c>
      <c r="E36" s="1536">
        <v>1450</v>
      </c>
      <c r="F36" s="1533">
        <v>1358</v>
      </c>
      <c r="G36" s="1534">
        <v>1395</v>
      </c>
      <c r="H36" s="1534">
        <v>1431</v>
      </c>
      <c r="I36" s="1536">
        <v>1344</v>
      </c>
      <c r="J36" s="1533">
        <v>1253</v>
      </c>
    </row>
    <row r="37" spans="1:10" ht="13.35" customHeight="1" x14ac:dyDescent="0.25">
      <c r="A37" s="1544" t="s">
        <v>713</v>
      </c>
      <c r="B37" s="1528">
        <v>187</v>
      </c>
      <c r="C37" s="1648">
        <v>203</v>
      </c>
      <c r="D37" s="1648">
        <v>196</v>
      </c>
      <c r="E37" s="1536">
        <v>205</v>
      </c>
      <c r="F37" s="1533">
        <v>209</v>
      </c>
      <c r="G37" s="1534">
        <v>201</v>
      </c>
      <c r="H37" s="1534">
        <v>196</v>
      </c>
      <c r="I37" s="1536">
        <v>189</v>
      </c>
      <c r="J37" s="1533">
        <v>207</v>
      </c>
    </row>
    <row r="38" spans="1:10" ht="13.35" customHeight="1" x14ac:dyDescent="0.25">
      <c r="A38" s="1544" t="s">
        <v>714</v>
      </c>
      <c r="B38" s="1528">
        <v>599</v>
      </c>
      <c r="C38" s="1648">
        <v>559</v>
      </c>
      <c r="D38" s="1648">
        <v>537</v>
      </c>
      <c r="E38" s="1536">
        <v>509</v>
      </c>
      <c r="F38" s="1533">
        <v>465</v>
      </c>
      <c r="G38" s="1534">
        <v>484</v>
      </c>
      <c r="H38" s="1534">
        <v>490</v>
      </c>
      <c r="I38" s="1536">
        <v>449</v>
      </c>
      <c r="J38" s="1533">
        <v>408</v>
      </c>
    </row>
    <row r="39" spans="1:10" ht="13.35" customHeight="1" x14ac:dyDescent="0.25">
      <c r="A39" s="1544" t="s">
        <v>715</v>
      </c>
      <c r="B39" s="1528">
        <v>152</v>
      </c>
      <c r="C39" s="1648">
        <v>139</v>
      </c>
      <c r="D39" s="1648">
        <v>136</v>
      </c>
      <c r="E39" s="1536">
        <v>137</v>
      </c>
      <c r="F39" s="1533">
        <v>134</v>
      </c>
      <c r="G39" s="1534">
        <v>143</v>
      </c>
      <c r="H39" s="1534">
        <v>156</v>
      </c>
      <c r="I39" s="1536">
        <v>135</v>
      </c>
      <c r="J39" s="1533">
        <v>124</v>
      </c>
    </row>
    <row r="40" spans="1:10" ht="13.35" customHeight="1" x14ac:dyDescent="0.25">
      <c r="A40" s="1544" t="s">
        <v>716</v>
      </c>
      <c r="B40" s="1528">
        <v>465</v>
      </c>
      <c r="C40" s="1648">
        <v>455</v>
      </c>
      <c r="D40" s="1648">
        <v>457</v>
      </c>
      <c r="E40" s="1536">
        <v>462</v>
      </c>
      <c r="F40" s="1533">
        <v>424</v>
      </c>
      <c r="G40" s="1534">
        <v>431</v>
      </c>
      <c r="H40" s="1534">
        <v>436</v>
      </c>
      <c r="I40" s="1536">
        <v>419</v>
      </c>
      <c r="J40" s="1533">
        <v>383</v>
      </c>
    </row>
    <row r="41" spans="1:10" ht="13.35" customHeight="1" x14ac:dyDescent="0.25">
      <c r="A41" s="1544" t="s">
        <v>717</v>
      </c>
      <c r="B41" s="1528">
        <v>121</v>
      </c>
      <c r="C41" s="1648">
        <v>112</v>
      </c>
      <c r="D41" s="1648">
        <v>112</v>
      </c>
      <c r="E41" s="1536">
        <v>119</v>
      </c>
      <c r="F41" s="1533">
        <v>106</v>
      </c>
      <c r="G41" s="1534">
        <v>114</v>
      </c>
      <c r="H41" s="1534">
        <v>130</v>
      </c>
      <c r="I41" s="1536">
        <v>130</v>
      </c>
      <c r="J41" s="1533">
        <v>110</v>
      </c>
    </row>
    <row r="42" spans="1:10" ht="13.35" customHeight="1" x14ac:dyDescent="0.25">
      <c r="A42" s="1544" t="s">
        <v>699</v>
      </c>
      <c r="B42" s="1528">
        <v>23</v>
      </c>
      <c r="C42" s="1648">
        <v>20</v>
      </c>
      <c r="D42" s="1648">
        <v>17</v>
      </c>
      <c r="E42" s="1536">
        <v>18</v>
      </c>
      <c r="F42" s="1533">
        <v>20</v>
      </c>
      <c r="G42" s="1534">
        <v>22</v>
      </c>
      <c r="H42" s="1534">
        <v>23</v>
      </c>
      <c r="I42" s="1536">
        <v>22</v>
      </c>
      <c r="J42" s="1533">
        <v>21</v>
      </c>
    </row>
    <row r="43" spans="1:10" ht="13.35" customHeight="1" x14ac:dyDescent="0.25">
      <c r="A43" s="1541" t="s">
        <v>718</v>
      </c>
      <c r="B43" s="1528">
        <v>1615</v>
      </c>
      <c r="C43" s="1648">
        <v>1578</v>
      </c>
      <c r="D43" s="1648">
        <v>1551</v>
      </c>
      <c r="E43" s="1536">
        <v>1651</v>
      </c>
      <c r="F43" s="1533">
        <v>1643</v>
      </c>
      <c r="G43" s="1534">
        <v>1723</v>
      </c>
      <c r="H43" s="1534">
        <v>1710</v>
      </c>
      <c r="I43" s="1536">
        <v>1579</v>
      </c>
      <c r="J43" s="1533">
        <v>1540</v>
      </c>
    </row>
    <row r="44" spans="1:10" ht="13.35" customHeight="1" x14ac:dyDescent="0.25">
      <c r="A44" s="1544" t="s">
        <v>713</v>
      </c>
      <c r="B44" s="1528">
        <v>234</v>
      </c>
      <c r="C44" s="1648">
        <v>240</v>
      </c>
      <c r="D44" s="1648">
        <v>249</v>
      </c>
      <c r="E44" s="1536">
        <v>306</v>
      </c>
      <c r="F44" s="1533">
        <v>298</v>
      </c>
      <c r="G44" s="1534">
        <v>308</v>
      </c>
      <c r="H44" s="1534">
        <v>317</v>
      </c>
      <c r="I44" s="1536">
        <v>285</v>
      </c>
      <c r="J44" s="1533">
        <v>295</v>
      </c>
    </row>
    <row r="45" spans="1:10" ht="13.35" customHeight="1" x14ac:dyDescent="0.25">
      <c r="A45" s="1544" t="s">
        <v>714</v>
      </c>
      <c r="B45" s="1528">
        <v>360</v>
      </c>
      <c r="C45" s="1648">
        <v>376</v>
      </c>
      <c r="D45" s="1648">
        <v>389</v>
      </c>
      <c r="E45" s="1536">
        <v>424</v>
      </c>
      <c r="F45" s="1533">
        <v>454</v>
      </c>
      <c r="G45" s="1534">
        <v>486</v>
      </c>
      <c r="H45" s="1534">
        <v>479</v>
      </c>
      <c r="I45" s="1536">
        <v>509</v>
      </c>
      <c r="J45" s="1533">
        <v>403</v>
      </c>
    </row>
    <row r="46" spans="1:10" ht="13.35" customHeight="1" x14ac:dyDescent="0.25">
      <c r="A46" s="1544" t="s">
        <v>715</v>
      </c>
      <c r="B46" s="1528">
        <v>266</v>
      </c>
      <c r="C46" s="1648">
        <v>258</v>
      </c>
      <c r="D46" s="1648">
        <v>214</v>
      </c>
      <c r="E46" s="1536">
        <v>189</v>
      </c>
      <c r="F46" s="1533">
        <v>196</v>
      </c>
      <c r="G46" s="1534">
        <v>196</v>
      </c>
      <c r="H46" s="1534">
        <v>189</v>
      </c>
      <c r="I46" s="1536">
        <v>179</v>
      </c>
      <c r="J46" s="1533">
        <v>195</v>
      </c>
    </row>
    <row r="47" spans="1:10" ht="13.35" customHeight="1" x14ac:dyDescent="0.25">
      <c r="A47" s="1544" t="s">
        <v>716</v>
      </c>
      <c r="B47" s="1528">
        <v>619</v>
      </c>
      <c r="C47" s="1648">
        <v>573</v>
      </c>
      <c r="D47" s="1648">
        <v>562</v>
      </c>
      <c r="E47" s="1536">
        <v>588</v>
      </c>
      <c r="F47" s="1533">
        <v>544</v>
      </c>
      <c r="G47" s="1534">
        <v>577</v>
      </c>
      <c r="H47" s="1534">
        <v>539</v>
      </c>
      <c r="I47" s="1536">
        <v>417</v>
      </c>
      <c r="J47" s="1533">
        <v>451</v>
      </c>
    </row>
    <row r="48" spans="1:10" ht="13.35" customHeight="1" x14ac:dyDescent="0.25">
      <c r="A48" s="1544" t="s">
        <v>717</v>
      </c>
      <c r="B48" s="1528">
        <v>111</v>
      </c>
      <c r="C48" s="1648">
        <v>103</v>
      </c>
      <c r="D48" s="1648">
        <v>108</v>
      </c>
      <c r="E48" s="1536">
        <v>117</v>
      </c>
      <c r="F48" s="1533">
        <v>107</v>
      </c>
      <c r="G48" s="1534">
        <v>108</v>
      </c>
      <c r="H48" s="1534">
        <v>136</v>
      </c>
      <c r="I48" s="1536">
        <v>142</v>
      </c>
      <c r="J48" s="1533">
        <v>149</v>
      </c>
    </row>
    <row r="49" spans="1:10" ht="13.35" customHeight="1" x14ac:dyDescent="0.25">
      <c r="A49" s="1544" t="s">
        <v>719</v>
      </c>
      <c r="B49" s="1528">
        <v>25</v>
      </c>
      <c r="C49" s="1648">
        <v>28</v>
      </c>
      <c r="D49" s="1648">
        <v>29</v>
      </c>
      <c r="E49" s="1536">
        <v>27</v>
      </c>
      <c r="F49" s="1533">
        <v>44</v>
      </c>
      <c r="G49" s="1534">
        <v>48</v>
      </c>
      <c r="H49" s="1534">
        <v>50</v>
      </c>
      <c r="I49" s="1536">
        <v>47</v>
      </c>
      <c r="J49" s="1533">
        <v>47</v>
      </c>
    </row>
    <row r="50" spans="1:10" ht="13.35" customHeight="1" x14ac:dyDescent="0.25">
      <c r="A50" s="1535" t="s">
        <v>720</v>
      </c>
      <c r="B50" s="1528">
        <v>3162</v>
      </c>
      <c r="C50" s="1648">
        <v>3066</v>
      </c>
      <c r="D50" s="1648">
        <v>3006</v>
      </c>
      <c r="E50" s="1536">
        <v>3101</v>
      </c>
      <c r="F50" s="1533">
        <v>3001</v>
      </c>
      <c r="G50" s="1534">
        <v>3118</v>
      </c>
      <c r="H50" s="1534">
        <v>3141</v>
      </c>
      <c r="I50" s="1536">
        <v>2923</v>
      </c>
      <c r="J50" s="1533">
        <v>2793</v>
      </c>
    </row>
    <row r="51" spans="1:10" ht="13.35" customHeight="1" x14ac:dyDescent="0.25">
      <c r="A51" s="1535" t="s">
        <v>721</v>
      </c>
      <c r="B51" s="1528">
        <v>74</v>
      </c>
      <c r="C51" s="1648">
        <v>63</v>
      </c>
      <c r="D51" s="1648">
        <v>60</v>
      </c>
      <c r="E51" s="1536">
        <v>49</v>
      </c>
      <c r="F51" s="1533">
        <v>50</v>
      </c>
      <c r="G51" s="1534">
        <v>34</v>
      </c>
      <c r="H51" s="1534">
        <v>54</v>
      </c>
      <c r="I51" s="1536">
        <v>35</v>
      </c>
      <c r="J51" s="1533">
        <v>22</v>
      </c>
    </row>
    <row r="52" spans="1:10" ht="13.35" customHeight="1" x14ac:dyDescent="0.25">
      <c r="A52" s="1541" t="s">
        <v>383</v>
      </c>
      <c r="B52" s="1528">
        <v>55</v>
      </c>
      <c r="C52" s="1648">
        <v>41</v>
      </c>
      <c r="D52" s="1648">
        <v>43</v>
      </c>
      <c r="E52" s="1668">
        <v>46</v>
      </c>
      <c r="F52" s="1669">
        <v>46</v>
      </c>
      <c r="G52" s="1534">
        <v>39</v>
      </c>
      <c r="H52" s="1534">
        <v>41</v>
      </c>
      <c r="I52" s="1536">
        <v>40</v>
      </c>
      <c r="J52" s="1533">
        <v>81</v>
      </c>
    </row>
    <row r="53" spans="1:10" ht="13.35" customHeight="1" x14ac:dyDescent="0.25">
      <c r="A53" s="1541" t="s">
        <v>722</v>
      </c>
      <c r="B53" s="1528">
        <v>0</v>
      </c>
      <c r="C53" s="1648">
        <v>0</v>
      </c>
      <c r="D53" s="1648">
        <v>41</v>
      </c>
      <c r="E53" s="1668">
        <v>90</v>
      </c>
      <c r="F53" s="1669">
        <v>87</v>
      </c>
      <c r="G53" s="1534">
        <v>5</v>
      </c>
      <c r="H53" s="1534">
        <v>5</v>
      </c>
      <c r="I53" s="1536">
        <v>0</v>
      </c>
      <c r="J53" s="1533">
        <v>0</v>
      </c>
    </row>
    <row r="54" spans="1:10" ht="13.35" customHeight="1" x14ac:dyDescent="0.25">
      <c r="A54" s="1670" t="s">
        <v>723</v>
      </c>
      <c r="B54" s="1671">
        <v>0</v>
      </c>
      <c r="C54" s="1672">
        <v>0</v>
      </c>
      <c r="D54" s="1672">
        <v>0</v>
      </c>
      <c r="E54" s="1673">
        <v>0</v>
      </c>
      <c r="F54" s="1674">
        <v>0</v>
      </c>
      <c r="G54" s="1675">
        <v>0</v>
      </c>
      <c r="H54" s="1675">
        <v>0</v>
      </c>
      <c r="I54" s="1676">
        <v>0</v>
      </c>
      <c r="J54" s="1677">
        <v>0</v>
      </c>
    </row>
    <row r="55" spans="1:10" ht="13.35" customHeight="1" x14ac:dyDescent="0.25">
      <c r="A55" s="1678" t="s">
        <v>724</v>
      </c>
      <c r="B55" s="1679">
        <v>0</v>
      </c>
      <c r="C55" s="1680">
        <v>0</v>
      </c>
      <c r="D55" s="1680">
        <v>0</v>
      </c>
      <c r="E55" s="1681">
        <v>0</v>
      </c>
      <c r="F55" s="1682">
        <v>0</v>
      </c>
      <c r="G55" s="1683">
        <v>0</v>
      </c>
      <c r="H55" s="1683">
        <v>0</v>
      </c>
      <c r="I55" s="1684">
        <v>0</v>
      </c>
      <c r="J55" s="1685">
        <v>0</v>
      </c>
    </row>
    <row r="56" spans="1:10" ht="13.35" customHeight="1" x14ac:dyDescent="0.25">
      <c r="A56" s="1535" t="s">
        <v>725</v>
      </c>
      <c r="B56" s="1528">
        <v>55</v>
      </c>
      <c r="C56" s="1648">
        <v>41</v>
      </c>
      <c r="D56" s="1648">
        <v>84</v>
      </c>
      <c r="E56" s="1536">
        <v>136</v>
      </c>
      <c r="F56" s="1533">
        <v>133</v>
      </c>
      <c r="G56" s="1534">
        <v>44</v>
      </c>
      <c r="H56" s="1534">
        <v>46</v>
      </c>
      <c r="I56" s="1536">
        <v>40</v>
      </c>
      <c r="J56" s="1533">
        <v>81</v>
      </c>
    </row>
    <row r="57" spans="1:10" ht="13.35" customHeight="1" x14ac:dyDescent="0.25">
      <c r="A57" s="1686" t="s">
        <v>728</v>
      </c>
      <c r="B57" s="1687">
        <v>4903</v>
      </c>
      <c r="C57" s="1688">
        <v>4656</v>
      </c>
      <c r="D57" s="1688">
        <v>4648</v>
      </c>
      <c r="E57" s="1689">
        <v>4874</v>
      </c>
      <c r="F57" s="1690">
        <v>4685</v>
      </c>
      <c r="G57" s="1691">
        <v>4449</v>
      </c>
      <c r="H57" s="1691">
        <v>4399</v>
      </c>
      <c r="I57" s="1689">
        <v>4215</v>
      </c>
      <c r="J57" s="1690">
        <v>3845</v>
      </c>
    </row>
    <row r="58" spans="1:10" ht="13.35" customHeight="1" x14ac:dyDescent="0.25">
      <c r="A58" s="1692"/>
      <c r="B58" s="1693"/>
      <c r="C58" s="1693"/>
      <c r="D58" s="1694"/>
      <c r="E58" s="1695"/>
      <c r="F58" s="1695"/>
      <c r="G58" s="1695"/>
      <c r="H58" s="1695"/>
      <c r="I58" s="1695"/>
      <c r="J58" s="1695"/>
    </row>
    <row r="59" spans="1:10" ht="12" customHeight="1" x14ac:dyDescent="0.25">
      <c r="A59" s="860" t="s">
        <v>729</v>
      </c>
      <c r="B59" s="1696"/>
      <c r="C59" s="1696"/>
      <c r="D59" s="1697"/>
      <c r="E59" s="2906"/>
      <c r="F59" s="2906" t="s">
        <v>15</v>
      </c>
      <c r="G59" s="2906" t="s">
        <v>15</v>
      </c>
      <c r="H59" s="2906" t="s">
        <v>15</v>
      </c>
      <c r="I59" s="2906" t="s">
        <v>15</v>
      </c>
      <c r="J59" s="2906" t="s">
        <v>15</v>
      </c>
    </row>
    <row r="60" spans="1:10" ht="12" customHeight="1" x14ac:dyDescent="0.25">
      <c r="A60" s="860" t="s">
        <v>730</v>
      </c>
      <c r="B60" s="1698"/>
      <c r="C60" s="1698"/>
      <c r="D60" s="1699"/>
      <c r="E60" s="2906"/>
      <c r="F60" s="2906" t="s">
        <v>15</v>
      </c>
      <c r="G60" s="2906" t="s">
        <v>15</v>
      </c>
      <c r="H60" s="2906" t="s">
        <v>15</v>
      </c>
      <c r="I60" s="2906" t="s">
        <v>15</v>
      </c>
      <c r="J60" s="2906" t="s">
        <v>15</v>
      </c>
    </row>
    <row r="61" spans="1:10" ht="10.35" customHeight="1" x14ac:dyDescent="0.25">
      <c r="A61" s="860" t="s">
        <v>731</v>
      </c>
      <c r="B61" s="1698"/>
      <c r="C61" s="1698"/>
      <c r="D61" s="1699"/>
      <c r="E61" s="2906"/>
      <c r="F61" s="2906" t="s">
        <v>15</v>
      </c>
      <c r="G61" s="2906" t="s">
        <v>15</v>
      </c>
      <c r="H61" s="2906" t="s">
        <v>15</v>
      </c>
      <c r="I61" s="2906" t="s">
        <v>15</v>
      </c>
      <c r="J61" s="2906" t="s">
        <v>15</v>
      </c>
    </row>
    <row r="62" spans="1:10" ht="10.35" customHeight="1" x14ac:dyDescent="0.25">
      <c r="A62" s="860" t="s">
        <v>732</v>
      </c>
      <c r="B62" s="1698"/>
      <c r="C62" s="1698"/>
      <c r="D62" s="1699"/>
      <c r="E62" s="2906"/>
      <c r="F62" s="2906" t="s">
        <v>15</v>
      </c>
      <c r="G62" s="2906" t="s">
        <v>15</v>
      </c>
      <c r="H62" s="2906" t="s">
        <v>15</v>
      </c>
      <c r="I62" s="2906" t="s">
        <v>15</v>
      </c>
      <c r="J62" s="2906" t="s">
        <v>15</v>
      </c>
    </row>
    <row r="63" spans="1:10" ht="10.35" customHeight="1" x14ac:dyDescent="0.25">
      <c r="A63" s="76"/>
      <c r="B63" s="1698"/>
      <c r="C63" s="1698"/>
      <c r="D63" s="1699"/>
      <c r="E63" s="2906"/>
      <c r="F63" s="2906" t="s">
        <v>15</v>
      </c>
      <c r="G63" s="2906" t="s">
        <v>15</v>
      </c>
      <c r="H63" s="2906" t="s">
        <v>15</v>
      </c>
      <c r="I63" s="2906" t="s">
        <v>15</v>
      </c>
      <c r="J63" s="2906" t="s">
        <v>15</v>
      </c>
    </row>
  </sheetData>
  <mergeCells count="8">
    <mergeCell ref="E62:J62"/>
    <mergeCell ref="E63:J63"/>
    <mergeCell ref="A2:J2"/>
    <mergeCell ref="B3:E3"/>
    <mergeCell ref="F3:I3"/>
    <mergeCell ref="E59:J59"/>
    <mergeCell ref="E60:J60"/>
    <mergeCell ref="E61:J61"/>
  </mergeCells>
  <hyperlinks>
    <hyperlink ref="A1" location="ToC!A2" display="Back to Table of Contents" xr:uid="{F4012362-32B3-450A-A689-CED2F21A1E65}"/>
  </hyperlinks>
  <pageMargins left="0.5" right="0.5" top="0.5" bottom="0.5" header="0.25" footer="0.25"/>
  <pageSetup scale="63" orientation="landscape" r:id="rId1"/>
  <headerFooter>
    <oddFooter>&amp;L&amp;G&amp;C&amp;"Scotia,Regular"&amp;9Supplementary Financial Information (SFI)&amp;R19&amp;"Scotia,Regular"&amp;7</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8409-9E8C-4843-A098-E5B3956DED87}">
  <sheetPr>
    <pageSetUpPr fitToPage="1"/>
  </sheetPr>
  <dimension ref="A1:L67"/>
  <sheetViews>
    <sheetView showGridLines="0" zoomScaleNormal="100" workbookViewId="0"/>
  </sheetViews>
  <sheetFormatPr defaultColWidth="8.77734375" defaultRowHeight="13.2" x14ac:dyDescent="0.25"/>
  <cols>
    <col min="1" max="1" width="32.21875" style="23" customWidth="1"/>
    <col min="2" max="12" width="16.77734375" style="23" customWidth="1"/>
    <col min="13" max="16384" width="8.77734375" style="23"/>
  </cols>
  <sheetData>
    <row r="1" spans="1:12" ht="19.95" customHeight="1" x14ac:dyDescent="0.25">
      <c r="A1" s="22" t="s">
        <v>12</v>
      </c>
    </row>
    <row r="2" spans="1:12" ht="25.35" customHeight="1" x14ac:dyDescent="0.25">
      <c r="A2" s="2873" t="s">
        <v>733</v>
      </c>
      <c r="B2" s="2873" t="s">
        <v>15</v>
      </c>
      <c r="C2" s="2873" t="s">
        <v>15</v>
      </c>
      <c r="D2" s="2873" t="s">
        <v>15</v>
      </c>
      <c r="E2" s="2873" t="s">
        <v>15</v>
      </c>
      <c r="F2" s="2873" t="s">
        <v>15</v>
      </c>
      <c r="G2" s="2873" t="s">
        <v>15</v>
      </c>
      <c r="H2" s="2873" t="s">
        <v>15</v>
      </c>
      <c r="I2" s="2873" t="s">
        <v>15</v>
      </c>
      <c r="J2" s="2873" t="s">
        <v>15</v>
      </c>
      <c r="K2" s="2873" t="s">
        <v>15</v>
      </c>
      <c r="L2" s="2873" t="s">
        <v>15</v>
      </c>
    </row>
    <row r="3" spans="1:12" ht="15" customHeight="1" x14ac:dyDescent="0.25">
      <c r="A3" s="1176"/>
      <c r="B3" s="2894"/>
      <c r="C3" s="2895" t="s">
        <v>15</v>
      </c>
      <c r="D3" s="2895" t="s">
        <v>15</v>
      </c>
      <c r="E3" s="2896" t="s">
        <v>15</v>
      </c>
      <c r="F3" s="2897"/>
      <c r="G3" s="2898" t="s">
        <v>15</v>
      </c>
      <c r="H3" s="2898" t="s">
        <v>15</v>
      </c>
      <c r="I3" s="2899" t="s">
        <v>15</v>
      </c>
      <c r="J3" s="1510"/>
      <c r="K3" s="2871" t="s">
        <v>163</v>
      </c>
      <c r="L3" s="2872" t="s">
        <v>15</v>
      </c>
    </row>
    <row r="4" spans="1:12" ht="15" customHeight="1" x14ac:dyDescent="0.25">
      <c r="A4" s="1176" t="s">
        <v>265</v>
      </c>
      <c r="B4" s="1700" t="s">
        <v>165</v>
      </c>
      <c r="C4" s="1093" t="s">
        <v>166</v>
      </c>
      <c r="D4" s="1093" t="s">
        <v>167</v>
      </c>
      <c r="E4" s="1701" t="s">
        <v>168</v>
      </c>
      <c r="F4" s="1513" t="s">
        <v>169</v>
      </c>
      <c r="G4" s="1093" t="s">
        <v>170</v>
      </c>
      <c r="H4" s="1516" t="s">
        <v>171</v>
      </c>
      <c r="I4" s="1644" t="s">
        <v>172</v>
      </c>
      <c r="J4" s="1702" t="s">
        <v>173</v>
      </c>
      <c r="K4" s="1515">
        <v>2025</v>
      </c>
      <c r="L4" s="1516">
        <v>2024</v>
      </c>
    </row>
    <row r="5" spans="1:12" ht="15" customHeight="1" x14ac:dyDescent="0.25">
      <c r="A5" s="1517" t="s">
        <v>734</v>
      </c>
      <c r="B5" s="1703">
        <v>6890</v>
      </c>
      <c r="C5" s="1704">
        <v>6849</v>
      </c>
      <c r="D5" s="1705">
        <v>7064</v>
      </c>
      <c r="E5" s="1706">
        <v>6739</v>
      </c>
      <c r="F5" s="1563">
        <v>6489</v>
      </c>
      <c r="G5" s="1564">
        <v>6399</v>
      </c>
      <c r="H5" s="1564">
        <v>6119</v>
      </c>
      <c r="I5" s="1707">
        <v>5726</v>
      </c>
      <c r="J5" s="1562">
        <v>5487</v>
      </c>
      <c r="K5" s="1708">
        <v>6739</v>
      </c>
      <c r="L5" s="1709">
        <v>5726</v>
      </c>
    </row>
    <row r="6" spans="1:12" ht="15" customHeight="1" x14ac:dyDescent="0.25">
      <c r="A6" s="1710" t="s">
        <v>735</v>
      </c>
      <c r="B6" s="1651"/>
      <c r="C6" s="1711"/>
      <c r="D6" s="1712"/>
      <c r="E6" s="1713"/>
      <c r="F6" s="1654"/>
      <c r="G6" s="1655"/>
      <c r="H6" s="1655"/>
      <c r="I6" s="1653"/>
      <c r="J6" s="1714"/>
      <c r="K6" s="1715"/>
      <c r="L6" s="1716"/>
    </row>
    <row r="7" spans="1:12" ht="15" customHeight="1" x14ac:dyDescent="0.25">
      <c r="A7" s="1082" t="s">
        <v>736</v>
      </c>
      <c r="B7" s="1657"/>
      <c r="C7" s="1717"/>
      <c r="D7" s="1718"/>
      <c r="E7" s="1719"/>
      <c r="F7" s="1660"/>
      <c r="G7" s="1661"/>
      <c r="H7" s="1661"/>
      <c r="I7" s="1659"/>
      <c r="J7" s="1720"/>
      <c r="K7" s="1721"/>
      <c r="L7" s="1722"/>
    </row>
    <row r="8" spans="1:12" ht="15" customHeight="1" x14ac:dyDescent="0.25">
      <c r="A8" s="1723" t="s">
        <v>737</v>
      </c>
      <c r="B8" s="1663">
        <v>970</v>
      </c>
      <c r="C8" s="1724">
        <v>901</v>
      </c>
      <c r="D8" s="1725">
        <v>870</v>
      </c>
      <c r="E8" s="1726">
        <v>986</v>
      </c>
      <c r="F8" s="1666">
        <v>1004</v>
      </c>
      <c r="G8" s="1667">
        <v>771</v>
      </c>
      <c r="H8" s="1667">
        <v>742</v>
      </c>
      <c r="I8" s="1665">
        <v>762</v>
      </c>
      <c r="J8" s="1727">
        <v>698</v>
      </c>
      <c r="K8" s="1728">
        <v>3727</v>
      </c>
      <c r="L8" s="1729">
        <v>3279</v>
      </c>
    </row>
    <row r="9" spans="1:12" ht="15" customHeight="1" x14ac:dyDescent="0.25">
      <c r="A9" s="1527" t="s">
        <v>738</v>
      </c>
      <c r="B9" s="1528">
        <v>-311</v>
      </c>
      <c r="C9" s="1730">
        <v>-356</v>
      </c>
      <c r="D9" s="1731">
        <v>-386</v>
      </c>
      <c r="E9" s="1732">
        <v>-366</v>
      </c>
      <c r="F9" s="1533">
        <v>-319</v>
      </c>
      <c r="G9" s="1534">
        <v>-282</v>
      </c>
      <c r="H9" s="1534">
        <v>-280</v>
      </c>
      <c r="I9" s="1536">
        <v>-225</v>
      </c>
      <c r="J9" s="1532">
        <v>-217</v>
      </c>
      <c r="K9" s="1733">
        <v>-1419</v>
      </c>
      <c r="L9" s="1734">
        <v>-1106</v>
      </c>
    </row>
    <row r="10" spans="1:12" ht="15" customHeight="1" x14ac:dyDescent="0.25">
      <c r="A10" s="1527" t="s">
        <v>739</v>
      </c>
      <c r="B10" s="1528">
        <v>-104</v>
      </c>
      <c r="C10" s="1730">
        <v>-167</v>
      </c>
      <c r="D10" s="1731">
        <v>-146</v>
      </c>
      <c r="E10" s="1732">
        <v>-128</v>
      </c>
      <c r="F10" s="1533">
        <v>-108</v>
      </c>
      <c r="G10" s="1534">
        <v>-138</v>
      </c>
      <c r="H10" s="1534">
        <v>-134</v>
      </c>
      <c r="I10" s="1536">
        <v>-104</v>
      </c>
      <c r="J10" s="1532">
        <v>-122</v>
      </c>
      <c r="K10" s="1733">
        <v>-545</v>
      </c>
      <c r="L10" s="1734">
        <v>-484</v>
      </c>
    </row>
    <row r="11" spans="1:12" ht="15" customHeight="1" x14ac:dyDescent="0.25">
      <c r="A11" s="1527" t="s">
        <v>740</v>
      </c>
      <c r="B11" s="1528">
        <v>0</v>
      </c>
      <c r="C11" s="1730">
        <v>0</v>
      </c>
      <c r="D11" s="1731">
        <v>0</v>
      </c>
      <c r="E11" s="1732">
        <v>0</v>
      </c>
      <c r="F11" s="1533">
        <v>0</v>
      </c>
      <c r="G11" s="1534">
        <v>0</v>
      </c>
      <c r="H11" s="1534">
        <v>0</v>
      </c>
      <c r="I11" s="1536">
        <v>-65</v>
      </c>
      <c r="J11" s="1532">
        <v>0</v>
      </c>
      <c r="K11" s="1733">
        <v>0</v>
      </c>
      <c r="L11" s="1734">
        <v>-65</v>
      </c>
    </row>
    <row r="12" spans="1:12" ht="15" customHeight="1" x14ac:dyDescent="0.25">
      <c r="A12" s="1735" t="s">
        <v>741</v>
      </c>
      <c r="B12" s="1549">
        <v>555</v>
      </c>
      <c r="C12" s="1736">
        <v>378</v>
      </c>
      <c r="D12" s="1737">
        <v>338</v>
      </c>
      <c r="E12" s="1738">
        <v>492</v>
      </c>
      <c r="F12" s="1566">
        <v>577</v>
      </c>
      <c r="G12" s="1739">
        <v>351</v>
      </c>
      <c r="H12" s="1739">
        <v>328</v>
      </c>
      <c r="I12" s="1551">
        <v>368</v>
      </c>
      <c r="J12" s="1553">
        <v>359</v>
      </c>
      <c r="K12" s="1740">
        <v>1763</v>
      </c>
      <c r="L12" s="1741">
        <v>1624</v>
      </c>
    </row>
    <row r="13" spans="1:12" ht="15" customHeight="1" x14ac:dyDescent="0.25">
      <c r="A13" s="1082" t="s">
        <v>742</v>
      </c>
      <c r="B13" s="1657"/>
      <c r="C13" s="1717"/>
      <c r="D13" s="1718"/>
      <c r="E13" s="1719"/>
      <c r="F13" s="1660"/>
      <c r="G13" s="1661"/>
      <c r="H13" s="1661"/>
      <c r="I13" s="1659"/>
      <c r="J13" s="1720"/>
      <c r="K13" s="1721"/>
      <c r="L13" s="1722"/>
    </row>
    <row r="14" spans="1:12" ht="15" customHeight="1" x14ac:dyDescent="0.25">
      <c r="A14" s="1723" t="s">
        <v>737</v>
      </c>
      <c r="B14" s="1663">
        <v>228</v>
      </c>
      <c r="C14" s="1724">
        <v>309</v>
      </c>
      <c r="D14" s="1725">
        <v>257</v>
      </c>
      <c r="E14" s="1726">
        <v>175</v>
      </c>
      <c r="F14" s="1666">
        <v>238</v>
      </c>
      <c r="G14" s="1667">
        <v>187</v>
      </c>
      <c r="H14" s="1667">
        <v>98</v>
      </c>
      <c r="I14" s="1665">
        <v>343</v>
      </c>
      <c r="J14" s="1727">
        <v>84</v>
      </c>
      <c r="K14" s="1728">
        <v>969</v>
      </c>
      <c r="L14" s="1729">
        <v>866</v>
      </c>
    </row>
    <row r="15" spans="1:12" ht="15" customHeight="1" x14ac:dyDescent="0.25">
      <c r="A15" s="1527" t="s">
        <v>738</v>
      </c>
      <c r="B15" s="1528">
        <v>-38</v>
      </c>
      <c r="C15" s="1730">
        <v>-6</v>
      </c>
      <c r="D15" s="1731">
        <v>-14</v>
      </c>
      <c r="E15" s="1732">
        <v>-9</v>
      </c>
      <c r="F15" s="1533">
        <v>-8</v>
      </c>
      <c r="G15" s="1534">
        <v>-7</v>
      </c>
      <c r="H15" s="1534">
        <v>-7</v>
      </c>
      <c r="I15" s="1536">
        <v>-4</v>
      </c>
      <c r="J15" s="1532">
        <v>-21</v>
      </c>
      <c r="K15" s="1733">
        <v>-67</v>
      </c>
      <c r="L15" s="1734">
        <v>-26</v>
      </c>
    </row>
    <row r="16" spans="1:12" ht="15" customHeight="1" x14ac:dyDescent="0.25">
      <c r="A16" s="1527" t="s">
        <v>739</v>
      </c>
      <c r="B16" s="1528">
        <v>-84</v>
      </c>
      <c r="C16" s="1730">
        <v>-183</v>
      </c>
      <c r="D16" s="1731">
        <v>-121</v>
      </c>
      <c r="E16" s="1732">
        <v>-32</v>
      </c>
      <c r="F16" s="1533">
        <v>-54</v>
      </c>
      <c r="G16" s="1534">
        <v>-26</v>
      </c>
      <c r="H16" s="1534">
        <v>-37</v>
      </c>
      <c r="I16" s="1536">
        <v>-82</v>
      </c>
      <c r="J16" s="1532">
        <v>-25</v>
      </c>
      <c r="K16" s="1733">
        <v>-420</v>
      </c>
      <c r="L16" s="1734">
        <v>-199</v>
      </c>
    </row>
    <row r="17" spans="1:12" ht="15" customHeight="1" x14ac:dyDescent="0.25">
      <c r="A17" s="1527" t="s">
        <v>740</v>
      </c>
      <c r="B17" s="1528">
        <v>0</v>
      </c>
      <c r="C17" s="1730">
        <v>0</v>
      </c>
      <c r="D17" s="1731">
        <v>0</v>
      </c>
      <c r="E17" s="1732">
        <v>0</v>
      </c>
      <c r="F17" s="1533">
        <v>0</v>
      </c>
      <c r="G17" s="1534">
        <v>-5</v>
      </c>
      <c r="H17" s="1534">
        <v>0</v>
      </c>
      <c r="I17" s="1536">
        <v>-5</v>
      </c>
      <c r="J17" s="1532">
        <v>0</v>
      </c>
      <c r="K17" s="1733">
        <v>0</v>
      </c>
      <c r="L17" s="1734">
        <v>-10</v>
      </c>
    </row>
    <row r="18" spans="1:12" ht="15" customHeight="1" x14ac:dyDescent="0.25">
      <c r="A18" s="1735" t="s">
        <v>741</v>
      </c>
      <c r="B18" s="1549">
        <v>106</v>
      </c>
      <c r="C18" s="1736">
        <v>120</v>
      </c>
      <c r="D18" s="1737">
        <v>122</v>
      </c>
      <c r="E18" s="1738">
        <v>134</v>
      </c>
      <c r="F18" s="1566">
        <v>176</v>
      </c>
      <c r="G18" s="1739">
        <v>149</v>
      </c>
      <c r="H18" s="1739">
        <v>54</v>
      </c>
      <c r="I18" s="1551">
        <v>252</v>
      </c>
      <c r="J18" s="1553">
        <v>38</v>
      </c>
      <c r="K18" s="1740">
        <v>482</v>
      </c>
      <c r="L18" s="1741">
        <v>631</v>
      </c>
    </row>
    <row r="19" spans="1:12" ht="15" customHeight="1" x14ac:dyDescent="0.25">
      <c r="A19" s="1082" t="s">
        <v>743</v>
      </c>
      <c r="B19" s="1657"/>
      <c r="C19" s="1717"/>
      <c r="D19" s="1718"/>
      <c r="E19" s="1719"/>
      <c r="F19" s="1660"/>
      <c r="G19" s="1661"/>
      <c r="H19" s="1661"/>
      <c r="I19" s="1659"/>
      <c r="J19" s="1720"/>
      <c r="K19" s="1721"/>
      <c r="L19" s="1722"/>
    </row>
    <row r="20" spans="1:12" ht="15" customHeight="1" x14ac:dyDescent="0.25">
      <c r="A20" s="1723" t="s">
        <v>737</v>
      </c>
      <c r="B20" s="1663">
        <v>1063</v>
      </c>
      <c r="C20" s="1724">
        <v>1042</v>
      </c>
      <c r="D20" s="1725">
        <v>1050</v>
      </c>
      <c r="E20" s="1726">
        <v>1106</v>
      </c>
      <c r="F20" s="1666">
        <v>1055</v>
      </c>
      <c r="G20" s="1667">
        <v>1126</v>
      </c>
      <c r="H20" s="1667">
        <v>1096</v>
      </c>
      <c r="I20" s="1665">
        <v>1149</v>
      </c>
      <c r="J20" s="1727">
        <v>1017</v>
      </c>
      <c r="K20" s="1728">
        <v>4261</v>
      </c>
      <c r="L20" s="1729">
        <v>4426</v>
      </c>
    </row>
    <row r="21" spans="1:12" ht="15" customHeight="1" x14ac:dyDescent="0.25">
      <c r="A21" s="1527" t="s">
        <v>738</v>
      </c>
      <c r="B21" s="1528">
        <v>-324</v>
      </c>
      <c r="C21" s="1730">
        <v>-314</v>
      </c>
      <c r="D21" s="1731">
        <v>-307</v>
      </c>
      <c r="E21" s="1732">
        <v>-323</v>
      </c>
      <c r="F21" s="1533">
        <v>-292</v>
      </c>
      <c r="G21" s="1534">
        <v>-317</v>
      </c>
      <c r="H21" s="1534">
        <v>-286</v>
      </c>
      <c r="I21" s="1536">
        <v>-294</v>
      </c>
      <c r="J21" s="1532">
        <v>-277</v>
      </c>
      <c r="K21" s="1733">
        <v>-1268</v>
      </c>
      <c r="L21" s="1734">
        <v>-1189</v>
      </c>
    </row>
    <row r="22" spans="1:12" ht="15" customHeight="1" x14ac:dyDescent="0.25">
      <c r="A22" s="1527" t="s">
        <v>739</v>
      </c>
      <c r="B22" s="1528">
        <v>-189</v>
      </c>
      <c r="C22" s="1730">
        <v>-167</v>
      </c>
      <c r="D22" s="1731">
        <v>-179</v>
      </c>
      <c r="E22" s="1732">
        <v>-152</v>
      </c>
      <c r="F22" s="1533">
        <v>-191</v>
      </c>
      <c r="G22" s="1534">
        <v>-185</v>
      </c>
      <c r="H22" s="1534">
        <v>-169</v>
      </c>
      <c r="I22" s="1536">
        <v>-155</v>
      </c>
      <c r="J22" s="1532">
        <v>-160</v>
      </c>
      <c r="K22" s="1733">
        <v>-687</v>
      </c>
      <c r="L22" s="1734">
        <v>-700</v>
      </c>
    </row>
    <row r="23" spans="1:12" ht="15" customHeight="1" x14ac:dyDescent="0.25">
      <c r="A23" s="1527" t="s">
        <v>740</v>
      </c>
      <c r="B23" s="1528">
        <v>0</v>
      </c>
      <c r="C23" s="1730">
        <v>0</v>
      </c>
      <c r="D23" s="1731">
        <v>0</v>
      </c>
      <c r="E23" s="1732">
        <v>0</v>
      </c>
      <c r="F23" s="1533">
        <v>0</v>
      </c>
      <c r="G23" s="1534">
        <v>0</v>
      </c>
      <c r="H23" s="1534">
        <v>0</v>
      </c>
      <c r="I23" s="1536">
        <v>0</v>
      </c>
      <c r="J23" s="1532">
        <v>-30</v>
      </c>
      <c r="K23" s="1733">
        <v>0</v>
      </c>
      <c r="L23" s="1734">
        <v>0</v>
      </c>
    </row>
    <row r="24" spans="1:12" ht="15" customHeight="1" x14ac:dyDescent="0.25">
      <c r="A24" s="1735" t="s">
        <v>741</v>
      </c>
      <c r="B24" s="1549">
        <v>550</v>
      </c>
      <c r="C24" s="1736">
        <v>561</v>
      </c>
      <c r="D24" s="1737">
        <v>564</v>
      </c>
      <c r="E24" s="1738">
        <v>631</v>
      </c>
      <c r="F24" s="1566">
        <v>572</v>
      </c>
      <c r="G24" s="1739">
        <v>624</v>
      </c>
      <c r="H24" s="1739">
        <v>641</v>
      </c>
      <c r="I24" s="1551">
        <v>700</v>
      </c>
      <c r="J24" s="1553">
        <v>550</v>
      </c>
      <c r="K24" s="1740">
        <v>2306</v>
      </c>
      <c r="L24" s="1741">
        <v>2537</v>
      </c>
    </row>
    <row r="25" spans="1:12" ht="15" customHeight="1" x14ac:dyDescent="0.25">
      <c r="A25" s="1082" t="s">
        <v>744</v>
      </c>
      <c r="B25" s="1657"/>
      <c r="C25" s="1717"/>
      <c r="D25" s="1718"/>
      <c r="E25" s="1719"/>
      <c r="F25" s="1660"/>
      <c r="G25" s="1661"/>
      <c r="H25" s="1661"/>
      <c r="I25" s="1659"/>
      <c r="J25" s="1720"/>
      <c r="K25" s="1721"/>
      <c r="L25" s="1722"/>
    </row>
    <row r="26" spans="1:12" ht="15" customHeight="1" x14ac:dyDescent="0.25">
      <c r="A26" s="1723" t="s">
        <v>737</v>
      </c>
      <c r="B26" s="1663">
        <v>157</v>
      </c>
      <c r="C26" s="1724">
        <v>178</v>
      </c>
      <c r="D26" s="1725">
        <v>91</v>
      </c>
      <c r="E26" s="1726">
        <v>109</v>
      </c>
      <c r="F26" s="1666">
        <v>97</v>
      </c>
      <c r="G26" s="1667">
        <v>235</v>
      </c>
      <c r="H26" s="1667">
        <v>189</v>
      </c>
      <c r="I26" s="1665">
        <v>185</v>
      </c>
      <c r="J26" s="1727">
        <v>138</v>
      </c>
      <c r="K26" s="1728">
        <v>535</v>
      </c>
      <c r="L26" s="1729">
        <v>706</v>
      </c>
    </row>
    <row r="27" spans="1:12" ht="15" customHeight="1" x14ac:dyDescent="0.25">
      <c r="A27" s="1527" t="s">
        <v>738</v>
      </c>
      <c r="B27" s="1528">
        <v>-16</v>
      </c>
      <c r="C27" s="1730">
        <v>-3</v>
      </c>
      <c r="D27" s="1731">
        <v>-44</v>
      </c>
      <c r="E27" s="1732">
        <v>-5</v>
      </c>
      <c r="F27" s="1533">
        <v>-24</v>
      </c>
      <c r="G27" s="1534">
        <v>-15</v>
      </c>
      <c r="H27" s="1534">
        <v>-14</v>
      </c>
      <c r="I27" s="1536">
        <v>-1</v>
      </c>
      <c r="J27" s="1532">
        <v>-11</v>
      </c>
      <c r="K27" s="1733">
        <v>-68</v>
      </c>
      <c r="L27" s="1734">
        <v>-54</v>
      </c>
    </row>
    <row r="28" spans="1:12" ht="15" customHeight="1" x14ac:dyDescent="0.25">
      <c r="A28" s="1527" t="s">
        <v>739</v>
      </c>
      <c r="B28" s="1528">
        <v>-88</v>
      </c>
      <c r="C28" s="1730">
        <v>-97</v>
      </c>
      <c r="D28" s="1731">
        <v>-49</v>
      </c>
      <c r="E28" s="1732">
        <v>-100</v>
      </c>
      <c r="F28" s="1533">
        <v>-45</v>
      </c>
      <c r="G28" s="1534">
        <v>-131</v>
      </c>
      <c r="H28" s="1534">
        <v>-55</v>
      </c>
      <c r="I28" s="1536">
        <v>-49</v>
      </c>
      <c r="J28" s="1532">
        <v>-48</v>
      </c>
      <c r="K28" s="1733">
        <v>-334</v>
      </c>
      <c r="L28" s="1734">
        <v>-280</v>
      </c>
    </row>
    <row r="29" spans="1:12" ht="15" customHeight="1" x14ac:dyDescent="0.25">
      <c r="A29" s="1527" t="s">
        <v>740</v>
      </c>
      <c r="B29" s="1528">
        <v>0</v>
      </c>
      <c r="C29" s="1730">
        <v>0</v>
      </c>
      <c r="D29" s="1731">
        <v>0</v>
      </c>
      <c r="E29" s="1732">
        <v>0</v>
      </c>
      <c r="F29" s="1533">
        <v>0</v>
      </c>
      <c r="G29" s="1534">
        <v>0</v>
      </c>
      <c r="H29" s="1534">
        <v>0</v>
      </c>
      <c r="I29" s="1536">
        <v>0</v>
      </c>
      <c r="J29" s="1532">
        <v>0</v>
      </c>
      <c r="K29" s="1733">
        <v>0</v>
      </c>
      <c r="L29" s="1734">
        <v>0</v>
      </c>
    </row>
    <row r="30" spans="1:12" ht="15" customHeight="1" x14ac:dyDescent="0.25">
      <c r="A30" s="1735" t="s">
        <v>741</v>
      </c>
      <c r="B30" s="1549">
        <v>53</v>
      </c>
      <c r="C30" s="1736">
        <v>78</v>
      </c>
      <c r="D30" s="1737">
        <v>-2</v>
      </c>
      <c r="E30" s="1738">
        <v>4</v>
      </c>
      <c r="F30" s="1566">
        <v>28</v>
      </c>
      <c r="G30" s="1739">
        <v>89</v>
      </c>
      <c r="H30" s="1739">
        <v>120</v>
      </c>
      <c r="I30" s="1551">
        <v>135</v>
      </c>
      <c r="J30" s="1553">
        <v>79</v>
      </c>
      <c r="K30" s="1740">
        <v>133</v>
      </c>
      <c r="L30" s="1741">
        <v>372</v>
      </c>
    </row>
    <row r="31" spans="1:12" ht="15" customHeight="1" x14ac:dyDescent="0.25">
      <c r="A31" s="1082" t="s">
        <v>721</v>
      </c>
      <c r="B31" s="1657"/>
      <c r="C31" s="1717"/>
      <c r="D31" s="1718"/>
      <c r="E31" s="1719"/>
      <c r="F31" s="1660"/>
      <c r="G31" s="1661"/>
      <c r="H31" s="1661"/>
      <c r="I31" s="1659"/>
      <c r="J31" s="1720"/>
      <c r="K31" s="1721"/>
      <c r="L31" s="1722"/>
    </row>
    <row r="32" spans="1:12" ht="15" customHeight="1" x14ac:dyDescent="0.25">
      <c r="A32" s="1723" t="s">
        <v>737</v>
      </c>
      <c r="B32" s="1663">
        <v>40</v>
      </c>
      <c r="C32" s="1724">
        <v>17</v>
      </c>
      <c r="D32" s="1725">
        <v>17</v>
      </c>
      <c r="E32" s="1726">
        <v>7</v>
      </c>
      <c r="F32" s="1666">
        <v>26</v>
      </c>
      <c r="G32" s="1667">
        <v>15</v>
      </c>
      <c r="H32" s="1667">
        <v>36</v>
      </c>
      <c r="I32" s="1665">
        <v>25</v>
      </c>
      <c r="J32" s="1727">
        <v>16</v>
      </c>
      <c r="K32" s="1728">
        <v>81</v>
      </c>
      <c r="L32" s="1729">
        <v>102</v>
      </c>
    </row>
    <row r="33" spans="1:12" ht="15" customHeight="1" x14ac:dyDescent="0.25">
      <c r="A33" s="1527" t="s">
        <v>738</v>
      </c>
      <c r="B33" s="1528">
        <v>-19</v>
      </c>
      <c r="C33" s="1730">
        <v>-5</v>
      </c>
      <c r="D33" s="1731">
        <v>-1</v>
      </c>
      <c r="E33" s="1732">
        <v>0</v>
      </c>
      <c r="F33" s="1533">
        <v>0</v>
      </c>
      <c r="G33" s="1534">
        <v>-6</v>
      </c>
      <c r="H33" s="1534">
        <v>-5</v>
      </c>
      <c r="I33" s="1536">
        <v>-8</v>
      </c>
      <c r="J33" s="1532">
        <v>-2</v>
      </c>
      <c r="K33" s="1733">
        <v>-25</v>
      </c>
      <c r="L33" s="1734">
        <v>-19</v>
      </c>
    </row>
    <row r="34" spans="1:12" ht="15" customHeight="1" x14ac:dyDescent="0.25">
      <c r="A34" s="1527" t="s">
        <v>739</v>
      </c>
      <c r="B34" s="1528">
        <v>-7</v>
      </c>
      <c r="C34" s="1730">
        <v>-9</v>
      </c>
      <c r="D34" s="1731">
        <v>-6</v>
      </c>
      <c r="E34" s="1732">
        <v>-7</v>
      </c>
      <c r="F34" s="1533">
        <v>-9</v>
      </c>
      <c r="G34" s="1534">
        <v>-18</v>
      </c>
      <c r="H34" s="1534">
        <v>-5</v>
      </c>
      <c r="I34" s="1536">
        <v>0</v>
      </c>
      <c r="J34" s="1532">
        <v>-1</v>
      </c>
      <c r="K34" s="1733">
        <v>-29</v>
      </c>
      <c r="L34" s="1734">
        <v>-32</v>
      </c>
    </row>
    <row r="35" spans="1:12" ht="15" customHeight="1" x14ac:dyDescent="0.25">
      <c r="A35" s="1527" t="s">
        <v>740</v>
      </c>
      <c r="B35" s="1528">
        <v>0</v>
      </c>
      <c r="C35" s="1730">
        <v>0</v>
      </c>
      <c r="D35" s="1731">
        <v>0</v>
      </c>
      <c r="E35" s="1732">
        <v>0</v>
      </c>
      <c r="F35" s="1533">
        <v>0</v>
      </c>
      <c r="G35" s="1534">
        <v>0</v>
      </c>
      <c r="H35" s="1534">
        <v>0</v>
      </c>
      <c r="I35" s="1536">
        <v>0</v>
      </c>
      <c r="J35" s="1532">
        <v>0</v>
      </c>
      <c r="K35" s="1733">
        <v>0</v>
      </c>
      <c r="L35" s="1734">
        <v>0</v>
      </c>
    </row>
    <row r="36" spans="1:12" ht="15" customHeight="1" x14ac:dyDescent="0.25">
      <c r="A36" s="1735" t="s">
        <v>741</v>
      </c>
      <c r="B36" s="1549">
        <v>14</v>
      </c>
      <c r="C36" s="1736">
        <v>3</v>
      </c>
      <c r="D36" s="1737">
        <v>10</v>
      </c>
      <c r="E36" s="1738">
        <v>0</v>
      </c>
      <c r="F36" s="1566">
        <v>17</v>
      </c>
      <c r="G36" s="1739">
        <v>-9</v>
      </c>
      <c r="H36" s="1739">
        <v>26</v>
      </c>
      <c r="I36" s="1551">
        <v>17</v>
      </c>
      <c r="J36" s="1553">
        <v>13</v>
      </c>
      <c r="K36" s="1740">
        <v>27</v>
      </c>
      <c r="L36" s="1741">
        <v>51</v>
      </c>
    </row>
    <row r="37" spans="1:12" ht="15" customHeight="1" x14ac:dyDescent="0.25">
      <c r="A37" s="1082" t="s">
        <v>725</v>
      </c>
      <c r="B37" s="1657"/>
      <c r="C37" s="1717"/>
      <c r="D37" s="1718"/>
      <c r="E37" s="1719"/>
      <c r="F37" s="1660"/>
      <c r="G37" s="1661"/>
      <c r="H37" s="1661"/>
      <c r="I37" s="1659"/>
      <c r="J37" s="1720"/>
      <c r="K37" s="1721"/>
      <c r="L37" s="1722"/>
    </row>
    <row r="38" spans="1:12" ht="15" customHeight="1" x14ac:dyDescent="0.25">
      <c r="A38" s="1723" t="s">
        <v>737</v>
      </c>
      <c r="B38" s="1663">
        <v>25</v>
      </c>
      <c r="C38" s="1724">
        <v>0</v>
      </c>
      <c r="D38" s="1725">
        <v>0</v>
      </c>
      <c r="E38" s="1726">
        <v>0</v>
      </c>
      <c r="F38" s="1666">
        <v>109</v>
      </c>
      <c r="G38" s="1667">
        <v>0</v>
      </c>
      <c r="H38" s="1667">
        <v>7</v>
      </c>
      <c r="I38" s="1665">
        <v>0</v>
      </c>
      <c r="J38" s="1727">
        <v>0</v>
      </c>
      <c r="K38" s="1728">
        <v>25</v>
      </c>
      <c r="L38" s="1729">
        <v>116</v>
      </c>
    </row>
    <row r="39" spans="1:12" ht="15" customHeight="1" x14ac:dyDescent="0.25">
      <c r="A39" s="1527" t="s">
        <v>738</v>
      </c>
      <c r="B39" s="1528">
        <v>0</v>
      </c>
      <c r="C39" s="1730">
        <v>0</v>
      </c>
      <c r="D39" s="1731">
        <v>0</v>
      </c>
      <c r="E39" s="1732">
        <v>0</v>
      </c>
      <c r="F39" s="1533">
        <v>0</v>
      </c>
      <c r="G39" s="1534">
        <v>0</v>
      </c>
      <c r="H39" s="1534">
        <v>0</v>
      </c>
      <c r="I39" s="1536">
        <v>0</v>
      </c>
      <c r="J39" s="1532">
        <v>0</v>
      </c>
      <c r="K39" s="1733">
        <v>0</v>
      </c>
      <c r="L39" s="1734">
        <v>0</v>
      </c>
    </row>
    <row r="40" spans="1:12" ht="15" customHeight="1" x14ac:dyDescent="0.25">
      <c r="A40" s="1527" t="s">
        <v>739</v>
      </c>
      <c r="B40" s="1528">
        <v>-1</v>
      </c>
      <c r="C40" s="1730">
        <v>-1</v>
      </c>
      <c r="D40" s="1731">
        <v>-6</v>
      </c>
      <c r="E40" s="1732">
        <v>-5</v>
      </c>
      <c r="F40" s="1533">
        <v>-1</v>
      </c>
      <c r="G40" s="1534">
        <v>-2</v>
      </c>
      <c r="H40" s="1534">
        <v>0</v>
      </c>
      <c r="I40" s="1536">
        <v>-46</v>
      </c>
      <c r="J40" s="1532">
        <v>-3</v>
      </c>
      <c r="K40" s="1733">
        <v>-13</v>
      </c>
      <c r="L40" s="1734">
        <v>-49</v>
      </c>
    </row>
    <row r="41" spans="1:12" ht="15" customHeight="1" x14ac:dyDescent="0.25">
      <c r="A41" s="1527" t="s">
        <v>740</v>
      </c>
      <c r="B41" s="1528">
        <v>0</v>
      </c>
      <c r="C41" s="1730">
        <v>-37</v>
      </c>
      <c r="D41" s="1731">
        <v>0</v>
      </c>
      <c r="E41" s="1732">
        <v>0</v>
      </c>
      <c r="F41" s="1533">
        <v>-4</v>
      </c>
      <c r="G41" s="1534">
        <v>0</v>
      </c>
      <c r="H41" s="1534">
        <v>0</v>
      </c>
      <c r="I41" s="1536">
        <v>0</v>
      </c>
      <c r="J41" s="1532">
        <v>0</v>
      </c>
      <c r="K41" s="1733">
        <v>-37</v>
      </c>
      <c r="L41" s="1734">
        <v>-4</v>
      </c>
    </row>
    <row r="42" spans="1:12" ht="15" customHeight="1" x14ac:dyDescent="0.25">
      <c r="A42" s="1527" t="s">
        <v>741</v>
      </c>
      <c r="B42" s="1528">
        <v>24</v>
      </c>
      <c r="C42" s="1730">
        <v>-38</v>
      </c>
      <c r="D42" s="1731">
        <v>-6</v>
      </c>
      <c r="E42" s="1732">
        <v>-5</v>
      </c>
      <c r="F42" s="1533">
        <v>104</v>
      </c>
      <c r="G42" s="1534">
        <v>-2</v>
      </c>
      <c r="H42" s="1534">
        <v>7</v>
      </c>
      <c r="I42" s="1536">
        <v>-46</v>
      </c>
      <c r="J42" s="1532">
        <v>-3</v>
      </c>
      <c r="K42" s="1733">
        <v>-25</v>
      </c>
      <c r="L42" s="1734">
        <v>63</v>
      </c>
    </row>
    <row r="43" spans="1:12" ht="15" customHeight="1" x14ac:dyDescent="0.25">
      <c r="A43" s="1543" t="s">
        <v>506</v>
      </c>
      <c r="B43" s="1528">
        <v>1302</v>
      </c>
      <c r="C43" s="1730">
        <v>1102</v>
      </c>
      <c r="D43" s="1731">
        <v>1026</v>
      </c>
      <c r="E43" s="1732">
        <v>1256</v>
      </c>
      <c r="F43" s="1533">
        <v>1474</v>
      </c>
      <c r="G43" s="1534">
        <v>1202</v>
      </c>
      <c r="H43" s="1534">
        <v>1176</v>
      </c>
      <c r="I43" s="1536">
        <v>1426</v>
      </c>
      <c r="J43" s="1532">
        <v>1036</v>
      </c>
      <c r="K43" s="1733">
        <v>4686</v>
      </c>
      <c r="L43" s="1734">
        <v>5278</v>
      </c>
    </row>
    <row r="44" spans="1:12" ht="15" customHeight="1" x14ac:dyDescent="0.25">
      <c r="A44" s="1742"/>
      <c r="B44" s="1651"/>
      <c r="C44" s="1711"/>
      <c r="D44" s="1712"/>
      <c r="E44" s="1653"/>
      <c r="F44" s="1654"/>
      <c r="G44" s="1655"/>
      <c r="H44" s="1655"/>
      <c r="I44" s="1653"/>
      <c r="J44" s="1714"/>
      <c r="K44" s="1715"/>
      <c r="L44" s="1716"/>
    </row>
    <row r="45" spans="1:12" ht="15" customHeight="1" x14ac:dyDescent="0.25">
      <c r="A45" s="1082" t="s">
        <v>745</v>
      </c>
      <c r="B45" s="1657"/>
      <c r="C45" s="1717"/>
      <c r="D45" s="1718"/>
      <c r="E45" s="1659"/>
      <c r="F45" s="1660"/>
      <c r="G45" s="1661"/>
      <c r="H45" s="1661"/>
      <c r="I45" s="1659"/>
      <c r="J45" s="1720"/>
      <c r="K45" s="1721"/>
      <c r="L45" s="1722"/>
    </row>
    <row r="46" spans="1:12" ht="15" customHeight="1" x14ac:dyDescent="0.25">
      <c r="A46" s="1723" t="s">
        <v>746</v>
      </c>
      <c r="B46" s="1663">
        <v>-405</v>
      </c>
      <c r="C46" s="1724">
        <v>-401</v>
      </c>
      <c r="D46" s="1725">
        <v>-406</v>
      </c>
      <c r="E46" s="1743">
        <v>-394</v>
      </c>
      <c r="F46" s="1666">
        <v>-360</v>
      </c>
      <c r="G46" s="1667">
        <v>-348</v>
      </c>
      <c r="H46" s="1667">
        <v>-348</v>
      </c>
      <c r="I46" s="1665">
        <v>-322</v>
      </c>
      <c r="J46" s="1727">
        <v>-244</v>
      </c>
      <c r="K46" s="1728">
        <v>-1606</v>
      </c>
      <c r="L46" s="1729">
        <v>-1378</v>
      </c>
    </row>
    <row r="47" spans="1:12" ht="15" customHeight="1" x14ac:dyDescent="0.25">
      <c r="A47" s="1527" t="s">
        <v>747</v>
      </c>
      <c r="B47" s="1528">
        <v>-108</v>
      </c>
      <c r="C47" s="1730">
        <v>-131</v>
      </c>
      <c r="D47" s="1731">
        <v>-79</v>
      </c>
      <c r="E47" s="1744">
        <v>-96</v>
      </c>
      <c r="F47" s="1533">
        <v>-112</v>
      </c>
      <c r="G47" s="1534">
        <v>-47</v>
      </c>
      <c r="H47" s="1534">
        <v>-53</v>
      </c>
      <c r="I47" s="1536">
        <v>-54</v>
      </c>
      <c r="J47" s="1532">
        <v>-46</v>
      </c>
      <c r="K47" s="1733">
        <v>-414</v>
      </c>
      <c r="L47" s="1734">
        <v>-266</v>
      </c>
    </row>
    <row r="48" spans="1:12" ht="15" customHeight="1" x14ac:dyDescent="0.25">
      <c r="A48" s="1527" t="s">
        <v>748</v>
      </c>
      <c r="B48" s="1528">
        <v>-542</v>
      </c>
      <c r="C48" s="1730">
        <v>-514</v>
      </c>
      <c r="D48" s="1731">
        <v>-504</v>
      </c>
      <c r="E48" s="1744">
        <v>-560</v>
      </c>
      <c r="F48" s="1533">
        <v>-569</v>
      </c>
      <c r="G48" s="1534">
        <v>-585</v>
      </c>
      <c r="H48" s="1534">
        <v>-562</v>
      </c>
      <c r="I48" s="1536">
        <v>-505</v>
      </c>
      <c r="J48" s="1532">
        <v>-469</v>
      </c>
      <c r="K48" s="1733">
        <v>-2120</v>
      </c>
      <c r="L48" s="1734">
        <v>-2221</v>
      </c>
    </row>
    <row r="49" spans="1:12" ht="15" customHeight="1" x14ac:dyDescent="0.25">
      <c r="A49" s="1527" t="s">
        <v>749</v>
      </c>
      <c r="B49" s="1528">
        <v>-62</v>
      </c>
      <c r="C49" s="1730">
        <v>-52</v>
      </c>
      <c r="D49" s="1731">
        <v>-48</v>
      </c>
      <c r="E49" s="1744">
        <v>-44</v>
      </c>
      <c r="F49" s="1533">
        <v>-47</v>
      </c>
      <c r="G49" s="1534">
        <v>-46</v>
      </c>
      <c r="H49" s="1534">
        <v>-55</v>
      </c>
      <c r="I49" s="1536">
        <v>-58</v>
      </c>
      <c r="J49" s="1532">
        <v>-51</v>
      </c>
      <c r="K49" s="1733">
        <v>-206</v>
      </c>
      <c r="L49" s="1734">
        <v>-206</v>
      </c>
    </row>
    <row r="50" spans="1:12" ht="15" customHeight="1" x14ac:dyDescent="0.25">
      <c r="A50" s="1527" t="s">
        <v>750</v>
      </c>
      <c r="B50" s="1528">
        <v>-9</v>
      </c>
      <c r="C50" s="1730">
        <v>0</v>
      </c>
      <c r="D50" s="1731">
        <v>0</v>
      </c>
      <c r="E50" s="1744">
        <v>-1</v>
      </c>
      <c r="F50" s="1533">
        <v>-11</v>
      </c>
      <c r="G50" s="1534">
        <v>0</v>
      </c>
      <c r="H50" s="1534">
        <v>0</v>
      </c>
      <c r="I50" s="1536">
        <v>0</v>
      </c>
      <c r="J50" s="1532">
        <v>0</v>
      </c>
      <c r="K50" s="1733">
        <v>-10</v>
      </c>
      <c r="L50" s="1734">
        <v>-11</v>
      </c>
    </row>
    <row r="51" spans="1:12" ht="15" customHeight="1" x14ac:dyDescent="0.25">
      <c r="A51" s="1527" t="s">
        <v>751</v>
      </c>
      <c r="B51" s="1528">
        <v>-9</v>
      </c>
      <c r="C51" s="1730">
        <v>-27</v>
      </c>
      <c r="D51" s="1731">
        <v>-36</v>
      </c>
      <c r="E51" s="1744">
        <v>0</v>
      </c>
      <c r="F51" s="1533">
        <v>-3</v>
      </c>
      <c r="G51" s="1534">
        <v>0</v>
      </c>
      <c r="H51" s="1534">
        <v>0</v>
      </c>
      <c r="I51" s="1536">
        <v>0</v>
      </c>
      <c r="J51" s="1532">
        <v>0</v>
      </c>
      <c r="K51" s="1733">
        <v>-72</v>
      </c>
      <c r="L51" s="1734">
        <v>-3</v>
      </c>
    </row>
    <row r="52" spans="1:12" ht="15" customHeight="1" x14ac:dyDescent="0.25">
      <c r="A52" s="1543" t="s">
        <v>506</v>
      </c>
      <c r="B52" s="1528">
        <v>-1135</v>
      </c>
      <c r="C52" s="1730">
        <v>-1125</v>
      </c>
      <c r="D52" s="1731">
        <v>-1073</v>
      </c>
      <c r="E52" s="1744">
        <v>-1095</v>
      </c>
      <c r="F52" s="1533">
        <v>-1102</v>
      </c>
      <c r="G52" s="1534">
        <v>-1026</v>
      </c>
      <c r="H52" s="1534">
        <v>-1018</v>
      </c>
      <c r="I52" s="1536">
        <v>-939</v>
      </c>
      <c r="J52" s="1532">
        <v>-810</v>
      </c>
      <c r="K52" s="1733">
        <v>-4428</v>
      </c>
      <c r="L52" s="1734">
        <v>-4085</v>
      </c>
    </row>
    <row r="53" spans="1:12" ht="15" customHeight="1" x14ac:dyDescent="0.25">
      <c r="A53" s="1742"/>
      <c r="B53" s="1651"/>
      <c r="C53" s="1711"/>
      <c r="D53" s="1712"/>
      <c r="E53" s="1745"/>
      <c r="F53" s="1654"/>
      <c r="G53" s="1655"/>
      <c r="H53" s="1655"/>
      <c r="I53" s="1653"/>
      <c r="J53" s="1714"/>
      <c r="K53" s="1715"/>
      <c r="L53" s="1716"/>
    </row>
    <row r="54" spans="1:12" ht="15" customHeight="1" x14ac:dyDescent="0.25">
      <c r="A54" s="1082" t="s">
        <v>752</v>
      </c>
      <c r="B54" s="1657"/>
      <c r="C54" s="1717"/>
      <c r="D54" s="1718"/>
      <c r="E54" s="1746"/>
      <c r="F54" s="1660"/>
      <c r="G54" s="1661"/>
      <c r="H54" s="1661"/>
      <c r="I54" s="1659"/>
      <c r="J54" s="1720"/>
      <c r="K54" s="1721"/>
      <c r="L54" s="1722"/>
    </row>
    <row r="55" spans="1:12" ht="15" customHeight="1" x14ac:dyDescent="0.25">
      <c r="A55" s="1723" t="s">
        <v>746</v>
      </c>
      <c r="B55" s="1663">
        <v>0</v>
      </c>
      <c r="C55" s="1724">
        <v>0</v>
      </c>
      <c r="D55" s="1725">
        <v>0</v>
      </c>
      <c r="E55" s="1743">
        <v>-1</v>
      </c>
      <c r="F55" s="1666">
        <v>1</v>
      </c>
      <c r="G55" s="1667">
        <v>0</v>
      </c>
      <c r="H55" s="1667">
        <v>0</v>
      </c>
      <c r="I55" s="1665">
        <v>0</v>
      </c>
      <c r="J55" s="1727">
        <v>0</v>
      </c>
      <c r="K55" s="1728">
        <v>-1</v>
      </c>
      <c r="L55" s="1729">
        <v>1</v>
      </c>
    </row>
    <row r="56" spans="1:12" ht="15" customHeight="1" x14ac:dyDescent="0.25">
      <c r="A56" s="1527" t="s">
        <v>747</v>
      </c>
      <c r="B56" s="1528">
        <v>3</v>
      </c>
      <c r="C56" s="1730">
        <v>1</v>
      </c>
      <c r="D56" s="1731">
        <v>-6</v>
      </c>
      <c r="E56" s="1744">
        <v>5</v>
      </c>
      <c r="F56" s="1533">
        <v>0</v>
      </c>
      <c r="G56" s="1534">
        <v>0</v>
      </c>
      <c r="H56" s="1534">
        <v>0</v>
      </c>
      <c r="I56" s="1536">
        <v>0</v>
      </c>
      <c r="J56" s="1532">
        <v>1</v>
      </c>
      <c r="K56" s="1733">
        <v>3</v>
      </c>
      <c r="L56" s="1734">
        <v>0</v>
      </c>
    </row>
    <row r="57" spans="1:12" ht="15" customHeight="1" x14ac:dyDescent="0.25">
      <c r="A57" s="1527" t="s">
        <v>748</v>
      </c>
      <c r="B57" s="1528">
        <v>101</v>
      </c>
      <c r="C57" s="1730">
        <v>42</v>
      </c>
      <c r="D57" s="1731">
        <v>-89</v>
      </c>
      <c r="E57" s="1744">
        <v>75</v>
      </c>
      <c r="F57" s="1533">
        <v>-68</v>
      </c>
      <c r="G57" s="1534">
        <v>-54</v>
      </c>
      <c r="H57" s="1534">
        <v>47</v>
      </c>
      <c r="I57" s="1536">
        <v>-44</v>
      </c>
      <c r="J57" s="1532">
        <v>-9</v>
      </c>
      <c r="K57" s="1733">
        <v>129</v>
      </c>
      <c r="L57" s="1734">
        <v>-119</v>
      </c>
    </row>
    <row r="58" spans="1:12" ht="15" customHeight="1" x14ac:dyDescent="0.25">
      <c r="A58" s="1527" t="s">
        <v>749</v>
      </c>
      <c r="B58" s="1528">
        <v>82</v>
      </c>
      <c r="C58" s="1730">
        <v>21</v>
      </c>
      <c r="D58" s="1731">
        <v>-67</v>
      </c>
      <c r="E58" s="1744">
        <v>77</v>
      </c>
      <c r="F58" s="1533">
        <v>-55</v>
      </c>
      <c r="G58" s="1534">
        <v>-32</v>
      </c>
      <c r="H58" s="1534">
        <v>73</v>
      </c>
      <c r="I58" s="1536">
        <v>-46</v>
      </c>
      <c r="J58" s="1532">
        <v>16</v>
      </c>
      <c r="K58" s="1733">
        <v>113</v>
      </c>
      <c r="L58" s="1734">
        <v>-60</v>
      </c>
    </row>
    <row r="59" spans="1:12" ht="15" customHeight="1" x14ac:dyDescent="0.25">
      <c r="A59" s="1527" t="s">
        <v>750</v>
      </c>
      <c r="B59" s="1528">
        <v>1</v>
      </c>
      <c r="C59" s="1730">
        <v>0</v>
      </c>
      <c r="D59" s="1731">
        <v>2</v>
      </c>
      <c r="E59" s="1744">
        <v>1</v>
      </c>
      <c r="F59" s="1533">
        <v>-1</v>
      </c>
      <c r="G59" s="1534">
        <v>0</v>
      </c>
      <c r="H59" s="1534">
        <v>1</v>
      </c>
      <c r="I59" s="1536">
        <v>-1</v>
      </c>
      <c r="J59" s="1532">
        <v>0</v>
      </c>
      <c r="K59" s="1733">
        <v>4</v>
      </c>
      <c r="L59" s="1734">
        <v>-1</v>
      </c>
    </row>
    <row r="60" spans="1:12" ht="15" customHeight="1" x14ac:dyDescent="0.25">
      <c r="A60" s="1527" t="s">
        <v>751</v>
      </c>
      <c r="B60" s="1528">
        <v>0</v>
      </c>
      <c r="C60" s="1730">
        <v>0</v>
      </c>
      <c r="D60" s="1731">
        <v>-8</v>
      </c>
      <c r="E60" s="1744">
        <v>7</v>
      </c>
      <c r="F60" s="1533">
        <v>1</v>
      </c>
      <c r="G60" s="1534">
        <v>0</v>
      </c>
      <c r="H60" s="1534">
        <v>1</v>
      </c>
      <c r="I60" s="1536">
        <v>-3</v>
      </c>
      <c r="J60" s="1532">
        <v>5</v>
      </c>
      <c r="K60" s="1733">
        <v>-1</v>
      </c>
      <c r="L60" s="1734">
        <v>-1</v>
      </c>
    </row>
    <row r="61" spans="1:12" ht="15" customHeight="1" x14ac:dyDescent="0.25">
      <c r="A61" s="1543" t="s">
        <v>506</v>
      </c>
      <c r="B61" s="1528">
        <v>187</v>
      </c>
      <c r="C61" s="1730">
        <v>64</v>
      </c>
      <c r="D61" s="1731">
        <v>-168</v>
      </c>
      <c r="E61" s="1744">
        <v>164</v>
      </c>
      <c r="F61" s="1533">
        <v>-122</v>
      </c>
      <c r="G61" s="1534">
        <v>-86</v>
      </c>
      <c r="H61" s="1534">
        <v>122</v>
      </c>
      <c r="I61" s="1536">
        <v>-94</v>
      </c>
      <c r="J61" s="1532">
        <v>13</v>
      </c>
      <c r="K61" s="1733">
        <v>247</v>
      </c>
      <c r="L61" s="1734">
        <v>-180</v>
      </c>
    </row>
    <row r="62" spans="1:12" ht="15" customHeight="1" x14ac:dyDescent="0.25">
      <c r="A62" s="1742" t="s">
        <v>753</v>
      </c>
      <c r="B62" s="1549">
        <v>7244</v>
      </c>
      <c r="C62" s="1747">
        <v>6890</v>
      </c>
      <c r="D62" s="1737">
        <v>6849</v>
      </c>
      <c r="E62" s="1748">
        <v>7064</v>
      </c>
      <c r="F62" s="1566">
        <v>6739</v>
      </c>
      <c r="G62" s="1739">
        <v>6489</v>
      </c>
      <c r="H62" s="1739">
        <v>6399</v>
      </c>
      <c r="I62" s="1551">
        <v>6119</v>
      </c>
      <c r="J62" s="1553">
        <v>5726</v>
      </c>
      <c r="K62" s="1740">
        <v>7244</v>
      </c>
      <c r="L62" s="1741">
        <v>6739</v>
      </c>
    </row>
    <row r="63" spans="1:12" ht="13.35" customHeight="1" x14ac:dyDescent="0.25">
      <c r="A63" s="1327"/>
      <c r="B63" s="1749"/>
      <c r="C63" s="1749"/>
      <c r="D63" s="1750"/>
      <c r="E63" s="1750"/>
      <c r="F63" s="1750"/>
      <c r="G63" s="1750"/>
      <c r="H63" s="1750"/>
      <c r="I63" s="1750"/>
      <c r="J63" s="1750"/>
      <c r="K63" s="1750"/>
      <c r="L63" s="1750"/>
    </row>
    <row r="64" spans="1:12" ht="10.35" customHeight="1" x14ac:dyDescent="0.25">
      <c r="A64" s="2850" t="s">
        <v>729</v>
      </c>
      <c r="B64" s="2913" t="s">
        <v>15</v>
      </c>
      <c r="C64" s="2913" t="s">
        <v>15</v>
      </c>
      <c r="D64" s="2913" t="s">
        <v>15</v>
      </c>
      <c r="E64" s="2913" t="s">
        <v>15</v>
      </c>
      <c r="F64" s="2913" t="s">
        <v>15</v>
      </c>
      <c r="G64" s="2913" t="s">
        <v>15</v>
      </c>
      <c r="H64" s="2913" t="s">
        <v>15</v>
      </c>
      <c r="I64" s="2913" t="s">
        <v>15</v>
      </c>
      <c r="J64" s="2913" t="s">
        <v>15</v>
      </c>
      <c r="K64" s="2913" t="s">
        <v>15</v>
      </c>
      <c r="L64" s="2913" t="s">
        <v>15</v>
      </c>
    </row>
    <row r="65" spans="1:12" ht="10.35" customHeight="1" x14ac:dyDescent="0.25">
      <c r="A65" s="2850" t="s">
        <v>754</v>
      </c>
      <c r="B65" s="2913" t="s">
        <v>15</v>
      </c>
      <c r="C65" s="2913" t="s">
        <v>15</v>
      </c>
      <c r="D65" s="2913" t="s">
        <v>15</v>
      </c>
      <c r="E65" s="2913" t="s">
        <v>15</v>
      </c>
      <c r="F65" s="2913" t="s">
        <v>15</v>
      </c>
      <c r="G65" s="2913" t="s">
        <v>15</v>
      </c>
      <c r="H65" s="2913" t="s">
        <v>15</v>
      </c>
      <c r="I65" s="2913" t="s">
        <v>15</v>
      </c>
      <c r="J65" s="2913" t="s">
        <v>15</v>
      </c>
      <c r="K65" s="2913" t="s">
        <v>15</v>
      </c>
      <c r="L65" s="2913" t="s">
        <v>15</v>
      </c>
    </row>
    <row r="66" spans="1:12" ht="10.35" customHeight="1" x14ac:dyDescent="0.25">
      <c r="A66" s="2850" t="s">
        <v>755</v>
      </c>
      <c r="B66" s="2913" t="s">
        <v>15</v>
      </c>
      <c r="C66" s="2913" t="s">
        <v>15</v>
      </c>
      <c r="D66" s="2913" t="s">
        <v>15</v>
      </c>
      <c r="E66" s="2913" t="s">
        <v>15</v>
      </c>
      <c r="F66" s="2913" t="s">
        <v>15</v>
      </c>
      <c r="G66" s="2913" t="s">
        <v>15</v>
      </c>
      <c r="H66" s="2913" t="s">
        <v>15</v>
      </c>
      <c r="I66" s="2913" t="s">
        <v>15</v>
      </c>
      <c r="J66" s="2913" t="s">
        <v>15</v>
      </c>
      <c r="K66" s="2913" t="s">
        <v>15</v>
      </c>
      <c r="L66" s="2913" t="s">
        <v>15</v>
      </c>
    </row>
    <row r="67" spans="1:12" ht="9" customHeight="1" x14ac:dyDescent="0.25">
      <c r="A67" s="2802"/>
      <c r="B67" s="2803" t="s">
        <v>15</v>
      </c>
      <c r="C67" s="2803" t="s">
        <v>15</v>
      </c>
      <c r="D67" s="2803" t="s">
        <v>15</v>
      </c>
      <c r="E67" s="2803" t="s">
        <v>15</v>
      </c>
      <c r="F67" s="2803" t="s">
        <v>15</v>
      </c>
      <c r="G67" s="2803" t="s">
        <v>15</v>
      </c>
      <c r="H67" s="2803" t="s">
        <v>15</v>
      </c>
      <c r="I67" s="2803" t="s">
        <v>15</v>
      </c>
      <c r="J67" s="2803" t="s">
        <v>15</v>
      </c>
      <c r="K67" s="2803" t="s">
        <v>15</v>
      </c>
      <c r="L67" s="2803" t="s">
        <v>15</v>
      </c>
    </row>
  </sheetData>
  <mergeCells count="8">
    <mergeCell ref="A66:L66"/>
    <mergeCell ref="A67:L67"/>
    <mergeCell ref="A2:L2"/>
    <mergeCell ref="B3:E3"/>
    <mergeCell ref="F3:I3"/>
    <mergeCell ref="K3:L3"/>
    <mergeCell ref="A64:L64"/>
    <mergeCell ref="A65:L65"/>
  </mergeCells>
  <hyperlinks>
    <hyperlink ref="A1" location="ToC!A2" display="Back to Table of Contents" xr:uid="{66ACE9D9-D0B7-4EB1-A2B8-279A981FBC77}"/>
  </hyperlinks>
  <pageMargins left="0.5" right="0.5" top="0.5" bottom="0.5" header="0.25" footer="0.25"/>
  <pageSetup scale="53" orientation="landscape" r:id="rId1"/>
  <headerFooter>
    <oddFooter>&amp;L&amp;G&amp;C&amp;"Scotia,Regular"&amp;9Supplementary Financial Information (SFI)&amp;R20&amp;"Scotia,Regular"&amp;7</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C8EF-5222-4678-BB74-B2A7263FF1C9}">
  <sheetPr>
    <pageSetUpPr fitToPage="1"/>
  </sheetPr>
  <dimension ref="A1:L70"/>
  <sheetViews>
    <sheetView showGridLines="0" zoomScaleNormal="100" workbookViewId="0"/>
  </sheetViews>
  <sheetFormatPr defaultColWidth="8.77734375" defaultRowHeight="13.2" x14ac:dyDescent="0.25"/>
  <cols>
    <col min="1" max="1" width="66.44140625" style="23" customWidth="1"/>
    <col min="2" max="2" width="13.21875" style="23" customWidth="1"/>
    <col min="3" max="10" width="14.21875" style="23" customWidth="1"/>
    <col min="11" max="11" width="13.21875" style="23" customWidth="1"/>
    <col min="12" max="12" width="14.21875" style="23" customWidth="1"/>
    <col min="13" max="16384" width="8.77734375" style="23"/>
  </cols>
  <sheetData>
    <row r="1" spans="1:12" ht="19.95" customHeight="1" x14ac:dyDescent="0.25">
      <c r="A1" s="22" t="s">
        <v>12</v>
      </c>
    </row>
    <row r="2" spans="1:12" ht="24" customHeight="1" x14ac:dyDescent="0.25">
      <c r="A2" s="2873" t="s">
        <v>756</v>
      </c>
      <c r="B2" s="2873" t="s">
        <v>15</v>
      </c>
      <c r="C2" s="2873" t="s">
        <v>15</v>
      </c>
      <c r="D2" s="2873" t="s">
        <v>15</v>
      </c>
      <c r="E2" s="2873" t="s">
        <v>15</v>
      </c>
      <c r="F2" s="2873" t="s">
        <v>15</v>
      </c>
      <c r="G2" s="2873" t="s">
        <v>15</v>
      </c>
      <c r="H2" s="2873" t="s">
        <v>15</v>
      </c>
      <c r="I2" s="2873" t="s">
        <v>15</v>
      </c>
      <c r="J2" s="2873" t="s">
        <v>15</v>
      </c>
      <c r="K2" s="2873" t="s">
        <v>15</v>
      </c>
      <c r="L2" s="2873" t="s">
        <v>15</v>
      </c>
    </row>
    <row r="3" spans="1:12" ht="13.35" customHeight="1" x14ac:dyDescent="0.25">
      <c r="A3" s="1176"/>
      <c r="B3" s="2914"/>
      <c r="C3" s="2915" t="s">
        <v>15</v>
      </c>
      <c r="D3" s="2915" t="s">
        <v>15</v>
      </c>
      <c r="E3" s="2916" t="s">
        <v>15</v>
      </c>
      <c r="F3" s="2917"/>
      <c r="G3" s="2918" t="s">
        <v>15</v>
      </c>
      <c r="H3" s="2918" t="s">
        <v>15</v>
      </c>
      <c r="I3" s="2919" t="s">
        <v>15</v>
      </c>
      <c r="J3" s="1752"/>
      <c r="K3" s="2871" t="s">
        <v>163</v>
      </c>
      <c r="L3" s="2872" t="s">
        <v>15</v>
      </c>
    </row>
    <row r="4" spans="1:12" ht="13.35" customHeight="1" x14ac:dyDescent="0.25">
      <c r="A4" s="1176" t="s">
        <v>265</v>
      </c>
      <c r="B4" s="1753" t="s">
        <v>165</v>
      </c>
      <c r="C4" s="1754" t="s">
        <v>166</v>
      </c>
      <c r="D4" s="1754" t="s">
        <v>167</v>
      </c>
      <c r="E4" s="1755" t="s">
        <v>168</v>
      </c>
      <c r="F4" s="1756" t="s">
        <v>169</v>
      </c>
      <c r="G4" s="1754" t="s">
        <v>170</v>
      </c>
      <c r="H4" s="1757" t="s">
        <v>171</v>
      </c>
      <c r="I4" s="1755" t="s">
        <v>172</v>
      </c>
      <c r="J4" s="1758" t="s">
        <v>173</v>
      </c>
      <c r="K4" s="1759" t="s">
        <v>174</v>
      </c>
      <c r="L4" s="1757" t="s">
        <v>175</v>
      </c>
    </row>
    <row r="5" spans="1:12" ht="13.35" customHeight="1" x14ac:dyDescent="0.25">
      <c r="A5" s="1760" t="s">
        <v>757</v>
      </c>
      <c r="B5" s="1518"/>
      <c r="C5" s="1519"/>
      <c r="D5" s="1761"/>
      <c r="E5" s="1646"/>
      <c r="F5" s="1525"/>
      <c r="G5" s="1526"/>
      <c r="H5" s="1526"/>
      <c r="I5" s="1762"/>
      <c r="J5" s="1524"/>
      <c r="K5" s="1525"/>
      <c r="L5" s="1526"/>
    </row>
    <row r="6" spans="1:12" ht="13.35" customHeight="1" x14ac:dyDescent="0.25">
      <c r="A6" s="1527" t="s">
        <v>758</v>
      </c>
      <c r="B6" s="1528">
        <v>2234</v>
      </c>
      <c r="C6" s="1529">
        <v>2201</v>
      </c>
      <c r="D6" s="1763">
        <v>2190</v>
      </c>
      <c r="E6" s="1764">
        <v>2054</v>
      </c>
      <c r="F6" s="1533">
        <v>2040</v>
      </c>
      <c r="G6" s="1534">
        <v>2000</v>
      </c>
      <c r="H6" s="1765">
        <v>1904</v>
      </c>
      <c r="I6" s="1536">
        <v>1881</v>
      </c>
      <c r="J6" s="1532">
        <v>1820</v>
      </c>
      <c r="K6" s="1766">
        <v>2054</v>
      </c>
      <c r="L6" s="1767">
        <v>1881</v>
      </c>
    </row>
    <row r="7" spans="1:12" ht="13.35" customHeight="1" x14ac:dyDescent="0.25">
      <c r="A7" s="1527" t="s">
        <v>759</v>
      </c>
      <c r="B7" s="1528">
        <v>1042</v>
      </c>
      <c r="C7" s="1529">
        <v>975</v>
      </c>
      <c r="D7" s="1763">
        <v>1052</v>
      </c>
      <c r="E7" s="1764">
        <v>1064</v>
      </c>
      <c r="F7" s="1533">
        <v>1043</v>
      </c>
      <c r="G7" s="1534">
        <v>970</v>
      </c>
      <c r="H7" s="1534">
        <v>979</v>
      </c>
      <c r="I7" s="1536">
        <v>942</v>
      </c>
      <c r="J7" s="1532">
        <v>802</v>
      </c>
      <c r="K7" s="1766">
        <v>4133</v>
      </c>
      <c r="L7" s="1767">
        <v>3934</v>
      </c>
    </row>
    <row r="8" spans="1:12" ht="13.35" customHeight="1" x14ac:dyDescent="0.25">
      <c r="A8" s="1527" t="s">
        <v>760</v>
      </c>
      <c r="B8" s="1528">
        <v>-1135</v>
      </c>
      <c r="C8" s="1529">
        <v>-1125</v>
      </c>
      <c r="D8" s="1763">
        <v>-1073</v>
      </c>
      <c r="E8" s="1768">
        <v>-1095</v>
      </c>
      <c r="F8" s="1533">
        <v>-1102</v>
      </c>
      <c r="G8" s="1534">
        <v>-1026</v>
      </c>
      <c r="H8" s="1534">
        <v>-1018</v>
      </c>
      <c r="I8" s="1536">
        <v>-939</v>
      </c>
      <c r="J8" s="1532">
        <v>-810</v>
      </c>
      <c r="K8" s="1766">
        <v>-4428</v>
      </c>
      <c r="L8" s="1767">
        <v>-4085</v>
      </c>
    </row>
    <row r="9" spans="1:12" ht="13.35" customHeight="1" x14ac:dyDescent="0.25">
      <c r="A9" s="1527" t="s">
        <v>761</v>
      </c>
      <c r="B9" s="1528">
        <v>160</v>
      </c>
      <c r="C9" s="1529">
        <v>177</v>
      </c>
      <c r="D9" s="1763">
        <v>142</v>
      </c>
      <c r="E9" s="1768">
        <v>141</v>
      </c>
      <c r="F9" s="1533">
        <v>137</v>
      </c>
      <c r="G9" s="1534">
        <v>161</v>
      </c>
      <c r="H9" s="1534">
        <v>129</v>
      </c>
      <c r="I9" s="1536">
        <v>135</v>
      </c>
      <c r="J9" s="1532">
        <v>129</v>
      </c>
      <c r="K9" s="1766">
        <v>620</v>
      </c>
      <c r="L9" s="1767">
        <v>562</v>
      </c>
    </row>
    <row r="10" spans="1:12" ht="13.35" customHeight="1" x14ac:dyDescent="0.25">
      <c r="A10" s="1527" t="s">
        <v>762</v>
      </c>
      <c r="B10" s="1528">
        <v>40</v>
      </c>
      <c r="C10" s="1529">
        <v>6</v>
      </c>
      <c r="D10" s="1763">
        <v>-110</v>
      </c>
      <c r="E10" s="1764">
        <v>26</v>
      </c>
      <c r="F10" s="1533">
        <v>-64</v>
      </c>
      <c r="G10" s="1534">
        <v>-65</v>
      </c>
      <c r="H10" s="1534">
        <v>6</v>
      </c>
      <c r="I10" s="1536">
        <v>-115</v>
      </c>
      <c r="J10" s="1532">
        <v>-60</v>
      </c>
      <c r="K10" s="1766">
        <v>-38</v>
      </c>
      <c r="L10" s="1767">
        <v>-238</v>
      </c>
    </row>
    <row r="11" spans="1:12" ht="13.35" customHeight="1" x14ac:dyDescent="0.25">
      <c r="A11" s="1527" t="s">
        <v>763</v>
      </c>
      <c r="B11" s="1528">
        <v>2341</v>
      </c>
      <c r="C11" s="1529">
        <v>2234</v>
      </c>
      <c r="D11" s="1763">
        <v>2201</v>
      </c>
      <c r="E11" s="1764">
        <v>2190</v>
      </c>
      <c r="F11" s="1533">
        <v>2054</v>
      </c>
      <c r="G11" s="1534">
        <v>2040</v>
      </c>
      <c r="H11" s="1534">
        <v>2000</v>
      </c>
      <c r="I11" s="1536">
        <v>1904</v>
      </c>
      <c r="J11" s="1532">
        <v>1881</v>
      </c>
      <c r="K11" s="1766">
        <v>2341</v>
      </c>
      <c r="L11" s="1767">
        <v>2054</v>
      </c>
    </row>
    <row r="12" spans="1:12" ht="13.35" customHeight="1" x14ac:dyDescent="0.25">
      <c r="A12" s="1543" t="s">
        <v>764</v>
      </c>
      <c r="B12" s="1528"/>
      <c r="C12" s="1529"/>
      <c r="D12" s="1763"/>
      <c r="E12" s="1764"/>
      <c r="F12" s="1533"/>
      <c r="G12" s="1534"/>
      <c r="H12" s="1534"/>
      <c r="I12" s="1536"/>
      <c r="J12" s="1532"/>
      <c r="K12" s="1766"/>
      <c r="L12" s="1767"/>
    </row>
    <row r="13" spans="1:12" ht="13.35" customHeight="1" x14ac:dyDescent="0.25">
      <c r="A13" s="1527" t="s">
        <v>758</v>
      </c>
      <c r="B13" s="1528">
        <v>4963</v>
      </c>
      <c r="C13" s="1529">
        <v>4883</v>
      </c>
      <c r="D13" s="1763">
        <v>4667</v>
      </c>
      <c r="E13" s="1764">
        <v>4482</v>
      </c>
      <c r="F13" s="1533">
        <v>4542</v>
      </c>
      <c r="G13" s="1534">
        <v>4507</v>
      </c>
      <c r="H13" s="1534">
        <v>4424</v>
      </c>
      <c r="I13" s="1536">
        <v>4491</v>
      </c>
      <c r="J13" s="1532">
        <v>4073</v>
      </c>
      <c r="K13" s="1766">
        <v>4482</v>
      </c>
      <c r="L13" s="1767">
        <v>4491</v>
      </c>
    </row>
    <row r="14" spans="1:12" ht="13.35" customHeight="1" x14ac:dyDescent="0.25">
      <c r="A14" s="1527" t="s">
        <v>765</v>
      </c>
      <c r="B14" s="1528">
        <v>69</v>
      </c>
      <c r="C14" s="1529">
        <v>62</v>
      </c>
      <c r="D14" s="1763">
        <v>346</v>
      </c>
      <c r="E14" s="1764">
        <v>116</v>
      </c>
      <c r="F14" s="1533">
        <v>-12</v>
      </c>
      <c r="G14" s="1534">
        <v>85</v>
      </c>
      <c r="H14" s="1534">
        <v>34</v>
      </c>
      <c r="I14" s="1536">
        <v>21</v>
      </c>
      <c r="J14" s="1532">
        <v>457</v>
      </c>
      <c r="K14" s="1766">
        <v>593</v>
      </c>
      <c r="L14" s="1767">
        <v>128</v>
      </c>
    </row>
    <row r="15" spans="1:12" ht="13.35" customHeight="1" x14ac:dyDescent="0.25">
      <c r="A15" s="1527" t="s">
        <v>762</v>
      </c>
      <c r="B15" s="1528">
        <v>90</v>
      </c>
      <c r="C15" s="1529">
        <v>18</v>
      </c>
      <c r="D15" s="1763">
        <v>-130</v>
      </c>
      <c r="E15" s="1764">
        <v>69</v>
      </c>
      <c r="F15" s="1533">
        <v>-48</v>
      </c>
      <c r="G15" s="1534">
        <v>-50</v>
      </c>
      <c r="H15" s="1534">
        <v>49</v>
      </c>
      <c r="I15" s="1536">
        <v>-88</v>
      </c>
      <c r="J15" s="1532">
        <v>-39</v>
      </c>
      <c r="K15" s="1766">
        <v>47</v>
      </c>
      <c r="L15" s="1767">
        <v>-137</v>
      </c>
    </row>
    <row r="16" spans="1:12" ht="13.35" customHeight="1" x14ac:dyDescent="0.25">
      <c r="A16" s="1527" t="s">
        <v>763</v>
      </c>
      <c r="B16" s="1528">
        <v>5122</v>
      </c>
      <c r="C16" s="1529">
        <v>4963</v>
      </c>
      <c r="D16" s="1763">
        <v>4883</v>
      </c>
      <c r="E16" s="1764">
        <v>4667</v>
      </c>
      <c r="F16" s="1533">
        <v>4482</v>
      </c>
      <c r="G16" s="1534">
        <v>4542</v>
      </c>
      <c r="H16" s="1534">
        <v>4507</v>
      </c>
      <c r="I16" s="1536">
        <v>4424</v>
      </c>
      <c r="J16" s="1532">
        <v>4491</v>
      </c>
      <c r="K16" s="1766">
        <v>5122</v>
      </c>
      <c r="L16" s="1767">
        <v>4482</v>
      </c>
    </row>
    <row r="17" spans="1:12" ht="13.35" customHeight="1" x14ac:dyDescent="0.25">
      <c r="A17" s="1527"/>
      <c r="B17" s="1528"/>
      <c r="C17" s="1529"/>
      <c r="D17" s="1763"/>
      <c r="E17" s="1764"/>
      <c r="F17" s="1533"/>
      <c r="G17" s="1534"/>
      <c r="H17" s="1534"/>
      <c r="I17" s="1536"/>
      <c r="J17" s="1532"/>
      <c r="K17" s="1766"/>
      <c r="L17" s="1767"/>
    </row>
    <row r="18" spans="1:12" ht="13.35" customHeight="1" x14ac:dyDescent="0.25">
      <c r="A18" s="1769" t="s">
        <v>766</v>
      </c>
      <c r="B18" s="1528">
        <v>7463</v>
      </c>
      <c r="C18" s="1529">
        <v>7197</v>
      </c>
      <c r="D18" s="1763">
        <v>7084</v>
      </c>
      <c r="E18" s="1764">
        <v>6857</v>
      </c>
      <c r="F18" s="1533">
        <v>6536</v>
      </c>
      <c r="G18" s="1534">
        <v>6582</v>
      </c>
      <c r="H18" s="1534">
        <v>6507</v>
      </c>
      <c r="I18" s="1536">
        <v>6328</v>
      </c>
      <c r="J18" s="1532">
        <v>6372</v>
      </c>
      <c r="K18" s="1766">
        <v>7463</v>
      </c>
      <c r="L18" s="1767">
        <v>6536</v>
      </c>
    </row>
    <row r="19" spans="1:12" ht="13.35" customHeight="1" x14ac:dyDescent="0.25">
      <c r="A19" s="1769" t="s">
        <v>767</v>
      </c>
      <c r="B19" s="1528">
        <v>175</v>
      </c>
      <c r="C19" s="1529">
        <v>173</v>
      </c>
      <c r="D19" s="1763">
        <v>175</v>
      </c>
      <c r="E19" s="1764">
        <v>207</v>
      </c>
      <c r="F19" s="1533">
        <v>186</v>
      </c>
      <c r="G19" s="1534">
        <v>215</v>
      </c>
      <c r="H19" s="1534">
        <v>158</v>
      </c>
      <c r="I19" s="1536">
        <v>156</v>
      </c>
      <c r="J19" s="1532">
        <v>149</v>
      </c>
      <c r="K19" s="1766">
        <v>175</v>
      </c>
      <c r="L19" s="1767">
        <v>186</v>
      </c>
    </row>
    <row r="20" spans="1:12" ht="13.35" customHeight="1" x14ac:dyDescent="0.25">
      <c r="A20" s="1769" t="s">
        <v>768</v>
      </c>
      <c r="B20" s="1528">
        <v>16</v>
      </c>
      <c r="C20" s="1529">
        <v>16</v>
      </c>
      <c r="D20" s="1763">
        <v>17</v>
      </c>
      <c r="E20" s="1764">
        <v>16</v>
      </c>
      <c r="F20" s="1533">
        <v>14</v>
      </c>
      <c r="G20" s="1534">
        <v>63</v>
      </c>
      <c r="H20" s="1534">
        <v>103</v>
      </c>
      <c r="I20" s="1536">
        <v>113</v>
      </c>
      <c r="J20" s="1532">
        <v>108</v>
      </c>
      <c r="K20" s="1766">
        <v>16</v>
      </c>
      <c r="L20" s="1767">
        <v>14</v>
      </c>
    </row>
    <row r="21" spans="1:12" ht="13.35" customHeight="1" x14ac:dyDescent="0.25">
      <c r="A21" s="1539" t="s">
        <v>769</v>
      </c>
      <c r="B21" s="1528">
        <v>7654</v>
      </c>
      <c r="C21" s="1529">
        <v>7386</v>
      </c>
      <c r="D21" s="1763">
        <v>7276</v>
      </c>
      <c r="E21" s="1764">
        <v>7080</v>
      </c>
      <c r="F21" s="1533">
        <v>6736</v>
      </c>
      <c r="G21" s="1534">
        <v>6860</v>
      </c>
      <c r="H21" s="1534">
        <v>6768</v>
      </c>
      <c r="I21" s="1536">
        <v>6597</v>
      </c>
      <c r="J21" s="1532">
        <v>6629</v>
      </c>
      <c r="K21" s="1766">
        <v>7654</v>
      </c>
      <c r="L21" s="1767">
        <v>6736</v>
      </c>
    </row>
    <row r="22" spans="1:12" ht="13.35" customHeight="1" x14ac:dyDescent="0.25">
      <c r="A22" s="1770"/>
      <c r="B22" s="1651"/>
      <c r="C22" s="1771"/>
      <c r="D22" s="1772"/>
      <c r="E22" s="1773"/>
      <c r="F22" s="1654"/>
      <c r="G22" s="1655"/>
      <c r="H22" s="1655"/>
      <c r="I22" s="1653"/>
      <c r="J22" s="1714"/>
      <c r="K22" s="1774"/>
      <c r="L22" s="1775"/>
    </row>
    <row r="23" spans="1:12" ht="13.35" customHeight="1" x14ac:dyDescent="0.25">
      <c r="A23" s="1686" t="s">
        <v>770</v>
      </c>
      <c r="B23" s="1657"/>
      <c r="C23" s="1776"/>
      <c r="D23" s="1777"/>
      <c r="E23" s="1659"/>
      <c r="F23" s="1660"/>
      <c r="G23" s="1661"/>
      <c r="H23" s="1661"/>
      <c r="I23" s="1659"/>
      <c r="J23" s="1720"/>
      <c r="K23" s="1778"/>
      <c r="L23" s="1779"/>
    </row>
    <row r="24" spans="1:12" ht="13.35" customHeight="1" x14ac:dyDescent="0.25">
      <c r="A24" s="1780" t="s">
        <v>712</v>
      </c>
      <c r="B24" s="1663">
        <v>3126</v>
      </c>
      <c r="C24" s="1781">
        <v>3081</v>
      </c>
      <c r="D24" s="1782">
        <v>3097</v>
      </c>
      <c r="E24" s="1726">
        <v>2724</v>
      </c>
      <c r="F24" s="1666">
        <v>2624</v>
      </c>
      <c r="G24" s="1667">
        <v>2604</v>
      </c>
      <c r="H24" s="1667">
        <v>2500</v>
      </c>
      <c r="I24" s="1665">
        <v>2436</v>
      </c>
      <c r="J24" s="1727">
        <v>2453</v>
      </c>
      <c r="K24" s="1783">
        <v>3126</v>
      </c>
      <c r="L24" s="1784">
        <v>2624</v>
      </c>
    </row>
    <row r="25" spans="1:12" ht="13.35" customHeight="1" x14ac:dyDescent="0.25">
      <c r="A25" s="1527" t="s">
        <v>710</v>
      </c>
      <c r="B25" s="1528">
        <v>2301</v>
      </c>
      <c r="C25" s="1529">
        <v>2291</v>
      </c>
      <c r="D25" s="1763">
        <v>2314</v>
      </c>
      <c r="E25" s="1732">
        <v>2055</v>
      </c>
      <c r="F25" s="1533">
        <v>1977</v>
      </c>
      <c r="G25" s="1534">
        <v>1935</v>
      </c>
      <c r="H25" s="1534">
        <v>1860</v>
      </c>
      <c r="I25" s="1536">
        <v>1799</v>
      </c>
      <c r="J25" s="1532">
        <v>1865</v>
      </c>
      <c r="K25" s="1766">
        <v>2301</v>
      </c>
      <c r="L25" s="1767">
        <v>1977</v>
      </c>
    </row>
    <row r="26" spans="1:12" ht="13.35" customHeight="1" x14ac:dyDescent="0.25">
      <c r="A26" s="1527" t="s">
        <v>771</v>
      </c>
      <c r="B26" s="1528">
        <v>825</v>
      </c>
      <c r="C26" s="1529">
        <v>790</v>
      </c>
      <c r="D26" s="1763">
        <v>783</v>
      </c>
      <c r="E26" s="1732">
        <v>669</v>
      </c>
      <c r="F26" s="1533">
        <v>647</v>
      </c>
      <c r="G26" s="1534">
        <v>669</v>
      </c>
      <c r="H26" s="1534">
        <v>640</v>
      </c>
      <c r="I26" s="1536">
        <v>637</v>
      </c>
      <c r="J26" s="1532">
        <v>588</v>
      </c>
      <c r="K26" s="1766">
        <v>825</v>
      </c>
      <c r="L26" s="1767">
        <v>647</v>
      </c>
    </row>
    <row r="27" spans="1:12" ht="13.35" customHeight="1" x14ac:dyDescent="0.25">
      <c r="A27" s="1543" t="s">
        <v>720</v>
      </c>
      <c r="B27" s="1528">
        <v>4134</v>
      </c>
      <c r="C27" s="1529">
        <v>3909</v>
      </c>
      <c r="D27" s="1763">
        <v>3777</v>
      </c>
      <c r="E27" s="1732">
        <v>3947</v>
      </c>
      <c r="F27" s="1533">
        <v>3749</v>
      </c>
      <c r="G27" s="1534">
        <v>3855</v>
      </c>
      <c r="H27" s="1534">
        <v>3900</v>
      </c>
      <c r="I27" s="1536">
        <v>3811</v>
      </c>
      <c r="J27" s="1532">
        <v>3834</v>
      </c>
      <c r="K27" s="1766">
        <v>4134</v>
      </c>
      <c r="L27" s="1767">
        <v>3749</v>
      </c>
    </row>
    <row r="28" spans="1:12" ht="13.35" customHeight="1" x14ac:dyDescent="0.25">
      <c r="A28" s="1535" t="s">
        <v>772</v>
      </c>
      <c r="B28" s="1528">
        <v>2923</v>
      </c>
      <c r="C28" s="1529">
        <v>2756</v>
      </c>
      <c r="D28" s="1763">
        <v>2660</v>
      </c>
      <c r="E28" s="1732">
        <v>2817</v>
      </c>
      <c r="F28" s="1533">
        <v>2692</v>
      </c>
      <c r="G28" s="1534">
        <v>2817</v>
      </c>
      <c r="H28" s="1534">
        <v>2888</v>
      </c>
      <c r="I28" s="1536">
        <v>2832</v>
      </c>
      <c r="J28" s="1532">
        <v>2854</v>
      </c>
      <c r="K28" s="1766">
        <v>2923</v>
      </c>
      <c r="L28" s="1767">
        <v>2692</v>
      </c>
    </row>
    <row r="29" spans="1:12" ht="13.35" customHeight="1" x14ac:dyDescent="0.25">
      <c r="A29" s="1541" t="s">
        <v>773</v>
      </c>
      <c r="B29" s="1528">
        <v>381</v>
      </c>
      <c r="C29" s="1529">
        <v>389</v>
      </c>
      <c r="D29" s="1763">
        <v>394</v>
      </c>
      <c r="E29" s="1785">
        <v>426</v>
      </c>
      <c r="F29" s="1533">
        <v>424</v>
      </c>
      <c r="G29" s="1534">
        <v>433</v>
      </c>
      <c r="H29" s="1534">
        <v>448</v>
      </c>
      <c r="I29" s="1536">
        <v>452</v>
      </c>
      <c r="J29" s="1532">
        <v>481</v>
      </c>
      <c r="K29" s="1766">
        <v>381</v>
      </c>
      <c r="L29" s="1767">
        <v>424</v>
      </c>
    </row>
    <row r="30" spans="1:12" ht="13.35" customHeight="1" x14ac:dyDescent="0.25">
      <c r="A30" s="1541" t="s">
        <v>774</v>
      </c>
      <c r="B30" s="1528">
        <v>782</v>
      </c>
      <c r="C30" s="1529">
        <v>749</v>
      </c>
      <c r="D30" s="1763">
        <v>693</v>
      </c>
      <c r="E30" s="1785">
        <v>640</v>
      </c>
      <c r="F30" s="1533">
        <v>598</v>
      </c>
      <c r="G30" s="1534">
        <v>617</v>
      </c>
      <c r="H30" s="1534">
        <v>649</v>
      </c>
      <c r="I30" s="1536">
        <v>635</v>
      </c>
      <c r="J30" s="1532">
        <v>622</v>
      </c>
      <c r="K30" s="1766">
        <v>782</v>
      </c>
      <c r="L30" s="1767">
        <v>598</v>
      </c>
    </row>
    <row r="31" spans="1:12" ht="13.35" customHeight="1" x14ac:dyDescent="0.25">
      <c r="A31" s="1541" t="s">
        <v>775</v>
      </c>
      <c r="B31" s="1528">
        <v>524</v>
      </c>
      <c r="C31" s="1529">
        <v>487</v>
      </c>
      <c r="D31" s="1763">
        <v>477</v>
      </c>
      <c r="E31" s="1785">
        <v>614</v>
      </c>
      <c r="F31" s="1533">
        <v>607</v>
      </c>
      <c r="G31" s="1534">
        <v>637</v>
      </c>
      <c r="H31" s="1534">
        <v>634</v>
      </c>
      <c r="I31" s="1536">
        <v>637</v>
      </c>
      <c r="J31" s="1532">
        <v>667</v>
      </c>
      <c r="K31" s="1766">
        <v>524</v>
      </c>
      <c r="L31" s="1767">
        <v>607</v>
      </c>
    </row>
    <row r="32" spans="1:12" ht="13.35" customHeight="1" x14ac:dyDescent="0.25">
      <c r="A32" s="1541" t="s">
        <v>716</v>
      </c>
      <c r="B32" s="1528">
        <v>757</v>
      </c>
      <c r="C32" s="1529">
        <v>693</v>
      </c>
      <c r="D32" s="1763">
        <v>671</v>
      </c>
      <c r="E32" s="1785">
        <v>667</v>
      </c>
      <c r="F32" s="1533">
        <v>617</v>
      </c>
      <c r="G32" s="1534">
        <v>629</v>
      </c>
      <c r="H32" s="1534">
        <v>638</v>
      </c>
      <c r="I32" s="1536">
        <v>614</v>
      </c>
      <c r="J32" s="1532">
        <v>635</v>
      </c>
      <c r="K32" s="1766">
        <v>757</v>
      </c>
      <c r="L32" s="1767">
        <v>617</v>
      </c>
    </row>
    <row r="33" spans="1:12" ht="13.35" customHeight="1" x14ac:dyDescent="0.25">
      <c r="A33" s="1541" t="s">
        <v>776</v>
      </c>
      <c r="B33" s="1528">
        <v>376</v>
      </c>
      <c r="C33" s="1529">
        <v>340</v>
      </c>
      <c r="D33" s="1763">
        <v>335</v>
      </c>
      <c r="E33" s="1785">
        <v>376</v>
      </c>
      <c r="F33" s="1533">
        <v>354</v>
      </c>
      <c r="G33" s="1534">
        <v>407</v>
      </c>
      <c r="H33" s="1534">
        <v>418</v>
      </c>
      <c r="I33" s="1536">
        <v>398</v>
      </c>
      <c r="J33" s="1532">
        <v>350</v>
      </c>
      <c r="K33" s="1766">
        <v>376</v>
      </c>
      <c r="L33" s="1767">
        <v>354</v>
      </c>
    </row>
    <row r="34" spans="1:12" ht="13.35" customHeight="1" x14ac:dyDescent="0.25">
      <c r="A34" s="1541" t="s">
        <v>777</v>
      </c>
      <c r="B34" s="1528">
        <v>103</v>
      </c>
      <c r="C34" s="1529">
        <v>98</v>
      </c>
      <c r="D34" s="1763">
        <v>90</v>
      </c>
      <c r="E34" s="1785">
        <v>94</v>
      </c>
      <c r="F34" s="1533">
        <v>92</v>
      </c>
      <c r="G34" s="1534">
        <v>94</v>
      </c>
      <c r="H34" s="1534">
        <v>101</v>
      </c>
      <c r="I34" s="1536">
        <v>96</v>
      </c>
      <c r="J34" s="1532">
        <v>99</v>
      </c>
      <c r="K34" s="1766">
        <v>103</v>
      </c>
      <c r="L34" s="1767">
        <v>92</v>
      </c>
    </row>
    <row r="35" spans="1:12" ht="13.35" customHeight="1" x14ac:dyDescent="0.25">
      <c r="A35" s="1535" t="s">
        <v>778</v>
      </c>
      <c r="B35" s="1528">
        <v>1211</v>
      </c>
      <c r="C35" s="1529">
        <v>1153</v>
      </c>
      <c r="D35" s="1763">
        <v>1117</v>
      </c>
      <c r="E35" s="1732">
        <v>1130</v>
      </c>
      <c r="F35" s="1533">
        <v>1057</v>
      </c>
      <c r="G35" s="1534">
        <v>1038</v>
      </c>
      <c r="H35" s="1534">
        <v>1012</v>
      </c>
      <c r="I35" s="1536">
        <v>979</v>
      </c>
      <c r="J35" s="1532">
        <v>980</v>
      </c>
      <c r="K35" s="1766">
        <v>1211</v>
      </c>
      <c r="L35" s="1767">
        <v>1057</v>
      </c>
    </row>
    <row r="36" spans="1:12" ht="13.35" customHeight="1" x14ac:dyDescent="0.25">
      <c r="A36" s="1541" t="s">
        <v>773</v>
      </c>
      <c r="B36" s="1528">
        <v>111</v>
      </c>
      <c r="C36" s="1529">
        <v>107</v>
      </c>
      <c r="D36" s="1763">
        <v>104</v>
      </c>
      <c r="E36" s="1785">
        <v>103</v>
      </c>
      <c r="F36" s="1533">
        <v>95</v>
      </c>
      <c r="G36" s="1534">
        <v>91</v>
      </c>
      <c r="H36" s="1534">
        <v>90</v>
      </c>
      <c r="I36" s="1536">
        <v>84</v>
      </c>
      <c r="J36" s="1532">
        <v>88</v>
      </c>
      <c r="K36" s="1766">
        <v>111</v>
      </c>
      <c r="L36" s="1767">
        <v>95</v>
      </c>
    </row>
    <row r="37" spans="1:12" ht="13.35" customHeight="1" x14ac:dyDescent="0.25">
      <c r="A37" s="1541" t="s">
        <v>774</v>
      </c>
      <c r="B37" s="1528">
        <v>304</v>
      </c>
      <c r="C37" s="1529">
        <v>285</v>
      </c>
      <c r="D37" s="1763">
        <v>270</v>
      </c>
      <c r="E37" s="1785">
        <v>275</v>
      </c>
      <c r="F37" s="1533">
        <v>275</v>
      </c>
      <c r="G37" s="1534">
        <v>264</v>
      </c>
      <c r="H37" s="1534">
        <v>263</v>
      </c>
      <c r="I37" s="1536">
        <v>252</v>
      </c>
      <c r="J37" s="1532">
        <v>264</v>
      </c>
      <c r="K37" s="1766">
        <v>304</v>
      </c>
      <c r="L37" s="1767">
        <v>275</v>
      </c>
    </row>
    <row r="38" spans="1:12" ht="13.35" customHeight="1" x14ac:dyDescent="0.25">
      <c r="A38" s="1541" t="s">
        <v>775</v>
      </c>
      <c r="B38" s="1528">
        <v>282</v>
      </c>
      <c r="C38" s="1529">
        <v>271</v>
      </c>
      <c r="D38" s="1763">
        <v>265</v>
      </c>
      <c r="E38" s="1785">
        <v>272</v>
      </c>
      <c r="F38" s="1533">
        <v>247</v>
      </c>
      <c r="G38" s="1534">
        <v>240</v>
      </c>
      <c r="H38" s="1534">
        <v>249</v>
      </c>
      <c r="I38" s="1536">
        <v>245</v>
      </c>
      <c r="J38" s="1532">
        <v>240</v>
      </c>
      <c r="K38" s="1766">
        <v>282</v>
      </c>
      <c r="L38" s="1767">
        <v>247</v>
      </c>
    </row>
    <row r="39" spans="1:12" ht="13.35" customHeight="1" x14ac:dyDescent="0.25">
      <c r="A39" s="1541" t="s">
        <v>716</v>
      </c>
      <c r="B39" s="1528">
        <v>303</v>
      </c>
      <c r="C39" s="1529">
        <v>295</v>
      </c>
      <c r="D39" s="1763">
        <v>291</v>
      </c>
      <c r="E39" s="1785">
        <v>284</v>
      </c>
      <c r="F39" s="1533">
        <v>268</v>
      </c>
      <c r="G39" s="1534">
        <v>268</v>
      </c>
      <c r="H39" s="1534">
        <v>250</v>
      </c>
      <c r="I39" s="1536">
        <v>242</v>
      </c>
      <c r="J39" s="1532">
        <v>238</v>
      </c>
      <c r="K39" s="1766">
        <v>303</v>
      </c>
      <c r="L39" s="1767">
        <v>268</v>
      </c>
    </row>
    <row r="40" spans="1:12" ht="13.35" customHeight="1" x14ac:dyDescent="0.25">
      <c r="A40" s="1541" t="s">
        <v>776</v>
      </c>
      <c r="B40" s="1528">
        <v>117</v>
      </c>
      <c r="C40" s="1529">
        <v>102</v>
      </c>
      <c r="D40" s="1763">
        <v>99</v>
      </c>
      <c r="E40" s="1785">
        <v>98</v>
      </c>
      <c r="F40" s="1533">
        <v>84</v>
      </c>
      <c r="G40" s="1534">
        <v>94</v>
      </c>
      <c r="H40" s="1534">
        <v>86</v>
      </c>
      <c r="I40" s="1536">
        <v>85</v>
      </c>
      <c r="J40" s="1532">
        <v>76</v>
      </c>
      <c r="K40" s="1766">
        <v>117</v>
      </c>
      <c r="L40" s="1767">
        <v>84</v>
      </c>
    </row>
    <row r="41" spans="1:12" ht="13.35" customHeight="1" x14ac:dyDescent="0.25">
      <c r="A41" s="1541" t="s">
        <v>779</v>
      </c>
      <c r="B41" s="1528">
        <v>94</v>
      </c>
      <c r="C41" s="1529">
        <v>93</v>
      </c>
      <c r="D41" s="1763">
        <v>88</v>
      </c>
      <c r="E41" s="1785">
        <v>98</v>
      </c>
      <c r="F41" s="1533">
        <v>88</v>
      </c>
      <c r="G41" s="1534">
        <v>81</v>
      </c>
      <c r="H41" s="1534">
        <v>74</v>
      </c>
      <c r="I41" s="1536">
        <v>71</v>
      </c>
      <c r="J41" s="1532">
        <v>74</v>
      </c>
      <c r="K41" s="1766">
        <v>94</v>
      </c>
      <c r="L41" s="1767">
        <v>88</v>
      </c>
    </row>
    <row r="42" spans="1:12" ht="13.35" customHeight="1" x14ac:dyDescent="0.25">
      <c r="A42" s="1543" t="s">
        <v>721</v>
      </c>
      <c r="B42" s="1528">
        <v>53</v>
      </c>
      <c r="C42" s="1529">
        <v>56</v>
      </c>
      <c r="D42" s="1763">
        <v>52</v>
      </c>
      <c r="E42" s="1732">
        <v>51</v>
      </c>
      <c r="F42" s="1533">
        <v>48</v>
      </c>
      <c r="G42" s="1534">
        <v>55</v>
      </c>
      <c r="H42" s="1534">
        <v>45</v>
      </c>
      <c r="I42" s="1536">
        <v>38</v>
      </c>
      <c r="J42" s="1532">
        <v>33</v>
      </c>
      <c r="K42" s="1766">
        <v>53</v>
      </c>
      <c r="L42" s="1767">
        <v>48</v>
      </c>
    </row>
    <row r="43" spans="1:12" ht="13.35" customHeight="1" x14ac:dyDescent="0.25">
      <c r="A43" s="1543" t="s">
        <v>725</v>
      </c>
      <c r="B43" s="1528">
        <v>336</v>
      </c>
      <c r="C43" s="1529">
        <v>335</v>
      </c>
      <c r="D43" s="1763">
        <v>345</v>
      </c>
      <c r="E43" s="1732">
        <v>353</v>
      </c>
      <c r="F43" s="1533">
        <v>310</v>
      </c>
      <c r="G43" s="1534">
        <v>341</v>
      </c>
      <c r="H43" s="1534">
        <v>318</v>
      </c>
      <c r="I43" s="1536">
        <v>306</v>
      </c>
      <c r="J43" s="1532">
        <v>303</v>
      </c>
      <c r="K43" s="1766">
        <v>336</v>
      </c>
      <c r="L43" s="1767">
        <v>310</v>
      </c>
    </row>
    <row r="44" spans="1:12" ht="13.35" customHeight="1" x14ac:dyDescent="0.25">
      <c r="A44" s="1543" t="s">
        <v>570</v>
      </c>
      <c r="B44" s="1528">
        <v>5</v>
      </c>
      <c r="C44" s="1529">
        <v>5</v>
      </c>
      <c r="D44" s="1763">
        <v>5</v>
      </c>
      <c r="E44" s="1732">
        <v>5</v>
      </c>
      <c r="F44" s="1533">
        <v>5</v>
      </c>
      <c r="G44" s="1534">
        <v>5</v>
      </c>
      <c r="H44" s="1534">
        <v>5</v>
      </c>
      <c r="I44" s="1536">
        <v>6</v>
      </c>
      <c r="J44" s="1532">
        <v>6</v>
      </c>
      <c r="K44" s="1766">
        <v>5</v>
      </c>
      <c r="L44" s="1767">
        <v>5</v>
      </c>
    </row>
    <row r="45" spans="1:12" ht="13.35" customHeight="1" x14ac:dyDescent="0.25">
      <c r="A45" s="1539" t="s">
        <v>780</v>
      </c>
      <c r="B45" s="1528">
        <v>7654</v>
      </c>
      <c r="C45" s="1529">
        <v>7386</v>
      </c>
      <c r="D45" s="1763">
        <v>7276</v>
      </c>
      <c r="E45" s="1732">
        <v>7080</v>
      </c>
      <c r="F45" s="1533">
        <v>6736</v>
      </c>
      <c r="G45" s="1534">
        <v>6860</v>
      </c>
      <c r="H45" s="1534">
        <v>6768</v>
      </c>
      <c r="I45" s="1536">
        <v>6597</v>
      </c>
      <c r="J45" s="1532">
        <v>6629</v>
      </c>
      <c r="K45" s="1766">
        <v>7654</v>
      </c>
      <c r="L45" s="1767">
        <v>6736</v>
      </c>
    </row>
    <row r="46" spans="1:12" ht="13.35" customHeight="1" x14ac:dyDescent="0.25">
      <c r="A46" s="1710"/>
      <c r="B46" s="1651"/>
      <c r="C46" s="1771"/>
      <c r="D46" s="1772"/>
      <c r="E46" s="1653"/>
      <c r="F46" s="1654"/>
      <c r="G46" s="1655"/>
      <c r="H46" s="1655"/>
      <c r="I46" s="1653"/>
      <c r="J46" s="1714"/>
      <c r="K46" s="1774"/>
      <c r="L46" s="1775"/>
    </row>
    <row r="47" spans="1:12" ht="13.35" customHeight="1" x14ac:dyDescent="0.25">
      <c r="A47" s="1686" t="s">
        <v>781</v>
      </c>
      <c r="B47" s="1657"/>
      <c r="C47" s="1776"/>
      <c r="D47" s="1777"/>
      <c r="E47" s="1659"/>
      <c r="F47" s="1660"/>
      <c r="G47" s="1661"/>
      <c r="H47" s="1661"/>
      <c r="I47" s="1659"/>
      <c r="J47" s="1720"/>
      <c r="K47" s="1778"/>
      <c r="L47" s="1779"/>
    </row>
    <row r="48" spans="1:12" ht="13.35" customHeight="1" x14ac:dyDescent="0.25">
      <c r="A48" s="1780" t="s">
        <v>757</v>
      </c>
      <c r="B48" s="1663">
        <v>2341</v>
      </c>
      <c r="C48" s="1781">
        <v>2234</v>
      </c>
      <c r="D48" s="1782">
        <v>2201</v>
      </c>
      <c r="E48" s="1743">
        <v>2190</v>
      </c>
      <c r="F48" s="1666">
        <v>2054</v>
      </c>
      <c r="G48" s="1667">
        <v>2040</v>
      </c>
      <c r="H48" s="1667">
        <v>2000</v>
      </c>
      <c r="I48" s="1786">
        <v>1904</v>
      </c>
      <c r="J48" s="1727">
        <v>1881</v>
      </c>
      <c r="K48" s="1783">
        <v>2341</v>
      </c>
      <c r="L48" s="1784">
        <v>2054</v>
      </c>
    </row>
    <row r="49" spans="1:12" ht="13.35" customHeight="1" x14ac:dyDescent="0.25">
      <c r="A49" s="1527" t="s">
        <v>316</v>
      </c>
      <c r="B49" s="1528">
        <v>840</v>
      </c>
      <c r="C49" s="1529">
        <v>798</v>
      </c>
      <c r="D49" s="1763">
        <v>748</v>
      </c>
      <c r="E49" s="1787">
        <v>711</v>
      </c>
      <c r="F49" s="1533">
        <v>645</v>
      </c>
      <c r="G49" s="1534">
        <v>593</v>
      </c>
      <c r="H49" s="1534">
        <v>580</v>
      </c>
      <c r="I49" s="1536">
        <v>533</v>
      </c>
      <c r="J49" s="1532">
        <v>498</v>
      </c>
      <c r="K49" s="1766">
        <v>840</v>
      </c>
      <c r="L49" s="1767">
        <v>645</v>
      </c>
    </row>
    <row r="50" spans="1:12" ht="13.35" customHeight="1" x14ac:dyDescent="0.25">
      <c r="A50" s="1527" t="s">
        <v>346</v>
      </c>
      <c r="B50" s="1528">
        <v>604</v>
      </c>
      <c r="C50" s="1529">
        <v>600</v>
      </c>
      <c r="D50" s="1763">
        <v>617</v>
      </c>
      <c r="E50" s="1787">
        <v>647</v>
      </c>
      <c r="F50" s="1533">
        <v>621</v>
      </c>
      <c r="G50" s="1534">
        <v>659</v>
      </c>
      <c r="H50" s="1534">
        <v>656</v>
      </c>
      <c r="I50" s="1536">
        <v>623</v>
      </c>
      <c r="J50" s="1532">
        <v>664</v>
      </c>
      <c r="K50" s="1766">
        <v>604</v>
      </c>
      <c r="L50" s="1767">
        <v>621</v>
      </c>
    </row>
    <row r="51" spans="1:12" ht="13.35" customHeight="1" x14ac:dyDescent="0.25">
      <c r="A51" s="1527" t="s">
        <v>347</v>
      </c>
      <c r="B51" s="1528">
        <v>0</v>
      </c>
      <c r="C51" s="1529">
        <v>0</v>
      </c>
      <c r="D51" s="1763">
        <v>0</v>
      </c>
      <c r="E51" s="1787">
        <v>0</v>
      </c>
      <c r="F51" s="1533">
        <v>0</v>
      </c>
      <c r="G51" s="1534">
        <v>0</v>
      </c>
      <c r="H51" s="1534">
        <v>0</v>
      </c>
      <c r="I51" s="1536">
        <v>0</v>
      </c>
      <c r="J51" s="1532">
        <v>0</v>
      </c>
      <c r="K51" s="1766">
        <v>0</v>
      </c>
      <c r="L51" s="1767">
        <v>0</v>
      </c>
    </row>
    <row r="52" spans="1:12" ht="13.35" customHeight="1" x14ac:dyDescent="0.25">
      <c r="A52" s="1527" t="s">
        <v>566</v>
      </c>
      <c r="B52" s="1528">
        <v>897</v>
      </c>
      <c r="C52" s="1529">
        <v>836</v>
      </c>
      <c r="D52" s="1763">
        <v>836</v>
      </c>
      <c r="E52" s="1787">
        <v>832</v>
      </c>
      <c r="F52" s="1533">
        <v>788</v>
      </c>
      <c r="G52" s="1534">
        <v>788</v>
      </c>
      <c r="H52" s="1534">
        <v>764</v>
      </c>
      <c r="I52" s="1536">
        <v>748</v>
      </c>
      <c r="J52" s="1532">
        <v>719</v>
      </c>
      <c r="K52" s="1766">
        <v>897</v>
      </c>
      <c r="L52" s="1767">
        <v>788</v>
      </c>
    </row>
    <row r="53" spans="1:12" ht="13.35" customHeight="1" x14ac:dyDescent="0.25">
      <c r="A53" s="1535"/>
      <c r="B53" s="1528"/>
      <c r="C53" s="1529"/>
      <c r="D53" s="1763"/>
      <c r="E53" s="1744"/>
      <c r="F53" s="1533"/>
      <c r="G53" s="1534"/>
      <c r="H53" s="1534"/>
      <c r="I53" s="1536"/>
      <c r="J53" s="1532"/>
      <c r="K53" s="1766"/>
      <c r="L53" s="1767"/>
    </row>
    <row r="54" spans="1:12" ht="13.35" customHeight="1" x14ac:dyDescent="0.25">
      <c r="A54" s="1543" t="s">
        <v>764</v>
      </c>
      <c r="B54" s="1528">
        <v>5122</v>
      </c>
      <c r="C54" s="1529">
        <v>4963</v>
      </c>
      <c r="D54" s="1763">
        <v>4883</v>
      </c>
      <c r="E54" s="1744">
        <v>4667</v>
      </c>
      <c r="F54" s="1533">
        <v>4482</v>
      </c>
      <c r="G54" s="1534">
        <v>4542</v>
      </c>
      <c r="H54" s="1534">
        <v>4507</v>
      </c>
      <c r="I54" s="1536">
        <v>4424</v>
      </c>
      <c r="J54" s="1532">
        <v>4491</v>
      </c>
      <c r="K54" s="1766">
        <v>5122</v>
      </c>
      <c r="L54" s="1767">
        <v>4482</v>
      </c>
    </row>
    <row r="55" spans="1:12" ht="13.35" customHeight="1" x14ac:dyDescent="0.25">
      <c r="A55" s="1527" t="s">
        <v>316</v>
      </c>
      <c r="B55" s="1528">
        <v>620</v>
      </c>
      <c r="C55" s="1529">
        <v>632</v>
      </c>
      <c r="D55" s="1763">
        <v>630</v>
      </c>
      <c r="E55" s="1787">
        <v>569</v>
      </c>
      <c r="F55" s="1533">
        <v>563</v>
      </c>
      <c r="G55" s="1534">
        <v>617</v>
      </c>
      <c r="H55" s="1534">
        <v>608</v>
      </c>
      <c r="I55" s="1536">
        <v>582</v>
      </c>
      <c r="J55" s="1532">
        <v>586</v>
      </c>
      <c r="K55" s="1766">
        <v>620</v>
      </c>
      <c r="L55" s="1767">
        <v>563</v>
      </c>
    </row>
    <row r="56" spans="1:12" ht="13.35" customHeight="1" x14ac:dyDescent="0.25">
      <c r="A56" s="1527" t="s">
        <v>346</v>
      </c>
      <c r="B56" s="1528">
        <v>1828</v>
      </c>
      <c r="C56" s="1529">
        <v>1787</v>
      </c>
      <c r="D56" s="1763">
        <v>1762</v>
      </c>
      <c r="E56" s="1787">
        <v>1779</v>
      </c>
      <c r="F56" s="1533">
        <v>1698</v>
      </c>
      <c r="G56" s="1534">
        <v>1713</v>
      </c>
      <c r="H56" s="1534">
        <v>1684</v>
      </c>
      <c r="I56" s="1536">
        <v>1679</v>
      </c>
      <c r="J56" s="1532">
        <v>1750</v>
      </c>
      <c r="K56" s="1766">
        <v>1828</v>
      </c>
      <c r="L56" s="1767">
        <v>1698</v>
      </c>
    </row>
    <row r="57" spans="1:12" ht="13.35" customHeight="1" x14ac:dyDescent="0.25">
      <c r="A57" s="1527" t="s">
        <v>347</v>
      </c>
      <c r="B57" s="1528">
        <v>1355</v>
      </c>
      <c r="C57" s="1529">
        <v>1250</v>
      </c>
      <c r="D57" s="1763">
        <v>1235</v>
      </c>
      <c r="E57" s="1787">
        <v>1185</v>
      </c>
      <c r="F57" s="1533">
        <v>1160</v>
      </c>
      <c r="G57" s="1534">
        <v>1190</v>
      </c>
      <c r="H57" s="1534">
        <v>1239</v>
      </c>
      <c r="I57" s="1536">
        <v>1232</v>
      </c>
      <c r="J57" s="1532">
        <v>1237</v>
      </c>
      <c r="K57" s="1766">
        <v>1355</v>
      </c>
      <c r="L57" s="1767">
        <v>1160</v>
      </c>
    </row>
    <row r="58" spans="1:12" ht="13.35" customHeight="1" x14ac:dyDescent="0.25">
      <c r="A58" s="1527" t="s">
        <v>566</v>
      </c>
      <c r="B58" s="1528">
        <v>1319</v>
      </c>
      <c r="C58" s="1529">
        <v>1294</v>
      </c>
      <c r="D58" s="1763">
        <v>1256</v>
      </c>
      <c r="E58" s="1744">
        <v>1134</v>
      </c>
      <c r="F58" s="1533">
        <v>1061</v>
      </c>
      <c r="G58" s="1534">
        <v>1022</v>
      </c>
      <c r="H58" s="1534">
        <v>976</v>
      </c>
      <c r="I58" s="1536">
        <v>931</v>
      </c>
      <c r="J58" s="1532">
        <v>918</v>
      </c>
      <c r="K58" s="1766">
        <v>1319</v>
      </c>
      <c r="L58" s="1767">
        <v>1061</v>
      </c>
    </row>
    <row r="59" spans="1:12" ht="13.35" customHeight="1" x14ac:dyDescent="0.25">
      <c r="A59" s="1535"/>
      <c r="B59" s="1528"/>
      <c r="C59" s="1529"/>
      <c r="D59" s="1763"/>
      <c r="E59" s="1744"/>
      <c r="F59" s="1533"/>
      <c r="G59" s="1534"/>
      <c r="H59" s="1534"/>
      <c r="I59" s="1536"/>
      <c r="J59" s="1532"/>
      <c r="K59" s="1766"/>
      <c r="L59" s="1767"/>
    </row>
    <row r="60" spans="1:12" ht="13.35" customHeight="1" x14ac:dyDescent="0.25">
      <c r="A60" s="1710" t="s">
        <v>782</v>
      </c>
      <c r="B60" s="1549">
        <v>7463</v>
      </c>
      <c r="C60" s="1550">
        <v>7197</v>
      </c>
      <c r="D60" s="1788">
        <v>7084</v>
      </c>
      <c r="E60" s="1748">
        <v>6857</v>
      </c>
      <c r="F60" s="1566">
        <v>6536</v>
      </c>
      <c r="G60" s="1739">
        <v>6582</v>
      </c>
      <c r="H60" s="1739">
        <v>6507</v>
      </c>
      <c r="I60" s="1551">
        <v>6328</v>
      </c>
      <c r="J60" s="1553">
        <v>6372</v>
      </c>
      <c r="K60" s="1789">
        <v>7463</v>
      </c>
      <c r="L60" s="1790">
        <v>6536</v>
      </c>
    </row>
    <row r="61" spans="1:12" ht="12" customHeight="1" x14ac:dyDescent="0.25">
      <c r="A61" s="1791"/>
      <c r="B61" s="1693"/>
      <c r="C61" s="1694"/>
      <c r="D61" s="1792"/>
      <c r="E61" s="1695"/>
      <c r="F61" s="1792"/>
      <c r="G61" s="1792"/>
      <c r="H61" s="1792"/>
      <c r="I61" s="1792"/>
      <c r="J61" s="1792"/>
      <c r="K61" s="1792"/>
      <c r="L61" s="1792"/>
    </row>
    <row r="62" spans="1:12" ht="12" customHeight="1" x14ac:dyDescent="0.25">
      <c r="A62" s="2861" t="s">
        <v>783</v>
      </c>
      <c r="B62" s="2816" t="s">
        <v>15</v>
      </c>
      <c r="C62" s="2816" t="s">
        <v>15</v>
      </c>
      <c r="D62" s="2816" t="s">
        <v>15</v>
      </c>
      <c r="E62" s="2816" t="s">
        <v>15</v>
      </c>
      <c r="F62" s="2816" t="s">
        <v>15</v>
      </c>
      <c r="G62" s="2816" t="s">
        <v>15</v>
      </c>
      <c r="H62" s="2816" t="s">
        <v>15</v>
      </c>
      <c r="I62" s="2816" t="s">
        <v>15</v>
      </c>
      <c r="J62" s="2816" t="s">
        <v>15</v>
      </c>
      <c r="K62" s="2816" t="s">
        <v>15</v>
      </c>
      <c r="L62" s="2816" t="s">
        <v>15</v>
      </c>
    </row>
    <row r="63" spans="1:12" ht="12" customHeight="1" x14ac:dyDescent="0.25">
      <c r="A63" s="2861" t="s">
        <v>784</v>
      </c>
      <c r="B63" s="2816" t="s">
        <v>15</v>
      </c>
      <c r="C63" s="2816" t="s">
        <v>15</v>
      </c>
      <c r="D63" s="2816" t="s">
        <v>15</v>
      </c>
      <c r="E63" s="2816" t="s">
        <v>15</v>
      </c>
      <c r="F63" s="2816" t="s">
        <v>15</v>
      </c>
      <c r="G63" s="2816" t="s">
        <v>15</v>
      </c>
      <c r="H63" s="2816" t="s">
        <v>15</v>
      </c>
      <c r="I63" s="2816" t="s">
        <v>15</v>
      </c>
      <c r="J63" s="2816" t="s">
        <v>15</v>
      </c>
      <c r="K63" s="2816" t="s">
        <v>15</v>
      </c>
      <c r="L63" s="2816" t="s">
        <v>15</v>
      </c>
    </row>
    <row r="64" spans="1:12" ht="24.75" customHeight="1" x14ac:dyDescent="0.25">
      <c r="A64" s="2861" t="s">
        <v>785</v>
      </c>
      <c r="B64" s="2816" t="s">
        <v>15</v>
      </c>
      <c r="C64" s="2816" t="s">
        <v>15</v>
      </c>
      <c r="D64" s="2816" t="s">
        <v>15</v>
      </c>
      <c r="E64" s="2816" t="s">
        <v>15</v>
      </c>
      <c r="F64" s="2816" t="s">
        <v>15</v>
      </c>
      <c r="G64" s="2816" t="s">
        <v>15</v>
      </c>
      <c r="H64" s="2816" t="s">
        <v>15</v>
      </c>
      <c r="I64" s="2816" t="s">
        <v>15</v>
      </c>
      <c r="J64" s="2816" t="s">
        <v>15</v>
      </c>
      <c r="K64" s="2816" t="s">
        <v>15</v>
      </c>
      <c r="L64" s="2816" t="s">
        <v>15</v>
      </c>
    </row>
    <row r="65" spans="1:12" ht="12" customHeight="1" x14ac:dyDescent="0.25">
      <c r="A65" s="2861" t="s">
        <v>786</v>
      </c>
      <c r="B65" s="2816" t="s">
        <v>15</v>
      </c>
      <c r="C65" s="2816" t="s">
        <v>15</v>
      </c>
      <c r="D65" s="2816" t="s">
        <v>15</v>
      </c>
      <c r="E65" s="2816" t="s">
        <v>15</v>
      </c>
      <c r="F65" s="2816" t="s">
        <v>15</v>
      </c>
      <c r="G65" s="2816" t="s">
        <v>15</v>
      </c>
      <c r="H65" s="2816" t="s">
        <v>15</v>
      </c>
      <c r="I65" s="2816" t="s">
        <v>15</v>
      </c>
      <c r="J65" s="2816" t="s">
        <v>15</v>
      </c>
      <c r="K65" s="2816" t="s">
        <v>15</v>
      </c>
      <c r="L65" s="2816" t="s">
        <v>15</v>
      </c>
    </row>
    <row r="66" spans="1:12" ht="12" customHeight="1" x14ac:dyDescent="0.25">
      <c r="A66" s="2861" t="s">
        <v>787</v>
      </c>
      <c r="B66" s="2816" t="s">
        <v>15</v>
      </c>
      <c r="C66" s="2816" t="s">
        <v>15</v>
      </c>
      <c r="D66" s="2816" t="s">
        <v>15</v>
      </c>
      <c r="E66" s="2816" t="s">
        <v>15</v>
      </c>
      <c r="F66" s="2816" t="s">
        <v>15</v>
      </c>
      <c r="G66" s="2816" t="s">
        <v>15</v>
      </c>
      <c r="H66" s="2816" t="s">
        <v>15</v>
      </c>
      <c r="I66" s="2816" t="s">
        <v>15</v>
      </c>
      <c r="J66" s="2816" t="s">
        <v>15</v>
      </c>
      <c r="K66" s="2816" t="s">
        <v>15</v>
      </c>
      <c r="L66" s="2816" t="s">
        <v>15</v>
      </c>
    </row>
    <row r="67" spans="1:12" ht="12" customHeight="1" x14ac:dyDescent="0.25">
      <c r="A67" s="2861" t="s">
        <v>788</v>
      </c>
      <c r="B67" s="2816" t="s">
        <v>15</v>
      </c>
      <c r="C67" s="2816" t="s">
        <v>15</v>
      </c>
      <c r="D67" s="2816" t="s">
        <v>15</v>
      </c>
      <c r="E67" s="2816" t="s">
        <v>15</v>
      </c>
      <c r="F67" s="2816" t="s">
        <v>15</v>
      </c>
      <c r="G67" s="2816" t="s">
        <v>15</v>
      </c>
      <c r="H67" s="2816" t="s">
        <v>15</v>
      </c>
      <c r="I67" s="2816" t="s">
        <v>15</v>
      </c>
      <c r="J67" s="2816" t="s">
        <v>15</v>
      </c>
      <c r="K67" s="2816" t="s">
        <v>15</v>
      </c>
      <c r="L67" s="2816" t="s">
        <v>15</v>
      </c>
    </row>
    <row r="68" spans="1:12" ht="10.35" customHeight="1" x14ac:dyDescent="0.25">
      <c r="A68" s="2861" t="s">
        <v>789</v>
      </c>
      <c r="B68" s="2816" t="s">
        <v>15</v>
      </c>
      <c r="C68" s="2816" t="s">
        <v>15</v>
      </c>
      <c r="D68" s="2816" t="s">
        <v>15</v>
      </c>
      <c r="E68" s="2816" t="s">
        <v>15</v>
      </c>
      <c r="F68" s="2816" t="s">
        <v>15</v>
      </c>
      <c r="G68" s="2816" t="s">
        <v>15</v>
      </c>
      <c r="H68" s="2816" t="s">
        <v>15</v>
      </c>
      <c r="I68" s="2816" t="s">
        <v>15</v>
      </c>
      <c r="J68" s="2816" t="s">
        <v>15</v>
      </c>
      <c r="K68" s="2816" t="s">
        <v>15</v>
      </c>
      <c r="L68" s="2816" t="s">
        <v>15</v>
      </c>
    </row>
    <row r="69" spans="1:12" ht="10.35" customHeight="1" x14ac:dyDescent="0.25">
      <c r="A69" s="2861" t="s">
        <v>790</v>
      </c>
      <c r="B69" s="2816" t="s">
        <v>15</v>
      </c>
      <c r="C69" s="2816" t="s">
        <v>15</v>
      </c>
      <c r="D69" s="2816" t="s">
        <v>15</v>
      </c>
      <c r="E69" s="2816" t="s">
        <v>15</v>
      </c>
      <c r="F69" s="2816" t="s">
        <v>15</v>
      </c>
      <c r="G69" s="2816" t="s">
        <v>15</v>
      </c>
      <c r="H69" s="2816" t="s">
        <v>15</v>
      </c>
      <c r="I69" s="2816" t="s">
        <v>15</v>
      </c>
      <c r="J69" s="2816" t="s">
        <v>15</v>
      </c>
      <c r="K69" s="2816" t="s">
        <v>15</v>
      </c>
      <c r="L69" s="2816" t="s">
        <v>15</v>
      </c>
    </row>
    <row r="70" spans="1:12" ht="12" customHeight="1" x14ac:dyDescent="0.25">
      <c r="A70" s="2906"/>
      <c r="B70" s="2906" t="s">
        <v>15</v>
      </c>
      <c r="C70" s="2906" t="s">
        <v>15</v>
      </c>
      <c r="D70" s="2906" t="s">
        <v>15</v>
      </c>
      <c r="E70" s="2906" t="s">
        <v>15</v>
      </c>
      <c r="F70" s="2906" t="s">
        <v>15</v>
      </c>
      <c r="G70" s="2906" t="s">
        <v>15</v>
      </c>
      <c r="H70" s="2906" t="s">
        <v>15</v>
      </c>
      <c r="I70" s="2906" t="s">
        <v>15</v>
      </c>
      <c r="J70" s="2906" t="s">
        <v>15</v>
      </c>
      <c r="K70" s="2906" t="s">
        <v>15</v>
      </c>
      <c r="L70" s="2906" t="s">
        <v>15</v>
      </c>
    </row>
  </sheetData>
  <mergeCells count="13">
    <mergeCell ref="A63:L63"/>
    <mergeCell ref="A2:L2"/>
    <mergeCell ref="B3:E3"/>
    <mergeCell ref="F3:I3"/>
    <mergeCell ref="K3:L3"/>
    <mergeCell ref="A62:L62"/>
    <mergeCell ref="A70:L70"/>
    <mergeCell ref="A64:L64"/>
    <mergeCell ref="A65:L65"/>
    <mergeCell ref="A66:L66"/>
    <mergeCell ref="A67:L67"/>
    <mergeCell ref="A68:L68"/>
    <mergeCell ref="A69:L69"/>
  </mergeCells>
  <hyperlinks>
    <hyperlink ref="A1" location="ToC!A2" display="Back to Table of Contents" xr:uid="{5E4C542F-3400-4FDF-B4B7-C79ACA34F076}"/>
  </hyperlinks>
  <pageMargins left="0.5" right="0.5" top="0.5" bottom="0.5" header="0.25" footer="0.25"/>
  <pageSetup scale="57" orientation="landscape" r:id="rId1"/>
  <headerFooter>
    <oddFooter>&amp;L&amp;G&amp;C&amp;"Scotia,Regular"&amp;9Supplementary Financial Information (SFI)&amp;R21&amp;"Scotia,Regular"&amp;7</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F0801-7E7B-4044-B4D0-CB0A1CCAE289}">
  <sheetPr>
    <pageSetUpPr fitToPage="1"/>
  </sheetPr>
  <dimension ref="A1:P37"/>
  <sheetViews>
    <sheetView showGridLines="0" zoomScaleNormal="100" workbookViewId="0"/>
  </sheetViews>
  <sheetFormatPr defaultColWidth="8.77734375" defaultRowHeight="13.2" x14ac:dyDescent="0.25"/>
  <cols>
    <col min="1" max="1" width="32.5546875" style="23" customWidth="1"/>
    <col min="2" max="16" width="11.77734375" style="23" customWidth="1"/>
    <col min="17" max="16384" width="8.77734375" style="23"/>
  </cols>
  <sheetData>
    <row r="1" spans="1:16" ht="19.95" customHeight="1" x14ac:dyDescent="0.25">
      <c r="A1" s="22" t="s">
        <v>12</v>
      </c>
    </row>
    <row r="2" spans="1:16" ht="24.9" customHeight="1" x14ac:dyDescent="0.25">
      <c r="A2" s="2873" t="s">
        <v>791</v>
      </c>
      <c r="B2" s="2873" t="s">
        <v>15</v>
      </c>
      <c r="C2" s="2873" t="s">
        <v>15</v>
      </c>
      <c r="D2" s="2873" t="s">
        <v>15</v>
      </c>
      <c r="E2" s="2873" t="s">
        <v>15</v>
      </c>
      <c r="F2" s="2873" t="s">
        <v>15</v>
      </c>
      <c r="G2" s="2873" t="s">
        <v>15</v>
      </c>
      <c r="H2" s="2873" t="s">
        <v>15</v>
      </c>
      <c r="I2" s="2873" t="s">
        <v>15</v>
      </c>
      <c r="J2" s="2873" t="s">
        <v>15</v>
      </c>
      <c r="K2" s="2873" t="s">
        <v>15</v>
      </c>
      <c r="L2" s="2873" t="s">
        <v>15</v>
      </c>
      <c r="M2" s="2873" t="s">
        <v>15</v>
      </c>
      <c r="N2" s="2873" t="s">
        <v>15</v>
      </c>
      <c r="O2" s="2873" t="s">
        <v>15</v>
      </c>
      <c r="P2" s="2873" t="s">
        <v>15</v>
      </c>
    </row>
    <row r="3" spans="1:16" ht="20.100000000000001" customHeight="1" x14ac:dyDescent="0.25">
      <c r="A3" s="1337"/>
      <c r="B3" s="2920" t="s">
        <v>672</v>
      </c>
      <c r="C3" s="2921" t="s">
        <v>15</v>
      </c>
      <c r="D3" s="2922" t="s">
        <v>15</v>
      </c>
      <c r="E3" s="2923" t="s">
        <v>673</v>
      </c>
      <c r="F3" s="2924" t="s">
        <v>15</v>
      </c>
      <c r="G3" s="2925" t="s">
        <v>15</v>
      </c>
      <c r="H3" s="2923" t="s">
        <v>674</v>
      </c>
      <c r="I3" s="2924" t="s">
        <v>15</v>
      </c>
      <c r="J3" s="2925" t="s">
        <v>15</v>
      </c>
      <c r="K3" s="2923" t="s">
        <v>675</v>
      </c>
      <c r="L3" s="2924" t="s">
        <v>15</v>
      </c>
      <c r="M3" s="2925" t="s">
        <v>15</v>
      </c>
      <c r="N3" s="2923" t="s">
        <v>676</v>
      </c>
      <c r="O3" s="2924" t="s">
        <v>15</v>
      </c>
      <c r="P3" s="2924" t="s">
        <v>15</v>
      </c>
    </row>
    <row r="4" spans="1:16" ht="47.25" customHeight="1" x14ac:dyDescent="0.25">
      <c r="A4" s="1793"/>
      <c r="B4" s="1794"/>
      <c r="C4" s="1795" t="s">
        <v>792</v>
      </c>
      <c r="D4" s="1796"/>
      <c r="E4" s="1797"/>
      <c r="F4" s="1798" t="s">
        <v>793</v>
      </c>
      <c r="G4" s="1799"/>
      <c r="H4" s="1797"/>
      <c r="I4" s="1798" t="s">
        <v>793</v>
      </c>
      <c r="J4" s="1799"/>
      <c r="K4" s="1797"/>
      <c r="L4" s="1798" t="s">
        <v>793</v>
      </c>
      <c r="M4" s="1799"/>
      <c r="N4" s="1797"/>
      <c r="O4" s="1798" t="s">
        <v>793</v>
      </c>
      <c r="P4" s="1800"/>
    </row>
    <row r="5" spans="1:16" ht="20.100000000000001" customHeight="1" x14ac:dyDescent="0.25">
      <c r="A5" s="1176" t="s">
        <v>265</v>
      </c>
      <c r="B5" s="1801" t="s">
        <v>794</v>
      </c>
      <c r="C5" s="1802" t="s">
        <v>795</v>
      </c>
      <c r="D5" s="1803" t="s">
        <v>796</v>
      </c>
      <c r="E5" s="1804" t="s">
        <v>797</v>
      </c>
      <c r="F5" s="1805" t="s">
        <v>798</v>
      </c>
      <c r="G5" s="1806" t="s">
        <v>799</v>
      </c>
      <c r="H5" s="1804" t="s">
        <v>797</v>
      </c>
      <c r="I5" s="1805" t="s">
        <v>798</v>
      </c>
      <c r="J5" s="1806" t="s">
        <v>799</v>
      </c>
      <c r="K5" s="1804" t="s">
        <v>797</v>
      </c>
      <c r="L5" s="1805" t="s">
        <v>798</v>
      </c>
      <c r="M5" s="1806" t="s">
        <v>799</v>
      </c>
      <c r="N5" s="1804" t="s">
        <v>797</v>
      </c>
      <c r="O5" s="1805" t="s">
        <v>798</v>
      </c>
      <c r="P5" s="1807" t="s">
        <v>799</v>
      </c>
    </row>
    <row r="6" spans="1:16" ht="20.100000000000001" customHeight="1" x14ac:dyDescent="0.25">
      <c r="A6" s="1662" t="s">
        <v>316</v>
      </c>
      <c r="B6" s="1808">
        <v>2903</v>
      </c>
      <c r="C6" s="1809">
        <v>840</v>
      </c>
      <c r="D6" s="1810">
        <v>2063</v>
      </c>
      <c r="E6" s="1811">
        <v>2659</v>
      </c>
      <c r="F6" s="1812">
        <v>798</v>
      </c>
      <c r="G6" s="1813">
        <v>1861</v>
      </c>
      <c r="H6" s="1811">
        <v>2579</v>
      </c>
      <c r="I6" s="1812">
        <v>748</v>
      </c>
      <c r="J6" s="1813">
        <v>1831</v>
      </c>
      <c r="K6" s="1814">
        <v>2563</v>
      </c>
      <c r="L6" s="1815">
        <v>711</v>
      </c>
      <c r="M6" s="1816">
        <v>1852</v>
      </c>
      <c r="N6" s="1817">
        <v>2372</v>
      </c>
      <c r="O6" s="1818">
        <v>645</v>
      </c>
      <c r="P6" s="1819">
        <v>1727</v>
      </c>
    </row>
    <row r="7" spans="1:16" ht="20.100000000000001" customHeight="1" x14ac:dyDescent="0.25">
      <c r="A7" s="1541" t="s">
        <v>346</v>
      </c>
      <c r="B7" s="1820">
        <v>1071</v>
      </c>
      <c r="C7" s="1821">
        <v>604</v>
      </c>
      <c r="D7" s="1822">
        <v>467</v>
      </c>
      <c r="E7" s="1823">
        <v>1048</v>
      </c>
      <c r="F7" s="1824">
        <v>600</v>
      </c>
      <c r="G7" s="1825">
        <v>448</v>
      </c>
      <c r="H7" s="1823">
        <v>1060</v>
      </c>
      <c r="I7" s="1824">
        <v>617</v>
      </c>
      <c r="J7" s="1825">
        <v>443</v>
      </c>
      <c r="K7" s="1826">
        <v>1169</v>
      </c>
      <c r="L7" s="1827">
        <v>647</v>
      </c>
      <c r="M7" s="1828">
        <v>522</v>
      </c>
      <c r="N7" s="1829">
        <v>1117</v>
      </c>
      <c r="O7" s="1830">
        <v>621</v>
      </c>
      <c r="P7" s="1831">
        <v>496</v>
      </c>
    </row>
    <row r="8" spans="1:16" ht="20.100000000000001" customHeight="1" x14ac:dyDescent="0.25">
      <c r="A8" s="1541" t="s">
        <v>800</v>
      </c>
      <c r="B8" s="1820">
        <v>0</v>
      </c>
      <c r="C8" s="1821">
        <v>0</v>
      </c>
      <c r="D8" s="1822">
        <v>0</v>
      </c>
      <c r="E8" s="1823">
        <v>0</v>
      </c>
      <c r="F8" s="1824">
        <v>0</v>
      </c>
      <c r="G8" s="1825">
        <v>0</v>
      </c>
      <c r="H8" s="1823">
        <v>0</v>
      </c>
      <c r="I8" s="1824">
        <v>0</v>
      </c>
      <c r="J8" s="1825">
        <v>0</v>
      </c>
      <c r="K8" s="1826">
        <v>0</v>
      </c>
      <c r="L8" s="1827">
        <v>0</v>
      </c>
      <c r="M8" s="1828">
        <v>0</v>
      </c>
      <c r="N8" s="1829">
        <v>0</v>
      </c>
      <c r="O8" s="1830">
        <v>0</v>
      </c>
      <c r="P8" s="1831">
        <v>0</v>
      </c>
    </row>
    <row r="9" spans="1:16" ht="20.100000000000001" customHeight="1" x14ac:dyDescent="0.25">
      <c r="A9" s="1535" t="s">
        <v>680</v>
      </c>
      <c r="B9" s="1820">
        <v>3974</v>
      </c>
      <c r="C9" s="1821">
        <v>1444</v>
      </c>
      <c r="D9" s="1822">
        <v>2530</v>
      </c>
      <c r="E9" s="1823">
        <v>3707</v>
      </c>
      <c r="F9" s="1824">
        <v>1398</v>
      </c>
      <c r="G9" s="1825">
        <v>2309</v>
      </c>
      <c r="H9" s="1823">
        <v>3639</v>
      </c>
      <c r="I9" s="1824">
        <v>1365</v>
      </c>
      <c r="J9" s="1825">
        <v>2274</v>
      </c>
      <c r="K9" s="1826">
        <v>3732</v>
      </c>
      <c r="L9" s="1827">
        <v>1358</v>
      </c>
      <c r="M9" s="1828">
        <v>2374</v>
      </c>
      <c r="N9" s="1829">
        <v>3489</v>
      </c>
      <c r="O9" s="1830">
        <v>1266</v>
      </c>
      <c r="P9" s="1831">
        <v>2223</v>
      </c>
    </row>
    <row r="10" spans="1:16" ht="20.100000000000001" customHeight="1" x14ac:dyDescent="0.25">
      <c r="A10" s="1535"/>
      <c r="B10" s="1832"/>
      <c r="C10" s="1833"/>
      <c r="D10" s="1834"/>
      <c r="E10" s="1835"/>
      <c r="F10" s="1836"/>
      <c r="G10" s="1837"/>
      <c r="H10" s="1835"/>
      <c r="I10" s="1836"/>
      <c r="J10" s="1837"/>
      <c r="K10" s="1838"/>
      <c r="L10" s="1839"/>
      <c r="M10" s="1840"/>
      <c r="N10" s="1841"/>
      <c r="O10" s="1842"/>
      <c r="P10" s="1843"/>
    </row>
    <row r="11" spans="1:16" ht="20.100000000000001" customHeight="1" x14ac:dyDescent="0.25">
      <c r="A11" s="1541" t="s">
        <v>681</v>
      </c>
      <c r="B11" s="1832"/>
      <c r="C11" s="1833"/>
      <c r="D11" s="1834"/>
      <c r="E11" s="1835"/>
      <c r="F11" s="1836"/>
      <c r="G11" s="1837"/>
      <c r="H11" s="1835"/>
      <c r="I11" s="1836"/>
      <c r="J11" s="1837"/>
      <c r="K11" s="1838"/>
      <c r="L11" s="1839"/>
      <c r="M11" s="1840"/>
      <c r="N11" s="1841"/>
      <c r="O11" s="1842"/>
      <c r="P11" s="1843"/>
    </row>
    <row r="12" spans="1:16" ht="20.100000000000001" customHeight="1" x14ac:dyDescent="0.25">
      <c r="A12" s="1544" t="s">
        <v>682</v>
      </c>
      <c r="B12" s="1820">
        <v>106</v>
      </c>
      <c r="C12" s="1821">
        <v>46</v>
      </c>
      <c r="D12" s="1822">
        <v>60</v>
      </c>
      <c r="E12" s="1823">
        <v>107</v>
      </c>
      <c r="F12" s="1824">
        <v>42</v>
      </c>
      <c r="G12" s="1825">
        <v>65</v>
      </c>
      <c r="H12" s="1823">
        <v>106</v>
      </c>
      <c r="I12" s="1824">
        <v>37</v>
      </c>
      <c r="J12" s="1825">
        <v>69</v>
      </c>
      <c r="K12" s="1826">
        <v>135</v>
      </c>
      <c r="L12" s="1827">
        <v>60</v>
      </c>
      <c r="M12" s="1828">
        <v>75</v>
      </c>
      <c r="N12" s="1829">
        <v>141</v>
      </c>
      <c r="O12" s="1830">
        <v>57</v>
      </c>
      <c r="P12" s="1831">
        <v>84</v>
      </c>
    </row>
    <row r="13" spans="1:16" ht="20.100000000000001" customHeight="1" x14ac:dyDescent="0.25">
      <c r="A13" s="1544" t="s">
        <v>801</v>
      </c>
      <c r="B13" s="1844">
        <v>0</v>
      </c>
      <c r="C13" s="1845">
        <v>0</v>
      </c>
      <c r="D13" s="1846">
        <v>0</v>
      </c>
      <c r="E13" s="1823">
        <v>0</v>
      </c>
      <c r="F13" s="1824">
        <v>0</v>
      </c>
      <c r="G13" s="1825">
        <v>0</v>
      </c>
      <c r="H13" s="1823">
        <v>0</v>
      </c>
      <c r="I13" s="1824">
        <v>0</v>
      </c>
      <c r="J13" s="1825">
        <v>0</v>
      </c>
      <c r="K13" s="1826">
        <v>0</v>
      </c>
      <c r="L13" s="1827">
        <v>0</v>
      </c>
      <c r="M13" s="1828">
        <v>0</v>
      </c>
      <c r="N13" s="1829">
        <v>0</v>
      </c>
      <c r="O13" s="1830">
        <v>0</v>
      </c>
      <c r="P13" s="1831">
        <v>0</v>
      </c>
    </row>
    <row r="14" spans="1:16" ht="20.100000000000001" customHeight="1" x14ac:dyDescent="0.25">
      <c r="A14" s="1541" t="s">
        <v>684</v>
      </c>
      <c r="B14" s="1820">
        <v>556</v>
      </c>
      <c r="C14" s="1821">
        <v>238</v>
      </c>
      <c r="D14" s="1822">
        <v>318</v>
      </c>
      <c r="E14" s="1823">
        <v>545</v>
      </c>
      <c r="F14" s="1824">
        <v>235</v>
      </c>
      <c r="G14" s="1825">
        <v>310</v>
      </c>
      <c r="H14" s="1823">
        <v>558</v>
      </c>
      <c r="I14" s="1824">
        <v>223</v>
      </c>
      <c r="J14" s="1825">
        <v>335</v>
      </c>
      <c r="K14" s="1826">
        <v>536</v>
      </c>
      <c r="L14" s="1827">
        <v>195</v>
      </c>
      <c r="M14" s="1828">
        <v>341</v>
      </c>
      <c r="N14" s="1829">
        <v>487</v>
      </c>
      <c r="O14" s="1830">
        <v>189</v>
      </c>
      <c r="P14" s="1831">
        <v>298</v>
      </c>
    </row>
    <row r="15" spans="1:16" ht="20.100000000000001" customHeight="1" x14ac:dyDescent="0.25">
      <c r="A15" s="1541" t="s">
        <v>802</v>
      </c>
      <c r="B15" s="1820">
        <v>902</v>
      </c>
      <c r="C15" s="1821">
        <v>187</v>
      </c>
      <c r="D15" s="1822">
        <v>715</v>
      </c>
      <c r="E15" s="1823">
        <v>858</v>
      </c>
      <c r="F15" s="1824">
        <v>163</v>
      </c>
      <c r="G15" s="1825">
        <v>695</v>
      </c>
      <c r="H15" s="1823">
        <v>814</v>
      </c>
      <c r="I15" s="1824">
        <v>160</v>
      </c>
      <c r="J15" s="1825">
        <v>654</v>
      </c>
      <c r="K15" s="1826">
        <v>806</v>
      </c>
      <c r="L15" s="1827">
        <v>146</v>
      </c>
      <c r="M15" s="1828">
        <v>660</v>
      </c>
      <c r="N15" s="1829">
        <v>768</v>
      </c>
      <c r="O15" s="1830">
        <v>147</v>
      </c>
      <c r="P15" s="1831">
        <v>621</v>
      </c>
    </row>
    <row r="16" spans="1:16" ht="20.100000000000001" customHeight="1" x14ac:dyDescent="0.25">
      <c r="A16" s="1541" t="s">
        <v>686</v>
      </c>
      <c r="B16" s="1820">
        <v>18</v>
      </c>
      <c r="C16" s="1821">
        <v>4</v>
      </c>
      <c r="D16" s="1822">
        <v>14</v>
      </c>
      <c r="E16" s="1823">
        <v>10</v>
      </c>
      <c r="F16" s="1824">
        <v>2</v>
      </c>
      <c r="G16" s="1825">
        <v>8</v>
      </c>
      <c r="H16" s="1823">
        <v>7</v>
      </c>
      <c r="I16" s="1824">
        <v>2</v>
      </c>
      <c r="J16" s="1825">
        <v>5</v>
      </c>
      <c r="K16" s="1826">
        <v>7</v>
      </c>
      <c r="L16" s="1827">
        <v>2</v>
      </c>
      <c r="M16" s="1828">
        <v>5</v>
      </c>
      <c r="N16" s="1829">
        <v>30</v>
      </c>
      <c r="O16" s="1830">
        <v>5</v>
      </c>
      <c r="P16" s="1831">
        <v>25</v>
      </c>
    </row>
    <row r="17" spans="1:16" ht="20.100000000000001" customHeight="1" x14ac:dyDescent="0.25">
      <c r="A17" s="1541" t="s">
        <v>687</v>
      </c>
      <c r="B17" s="1820">
        <v>253</v>
      </c>
      <c r="C17" s="1821">
        <v>68</v>
      </c>
      <c r="D17" s="1822">
        <v>185</v>
      </c>
      <c r="E17" s="1823">
        <v>289</v>
      </c>
      <c r="F17" s="1824">
        <v>72</v>
      </c>
      <c r="G17" s="1825">
        <v>217</v>
      </c>
      <c r="H17" s="1823">
        <v>344</v>
      </c>
      <c r="I17" s="1824">
        <v>77</v>
      </c>
      <c r="J17" s="1825">
        <v>267</v>
      </c>
      <c r="K17" s="1826">
        <v>365</v>
      </c>
      <c r="L17" s="1827">
        <v>76</v>
      </c>
      <c r="M17" s="1828">
        <v>289</v>
      </c>
      <c r="N17" s="1829">
        <v>351</v>
      </c>
      <c r="O17" s="1830">
        <v>75</v>
      </c>
      <c r="P17" s="1831">
        <v>276</v>
      </c>
    </row>
    <row r="18" spans="1:16" ht="20.100000000000001" customHeight="1" x14ac:dyDescent="0.25">
      <c r="A18" s="1541" t="s">
        <v>688</v>
      </c>
      <c r="B18" s="1820">
        <v>32</v>
      </c>
      <c r="C18" s="1821">
        <v>11</v>
      </c>
      <c r="D18" s="1822">
        <v>21</v>
      </c>
      <c r="E18" s="1823">
        <v>34</v>
      </c>
      <c r="F18" s="1824">
        <v>11</v>
      </c>
      <c r="G18" s="1825">
        <v>23</v>
      </c>
      <c r="H18" s="1823">
        <v>34</v>
      </c>
      <c r="I18" s="1824">
        <v>11</v>
      </c>
      <c r="J18" s="1825">
        <v>23</v>
      </c>
      <c r="K18" s="1826">
        <v>33</v>
      </c>
      <c r="L18" s="1827">
        <v>8</v>
      </c>
      <c r="M18" s="1828">
        <v>25</v>
      </c>
      <c r="N18" s="1829">
        <v>33</v>
      </c>
      <c r="O18" s="1830">
        <v>9</v>
      </c>
      <c r="P18" s="1831">
        <v>24</v>
      </c>
    </row>
    <row r="19" spans="1:16" ht="20.100000000000001" customHeight="1" x14ac:dyDescent="0.25">
      <c r="A19" s="1541" t="s">
        <v>689</v>
      </c>
      <c r="B19" s="1820">
        <v>308</v>
      </c>
      <c r="C19" s="1821">
        <v>92</v>
      </c>
      <c r="D19" s="1822">
        <v>216</v>
      </c>
      <c r="E19" s="1823">
        <v>279</v>
      </c>
      <c r="F19" s="1824">
        <v>78</v>
      </c>
      <c r="G19" s="1825">
        <v>201</v>
      </c>
      <c r="H19" s="1823">
        <v>363</v>
      </c>
      <c r="I19" s="1824">
        <v>91</v>
      </c>
      <c r="J19" s="1825">
        <v>272</v>
      </c>
      <c r="K19" s="1826">
        <v>348</v>
      </c>
      <c r="L19" s="1827">
        <v>94</v>
      </c>
      <c r="M19" s="1828">
        <v>254</v>
      </c>
      <c r="N19" s="1829">
        <v>338</v>
      </c>
      <c r="O19" s="1830">
        <v>82</v>
      </c>
      <c r="P19" s="1831">
        <v>256</v>
      </c>
    </row>
    <row r="20" spans="1:16" ht="20.100000000000001" customHeight="1" x14ac:dyDescent="0.25">
      <c r="A20" s="1541" t="s">
        <v>690</v>
      </c>
      <c r="B20" s="1820">
        <v>69</v>
      </c>
      <c r="C20" s="1821">
        <v>7</v>
      </c>
      <c r="D20" s="1822">
        <v>62</v>
      </c>
      <c r="E20" s="1823">
        <v>68</v>
      </c>
      <c r="F20" s="1824">
        <v>9</v>
      </c>
      <c r="G20" s="1825">
        <v>59</v>
      </c>
      <c r="H20" s="1823">
        <v>68</v>
      </c>
      <c r="I20" s="1824">
        <v>9</v>
      </c>
      <c r="J20" s="1825">
        <v>59</v>
      </c>
      <c r="K20" s="1826">
        <v>68</v>
      </c>
      <c r="L20" s="1827">
        <v>9</v>
      </c>
      <c r="M20" s="1828">
        <v>59</v>
      </c>
      <c r="N20" s="1829">
        <v>71</v>
      </c>
      <c r="O20" s="1830">
        <v>7</v>
      </c>
      <c r="P20" s="1831">
        <v>64</v>
      </c>
    </row>
    <row r="21" spans="1:16" ht="20.100000000000001" customHeight="1" x14ac:dyDescent="0.25">
      <c r="A21" s="1541" t="s">
        <v>691</v>
      </c>
      <c r="B21" s="1820">
        <v>4</v>
      </c>
      <c r="C21" s="1821">
        <v>1</v>
      </c>
      <c r="D21" s="1822">
        <v>3</v>
      </c>
      <c r="E21" s="1823">
        <v>5</v>
      </c>
      <c r="F21" s="1824">
        <v>2</v>
      </c>
      <c r="G21" s="1825">
        <v>3</v>
      </c>
      <c r="H21" s="1823">
        <v>7</v>
      </c>
      <c r="I21" s="1824">
        <v>2</v>
      </c>
      <c r="J21" s="1825">
        <v>5</v>
      </c>
      <c r="K21" s="1826">
        <v>6</v>
      </c>
      <c r="L21" s="1827">
        <v>2</v>
      </c>
      <c r="M21" s="1828">
        <v>4</v>
      </c>
      <c r="N21" s="1829">
        <v>6</v>
      </c>
      <c r="O21" s="1830">
        <v>3</v>
      </c>
      <c r="P21" s="1831">
        <v>3</v>
      </c>
    </row>
    <row r="22" spans="1:16" ht="20.100000000000001" customHeight="1" x14ac:dyDescent="0.25">
      <c r="A22" s="1541" t="s">
        <v>692</v>
      </c>
      <c r="B22" s="1820">
        <v>36</v>
      </c>
      <c r="C22" s="1821">
        <v>10</v>
      </c>
      <c r="D22" s="1822">
        <v>26</v>
      </c>
      <c r="E22" s="1823">
        <v>36</v>
      </c>
      <c r="F22" s="1824">
        <v>11</v>
      </c>
      <c r="G22" s="1825">
        <v>25</v>
      </c>
      <c r="H22" s="1823">
        <v>45</v>
      </c>
      <c r="I22" s="1824">
        <v>11</v>
      </c>
      <c r="J22" s="1825">
        <v>34</v>
      </c>
      <c r="K22" s="1826">
        <v>57</v>
      </c>
      <c r="L22" s="1827">
        <v>19</v>
      </c>
      <c r="M22" s="1828">
        <v>38</v>
      </c>
      <c r="N22" s="1829">
        <v>53</v>
      </c>
      <c r="O22" s="1830">
        <v>19</v>
      </c>
      <c r="P22" s="1831">
        <v>34</v>
      </c>
    </row>
    <row r="23" spans="1:16" ht="20.100000000000001" customHeight="1" x14ac:dyDescent="0.25">
      <c r="A23" s="1541" t="s">
        <v>693</v>
      </c>
      <c r="B23" s="1820">
        <v>123</v>
      </c>
      <c r="C23" s="1821">
        <v>18</v>
      </c>
      <c r="D23" s="1822">
        <v>105</v>
      </c>
      <c r="E23" s="1823">
        <v>84</v>
      </c>
      <c r="F23" s="1824">
        <v>8</v>
      </c>
      <c r="G23" s="1825">
        <v>76</v>
      </c>
      <c r="H23" s="1823">
        <v>2</v>
      </c>
      <c r="I23" s="1824">
        <v>0</v>
      </c>
      <c r="J23" s="1825">
        <v>2</v>
      </c>
      <c r="K23" s="1826">
        <v>2</v>
      </c>
      <c r="L23" s="1827">
        <v>1</v>
      </c>
      <c r="M23" s="1828">
        <v>1</v>
      </c>
      <c r="N23" s="1829">
        <v>1</v>
      </c>
      <c r="O23" s="1830">
        <v>1</v>
      </c>
      <c r="P23" s="1831">
        <v>0</v>
      </c>
    </row>
    <row r="24" spans="1:16" ht="20.100000000000001" customHeight="1" x14ac:dyDescent="0.25">
      <c r="A24" s="1541" t="s">
        <v>694</v>
      </c>
      <c r="B24" s="1820">
        <v>84</v>
      </c>
      <c r="C24" s="1821">
        <v>26</v>
      </c>
      <c r="D24" s="1822">
        <v>58</v>
      </c>
      <c r="E24" s="1823">
        <v>80</v>
      </c>
      <c r="F24" s="1824">
        <v>20</v>
      </c>
      <c r="G24" s="1825">
        <v>60</v>
      </c>
      <c r="H24" s="1823">
        <v>53</v>
      </c>
      <c r="I24" s="1824">
        <v>18</v>
      </c>
      <c r="J24" s="1825">
        <v>35</v>
      </c>
      <c r="K24" s="1826">
        <v>67</v>
      </c>
      <c r="L24" s="1827">
        <v>17</v>
      </c>
      <c r="M24" s="1828">
        <v>50</v>
      </c>
      <c r="N24" s="1829">
        <v>56</v>
      </c>
      <c r="O24" s="1830">
        <v>16</v>
      </c>
      <c r="P24" s="1831">
        <v>40</v>
      </c>
    </row>
    <row r="25" spans="1:16" ht="20.100000000000001" customHeight="1" x14ac:dyDescent="0.25">
      <c r="A25" s="1541" t="s">
        <v>695</v>
      </c>
      <c r="B25" s="1820">
        <v>141</v>
      </c>
      <c r="C25" s="1821">
        <v>47</v>
      </c>
      <c r="D25" s="1822">
        <v>94</v>
      </c>
      <c r="E25" s="1823">
        <v>129</v>
      </c>
      <c r="F25" s="1824">
        <v>30</v>
      </c>
      <c r="G25" s="1825">
        <v>99</v>
      </c>
      <c r="H25" s="1823">
        <v>140</v>
      </c>
      <c r="I25" s="1824">
        <v>44</v>
      </c>
      <c r="J25" s="1825">
        <v>96</v>
      </c>
      <c r="K25" s="1826">
        <v>136</v>
      </c>
      <c r="L25" s="1827">
        <v>33</v>
      </c>
      <c r="M25" s="1828">
        <v>103</v>
      </c>
      <c r="N25" s="1829">
        <v>133</v>
      </c>
      <c r="O25" s="1830">
        <v>32</v>
      </c>
      <c r="P25" s="1831">
        <v>101</v>
      </c>
    </row>
    <row r="26" spans="1:16" ht="20.100000000000001" customHeight="1" x14ac:dyDescent="0.25">
      <c r="A26" s="1541" t="s">
        <v>696</v>
      </c>
      <c r="B26" s="1820">
        <v>76</v>
      </c>
      <c r="C26" s="1821">
        <v>28</v>
      </c>
      <c r="D26" s="1822">
        <v>48</v>
      </c>
      <c r="E26" s="1823">
        <v>77</v>
      </c>
      <c r="F26" s="1824">
        <v>26</v>
      </c>
      <c r="G26" s="1825">
        <v>51</v>
      </c>
      <c r="H26" s="1823">
        <v>78</v>
      </c>
      <c r="I26" s="1824">
        <v>26</v>
      </c>
      <c r="J26" s="1825">
        <v>52</v>
      </c>
      <c r="K26" s="1826">
        <v>83</v>
      </c>
      <c r="L26" s="1827">
        <v>28</v>
      </c>
      <c r="M26" s="1828">
        <v>55</v>
      </c>
      <c r="N26" s="1829">
        <v>81</v>
      </c>
      <c r="O26" s="1830">
        <v>20</v>
      </c>
      <c r="P26" s="1831">
        <v>61</v>
      </c>
    </row>
    <row r="27" spans="1:16" ht="20.100000000000001" customHeight="1" x14ac:dyDescent="0.25">
      <c r="A27" s="1541" t="s">
        <v>697</v>
      </c>
      <c r="B27" s="1820">
        <v>121</v>
      </c>
      <c r="C27" s="1821">
        <v>40</v>
      </c>
      <c r="D27" s="1822">
        <v>81</v>
      </c>
      <c r="E27" s="1823">
        <v>131</v>
      </c>
      <c r="F27" s="1824">
        <v>45</v>
      </c>
      <c r="G27" s="1825">
        <v>86</v>
      </c>
      <c r="H27" s="1823">
        <v>138</v>
      </c>
      <c r="I27" s="1824">
        <v>43</v>
      </c>
      <c r="J27" s="1825">
        <v>95</v>
      </c>
      <c r="K27" s="1826">
        <v>169</v>
      </c>
      <c r="L27" s="1827">
        <v>65</v>
      </c>
      <c r="M27" s="1828">
        <v>104</v>
      </c>
      <c r="N27" s="1829">
        <v>198</v>
      </c>
      <c r="O27" s="1830">
        <v>49</v>
      </c>
      <c r="P27" s="1831">
        <v>149</v>
      </c>
    </row>
    <row r="28" spans="1:16" ht="20.100000000000001" customHeight="1" x14ac:dyDescent="0.25">
      <c r="A28" s="1541" t="s">
        <v>698</v>
      </c>
      <c r="B28" s="1820">
        <v>81</v>
      </c>
      <c r="C28" s="1821">
        <v>22</v>
      </c>
      <c r="D28" s="1822">
        <v>59</v>
      </c>
      <c r="E28" s="1823">
        <v>85</v>
      </c>
      <c r="F28" s="1824">
        <v>18</v>
      </c>
      <c r="G28" s="1825">
        <v>67</v>
      </c>
      <c r="H28" s="1823">
        <v>84</v>
      </c>
      <c r="I28" s="1824">
        <v>18</v>
      </c>
      <c r="J28" s="1825">
        <v>66</v>
      </c>
      <c r="K28" s="1826">
        <v>88</v>
      </c>
      <c r="L28" s="1827">
        <v>13</v>
      </c>
      <c r="M28" s="1828">
        <v>75</v>
      </c>
      <c r="N28" s="1829">
        <v>81</v>
      </c>
      <c r="O28" s="1830">
        <v>14</v>
      </c>
      <c r="P28" s="1831">
        <v>67</v>
      </c>
    </row>
    <row r="29" spans="1:16" ht="20.100000000000001" customHeight="1" x14ac:dyDescent="0.25">
      <c r="A29" s="1541" t="s">
        <v>481</v>
      </c>
      <c r="B29" s="1820">
        <v>160</v>
      </c>
      <c r="C29" s="1821">
        <v>48</v>
      </c>
      <c r="D29" s="1822">
        <v>112</v>
      </c>
      <c r="E29" s="1823">
        <v>166</v>
      </c>
      <c r="F29" s="1824">
        <v>61</v>
      </c>
      <c r="G29" s="1825">
        <v>105</v>
      </c>
      <c r="H29" s="1823">
        <v>166</v>
      </c>
      <c r="I29" s="1824">
        <v>61</v>
      </c>
      <c r="J29" s="1825">
        <v>105</v>
      </c>
      <c r="K29" s="1826">
        <v>169</v>
      </c>
      <c r="L29" s="1827">
        <v>62</v>
      </c>
      <c r="M29" s="1828">
        <v>107</v>
      </c>
      <c r="N29" s="1829">
        <v>172</v>
      </c>
      <c r="O29" s="1830">
        <v>61</v>
      </c>
      <c r="P29" s="1831">
        <v>111</v>
      </c>
    </row>
    <row r="30" spans="1:16" ht="20.100000000000001" customHeight="1" x14ac:dyDescent="0.25">
      <c r="A30" s="1541" t="s">
        <v>803</v>
      </c>
      <c r="B30" s="1820">
        <v>200</v>
      </c>
      <c r="C30" s="1821">
        <v>4</v>
      </c>
      <c r="D30" s="1822">
        <v>196</v>
      </c>
      <c r="E30" s="1823">
        <v>200</v>
      </c>
      <c r="F30" s="1824">
        <v>3</v>
      </c>
      <c r="G30" s="1825">
        <v>197</v>
      </c>
      <c r="H30" s="1823">
        <v>203</v>
      </c>
      <c r="I30" s="1824">
        <v>3</v>
      </c>
      <c r="J30" s="1825">
        <v>200</v>
      </c>
      <c r="K30" s="1826">
        <v>257</v>
      </c>
      <c r="L30" s="1827">
        <v>2</v>
      </c>
      <c r="M30" s="1828">
        <v>255</v>
      </c>
      <c r="N30" s="1829">
        <v>250</v>
      </c>
      <c r="O30" s="1830">
        <v>2</v>
      </c>
      <c r="P30" s="1831">
        <v>248</v>
      </c>
    </row>
    <row r="31" spans="1:16" ht="20.100000000000001" customHeight="1" x14ac:dyDescent="0.25">
      <c r="A31" s="1535" t="s">
        <v>804</v>
      </c>
      <c r="B31" s="1820">
        <v>3270</v>
      </c>
      <c r="C31" s="1821">
        <v>897</v>
      </c>
      <c r="D31" s="1822">
        <v>2373</v>
      </c>
      <c r="E31" s="1823">
        <v>3183</v>
      </c>
      <c r="F31" s="1824">
        <v>836</v>
      </c>
      <c r="G31" s="1825">
        <v>2347</v>
      </c>
      <c r="H31" s="1823">
        <v>3210</v>
      </c>
      <c r="I31" s="1824">
        <v>836</v>
      </c>
      <c r="J31" s="1825">
        <v>2374</v>
      </c>
      <c r="K31" s="1826">
        <v>3332</v>
      </c>
      <c r="L31" s="1827">
        <v>832</v>
      </c>
      <c r="M31" s="1828">
        <v>2500</v>
      </c>
      <c r="N31" s="1829">
        <v>3250</v>
      </c>
      <c r="O31" s="1830">
        <v>788</v>
      </c>
      <c r="P31" s="1831">
        <v>2462</v>
      </c>
    </row>
    <row r="32" spans="1:16" ht="20.100000000000001" customHeight="1" x14ac:dyDescent="0.25">
      <c r="A32" s="1548"/>
      <c r="B32" s="1847"/>
      <c r="C32" s="1848"/>
      <c r="D32" s="1849"/>
      <c r="E32" s="1850"/>
      <c r="F32" s="1851"/>
      <c r="G32" s="1852"/>
      <c r="H32" s="1850"/>
      <c r="I32" s="1851"/>
      <c r="J32" s="1852"/>
      <c r="K32" s="1853"/>
      <c r="L32" s="1854"/>
      <c r="M32" s="1855"/>
      <c r="N32" s="1856"/>
      <c r="O32" s="1857"/>
      <c r="P32" s="1858"/>
    </row>
    <row r="33" spans="1:16" ht="30" customHeight="1" x14ac:dyDescent="0.25">
      <c r="A33" s="1859" t="s">
        <v>805</v>
      </c>
      <c r="B33" s="1860">
        <v>7244</v>
      </c>
      <c r="C33" s="1861">
        <v>2341</v>
      </c>
      <c r="D33" s="1862">
        <v>4903</v>
      </c>
      <c r="E33" s="1863">
        <v>6890</v>
      </c>
      <c r="F33" s="1864">
        <v>2234</v>
      </c>
      <c r="G33" s="1865">
        <v>4656</v>
      </c>
      <c r="H33" s="1863">
        <v>6849</v>
      </c>
      <c r="I33" s="1864">
        <v>2201</v>
      </c>
      <c r="J33" s="1865">
        <v>4648</v>
      </c>
      <c r="K33" s="1866">
        <v>7064</v>
      </c>
      <c r="L33" s="1867">
        <v>2190</v>
      </c>
      <c r="M33" s="1868">
        <v>4874</v>
      </c>
      <c r="N33" s="1869">
        <v>6739</v>
      </c>
      <c r="O33" s="1870">
        <v>2054</v>
      </c>
      <c r="P33" s="1871">
        <v>4685</v>
      </c>
    </row>
    <row r="34" spans="1:16" ht="15" customHeight="1" x14ac:dyDescent="0.25">
      <c r="A34" s="1327"/>
      <c r="B34" s="1749"/>
      <c r="C34" s="1749"/>
      <c r="D34" s="1749"/>
      <c r="E34" s="1872"/>
      <c r="F34" s="1872"/>
      <c r="G34" s="1872"/>
      <c r="H34" s="1872"/>
      <c r="I34" s="1872"/>
      <c r="J34" s="1872"/>
      <c r="K34" s="1873"/>
      <c r="L34" s="1873"/>
      <c r="M34" s="1873"/>
      <c r="N34" s="1872"/>
      <c r="O34" s="1872"/>
      <c r="P34" s="1872"/>
    </row>
    <row r="35" spans="1:16" ht="14.4" customHeight="1" x14ac:dyDescent="0.25">
      <c r="A35" s="2850" t="s">
        <v>806</v>
      </c>
      <c r="B35" s="2850" t="s">
        <v>15</v>
      </c>
      <c r="C35" s="2850" t="s">
        <v>15</v>
      </c>
      <c r="D35" s="2850" t="s">
        <v>15</v>
      </c>
      <c r="E35" s="2850" t="s">
        <v>15</v>
      </c>
      <c r="F35" s="2850" t="s">
        <v>15</v>
      </c>
      <c r="G35" s="2850" t="s">
        <v>15</v>
      </c>
      <c r="H35" s="2850" t="s">
        <v>15</v>
      </c>
      <c r="I35" s="2850" t="s">
        <v>15</v>
      </c>
      <c r="J35" s="2850" t="s">
        <v>15</v>
      </c>
      <c r="K35" s="2850" t="s">
        <v>15</v>
      </c>
      <c r="L35" s="2850" t="s">
        <v>15</v>
      </c>
      <c r="M35" s="2850" t="s">
        <v>15</v>
      </c>
      <c r="N35" s="2850" t="s">
        <v>15</v>
      </c>
      <c r="O35" s="2850" t="s">
        <v>15</v>
      </c>
      <c r="P35" s="2850" t="s">
        <v>15</v>
      </c>
    </row>
    <row r="36" spans="1:16" ht="10.35" customHeight="1" x14ac:dyDescent="0.25">
      <c r="A36" s="1078"/>
      <c r="B36" s="224"/>
      <c r="C36" s="224"/>
      <c r="D36" s="224"/>
      <c r="E36" s="224"/>
      <c r="F36" s="224"/>
      <c r="G36" s="224"/>
      <c r="H36" s="224"/>
      <c r="I36" s="224"/>
      <c r="J36" s="224"/>
      <c r="K36" s="224"/>
      <c r="L36" s="224"/>
      <c r="M36" s="224"/>
      <c r="N36" s="224"/>
      <c r="O36" s="224"/>
      <c r="P36" s="224"/>
    </row>
    <row r="37" spans="1:16" ht="10.35" customHeight="1" x14ac:dyDescent="0.25">
      <c r="A37" s="225"/>
      <c r="B37" s="225"/>
      <c r="C37" s="225"/>
      <c r="D37" s="225"/>
      <c r="E37" s="225"/>
      <c r="F37" s="225"/>
      <c r="G37" s="225"/>
      <c r="H37" s="225"/>
      <c r="I37" s="225"/>
      <c r="J37" s="225"/>
      <c r="K37" s="225"/>
      <c r="L37" s="225"/>
      <c r="M37" s="225"/>
      <c r="N37" s="225"/>
      <c r="O37" s="225"/>
      <c r="P37" s="225"/>
    </row>
  </sheetData>
  <mergeCells count="7">
    <mergeCell ref="A35:P35"/>
    <mergeCell ref="A2:P2"/>
    <mergeCell ref="B3:D3"/>
    <mergeCell ref="E3:G3"/>
    <mergeCell ref="H3:J3"/>
    <mergeCell ref="K3:M3"/>
    <mergeCell ref="N3:P3"/>
  </mergeCells>
  <hyperlinks>
    <hyperlink ref="A1" location="ToC!A2" display="Back to Table of Contents" xr:uid="{F6C75A34-2142-48BA-BEA3-AE27038DBA24}"/>
  </hyperlinks>
  <pageMargins left="0.5" right="0.5" top="0.5" bottom="0.5" header="0.25" footer="0.25"/>
  <pageSetup scale="61" orientation="landscape" r:id="rId1"/>
  <headerFooter>
    <oddFooter>&amp;L&amp;G&amp;C&amp;"Scotia,Regular"&amp;9Supplementary Financial Information (SFI)&amp;R22&amp;"Scotia,Regular"&amp;7</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6360-26DF-4289-9A8E-74CD00EF09A6}">
  <sheetPr>
    <pageSetUpPr fitToPage="1"/>
  </sheetPr>
  <dimension ref="A1:P53"/>
  <sheetViews>
    <sheetView showGridLines="0" zoomScaleNormal="100" workbookViewId="0"/>
  </sheetViews>
  <sheetFormatPr defaultColWidth="8.77734375" defaultRowHeight="13.2" x14ac:dyDescent="0.25"/>
  <cols>
    <col min="1" max="1" width="77.77734375" style="23" customWidth="1"/>
    <col min="2" max="2" width="7.21875" style="23" customWidth="1"/>
    <col min="3" max="4" width="8.77734375" style="23" customWidth="1"/>
    <col min="5" max="6" width="7.21875" style="23" customWidth="1"/>
    <col min="7" max="7" width="7.77734375" style="23" customWidth="1"/>
    <col min="8" max="11" width="7.21875" style="23" customWidth="1"/>
    <col min="12" max="12" width="7.77734375" style="23" bestFit="1" customWidth="1"/>
    <col min="13" max="14" width="7.21875" style="23" customWidth="1"/>
    <col min="15" max="15" width="7.6640625" style="23" bestFit="1" customWidth="1"/>
    <col min="16" max="16" width="7.77734375" style="23" bestFit="1" customWidth="1"/>
    <col min="17" max="16384" width="8.77734375" style="23"/>
  </cols>
  <sheetData>
    <row r="1" spans="1:16" ht="19.95" customHeight="1" x14ac:dyDescent="0.25">
      <c r="A1" s="22" t="s">
        <v>12</v>
      </c>
    </row>
    <row r="2" spans="1:16" ht="25.35" customHeight="1" x14ac:dyDescent="0.25">
      <c r="A2" s="2873" t="s">
        <v>807</v>
      </c>
      <c r="B2" s="2873" t="s">
        <v>15</v>
      </c>
      <c r="C2" s="2873" t="s">
        <v>15</v>
      </c>
      <c r="D2" s="2873" t="s">
        <v>15</v>
      </c>
      <c r="E2" s="2873" t="s">
        <v>15</v>
      </c>
      <c r="F2" s="2873" t="s">
        <v>15</v>
      </c>
      <c r="G2" s="2873" t="s">
        <v>15</v>
      </c>
      <c r="H2" s="2873" t="s">
        <v>15</v>
      </c>
      <c r="I2" s="2873" t="s">
        <v>15</v>
      </c>
      <c r="J2" s="2873" t="s">
        <v>15</v>
      </c>
      <c r="K2" s="2873" t="s">
        <v>15</v>
      </c>
      <c r="L2" s="2873" t="s">
        <v>15</v>
      </c>
      <c r="M2" s="2873" t="s">
        <v>15</v>
      </c>
      <c r="N2" s="2873" t="s">
        <v>15</v>
      </c>
      <c r="O2" s="2873" t="s">
        <v>15</v>
      </c>
      <c r="P2" s="2873" t="s">
        <v>15</v>
      </c>
    </row>
    <row r="3" spans="1:16" ht="15" customHeight="1" x14ac:dyDescent="0.25">
      <c r="A3" s="1874"/>
      <c r="B3" s="1875" t="s">
        <v>165</v>
      </c>
      <c r="C3" s="1876"/>
      <c r="D3" s="1877"/>
      <c r="E3" s="1878" t="s">
        <v>166</v>
      </c>
      <c r="F3" s="1879"/>
      <c r="G3" s="1880"/>
      <c r="H3" s="1878" t="s">
        <v>167</v>
      </c>
      <c r="I3" s="1879"/>
      <c r="J3" s="1880"/>
      <c r="K3" s="1878" t="s">
        <v>168</v>
      </c>
      <c r="L3" s="1879"/>
      <c r="M3" s="1880"/>
      <c r="N3" s="1878" t="s">
        <v>169</v>
      </c>
      <c r="O3" s="1879"/>
      <c r="P3" s="1879"/>
    </row>
    <row r="4" spans="1:16" ht="15" customHeight="1" x14ac:dyDescent="0.25">
      <c r="A4" s="1881"/>
      <c r="B4" s="1882" t="s">
        <v>808</v>
      </c>
      <c r="C4" s="1883" t="s">
        <v>808</v>
      </c>
      <c r="D4" s="1884" t="s">
        <v>506</v>
      </c>
      <c r="E4" s="1885" t="s">
        <v>809</v>
      </c>
      <c r="F4" s="1886" t="s">
        <v>809</v>
      </c>
      <c r="G4" s="1887" t="s">
        <v>403</v>
      </c>
      <c r="H4" s="1885" t="s">
        <v>809</v>
      </c>
      <c r="I4" s="1886" t="s">
        <v>809</v>
      </c>
      <c r="J4" s="1887" t="s">
        <v>403</v>
      </c>
      <c r="K4" s="1885" t="s">
        <v>809</v>
      </c>
      <c r="L4" s="1886" t="s">
        <v>809</v>
      </c>
      <c r="M4" s="1887" t="s">
        <v>403</v>
      </c>
      <c r="N4" s="1885" t="s">
        <v>809</v>
      </c>
      <c r="O4" s="1886" t="s">
        <v>809</v>
      </c>
      <c r="P4" s="1888" t="s">
        <v>403</v>
      </c>
    </row>
    <row r="5" spans="1:16" ht="15" customHeight="1" x14ac:dyDescent="0.25">
      <c r="A5" s="1889"/>
      <c r="B5" s="1890" t="s">
        <v>810</v>
      </c>
      <c r="C5" s="1891">
        <v>3</v>
      </c>
      <c r="D5" s="1892" t="s">
        <v>811</v>
      </c>
      <c r="E5" s="1893" t="s">
        <v>812</v>
      </c>
      <c r="F5" s="1894">
        <v>3</v>
      </c>
      <c r="G5" s="1895" t="s">
        <v>813</v>
      </c>
      <c r="H5" s="1893" t="s">
        <v>812</v>
      </c>
      <c r="I5" s="1894">
        <v>3</v>
      </c>
      <c r="J5" s="1895" t="s">
        <v>813</v>
      </c>
      <c r="K5" s="1893" t="s">
        <v>812</v>
      </c>
      <c r="L5" s="1894">
        <v>3</v>
      </c>
      <c r="M5" s="1895" t="s">
        <v>813</v>
      </c>
      <c r="N5" s="1893" t="s">
        <v>812</v>
      </c>
      <c r="O5" s="1894">
        <v>3</v>
      </c>
      <c r="P5" s="1896" t="s">
        <v>813</v>
      </c>
    </row>
    <row r="6" spans="1:16" ht="15" customHeight="1" x14ac:dyDescent="0.25">
      <c r="A6" s="1313" t="s">
        <v>814</v>
      </c>
      <c r="B6" s="1897"/>
      <c r="C6" s="1898"/>
      <c r="D6" s="1899"/>
      <c r="E6" s="1900"/>
      <c r="F6" s="1901"/>
      <c r="G6" s="1902"/>
      <c r="H6" s="1900"/>
      <c r="I6" s="1901"/>
      <c r="J6" s="1902"/>
      <c r="K6" s="1900"/>
      <c r="L6" s="1901"/>
      <c r="M6" s="1902"/>
      <c r="N6" s="1900"/>
      <c r="O6" s="1901"/>
      <c r="P6" s="1903"/>
    </row>
    <row r="7" spans="1:16" ht="15" customHeight="1" x14ac:dyDescent="0.25">
      <c r="A7" s="1904" t="s">
        <v>710</v>
      </c>
      <c r="B7" s="1905">
        <v>21</v>
      </c>
      <c r="C7" s="1906">
        <v>333</v>
      </c>
      <c r="D7" s="1907">
        <v>354</v>
      </c>
      <c r="E7" s="1908">
        <v>5</v>
      </c>
      <c r="F7" s="1909">
        <v>315</v>
      </c>
      <c r="G7" s="1910">
        <v>320</v>
      </c>
      <c r="H7" s="1908">
        <v>220</v>
      </c>
      <c r="I7" s="1909">
        <v>393</v>
      </c>
      <c r="J7" s="1910">
        <v>613</v>
      </c>
      <c r="K7" s="1908">
        <v>45</v>
      </c>
      <c r="L7" s="1909">
        <v>378</v>
      </c>
      <c r="M7" s="1910">
        <v>423</v>
      </c>
      <c r="N7" s="1908">
        <v>0</v>
      </c>
      <c r="O7" s="1909">
        <v>355</v>
      </c>
      <c r="P7" s="1911">
        <v>355</v>
      </c>
    </row>
    <row r="8" spans="1:16" ht="15" customHeight="1" x14ac:dyDescent="0.25">
      <c r="A8" s="1904" t="s">
        <v>711</v>
      </c>
      <c r="B8" s="1905">
        <v>1</v>
      </c>
      <c r="C8" s="1906">
        <v>139</v>
      </c>
      <c r="D8" s="1907">
        <v>140</v>
      </c>
      <c r="E8" s="1908">
        <v>4</v>
      </c>
      <c r="F8" s="1909">
        <v>132</v>
      </c>
      <c r="G8" s="1910">
        <v>136</v>
      </c>
      <c r="H8" s="1908">
        <v>97</v>
      </c>
      <c r="I8" s="1909">
        <v>95</v>
      </c>
      <c r="J8" s="1910">
        <v>192</v>
      </c>
      <c r="K8" s="1908">
        <v>6</v>
      </c>
      <c r="L8" s="1909">
        <v>109</v>
      </c>
      <c r="M8" s="1910">
        <v>115</v>
      </c>
      <c r="N8" s="1908">
        <v>-11</v>
      </c>
      <c r="O8" s="1909">
        <v>106</v>
      </c>
      <c r="P8" s="1911">
        <v>95</v>
      </c>
    </row>
    <row r="9" spans="1:16" ht="15" customHeight="1" x14ac:dyDescent="0.25">
      <c r="A9" s="1188" t="s">
        <v>712</v>
      </c>
      <c r="B9" s="1905">
        <v>22</v>
      </c>
      <c r="C9" s="1906">
        <v>472</v>
      </c>
      <c r="D9" s="1907">
        <v>494</v>
      </c>
      <c r="E9" s="1908">
        <v>9</v>
      </c>
      <c r="F9" s="1909">
        <v>447</v>
      </c>
      <c r="G9" s="1910">
        <v>456</v>
      </c>
      <c r="H9" s="1908">
        <v>317</v>
      </c>
      <c r="I9" s="1909">
        <v>488</v>
      </c>
      <c r="J9" s="1910">
        <v>805</v>
      </c>
      <c r="K9" s="1908">
        <v>51</v>
      </c>
      <c r="L9" s="1909">
        <v>487</v>
      </c>
      <c r="M9" s="1910">
        <v>538</v>
      </c>
      <c r="N9" s="1908">
        <v>-11</v>
      </c>
      <c r="O9" s="1909">
        <v>461</v>
      </c>
      <c r="P9" s="1911">
        <v>450</v>
      </c>
    </row>
    <row r="10" spans="1:16" ht="15" customHeight="1" x14ac:dyDescent="0.25">
      <c r="A10" s="1904" t="s">
        <v>710</v>
      </c>
      <c r="B10" s="1905">
        <v>32</v>
      </c>
      <c r="C10" s="1906">
        <v>468</v>
      </c>
      <c r="D10" s="1907">
        <v>500</v>
      </c>
      <c r="E10" s="1908">
        <v>28</v>
      </c>
      <c r="F10" s="1909">
        <v>441</v>
      </c>
      <c r="G10" s="1910">
        <v>469</v>
      </c>
      <c r="H10" s="1908">
        <v>2</v>
      </c>
      <c r="I10" s="1909">
        <v>455</v>
      </c>
      <c r="J10" s="1910">
        <v>457</v>
      </c>
      <c r="K10" s="1908">
        <v>4</v>
      </c>
      <c r="L10" s="1909">
        <v>508</v>
      </c>
      <c r="M10" s="1910">
        <v>512</v>
      </c>
      <c r="N10" s="1908">
        <v>-40</v>
      </c>
      <c r="O10" s="1909">
        <v>494</v>
      </c>
      <c r="P10" s="1911">
        <v>454</v>
      </c>
    </row>
    <row r="11" spans="1:16" ht="15" customHeight="1" x14ac:dyDescent="0.25">
      <c r="A11" s="1904" t="s">
        <v>815</v>
      </c>
      <c r="B11" s="1905">
        <v>5</v>
      </c>
      <c r="C11" s="1906">
        <v>89</v>
      </c>
      <c r="D11" s="1907">
        <v>94</v>
      </c>
      <c r="E11" s="1908">
        <v>10</v>
      </c>
      <c r="F11" s="1909">
        <v>84</v>
      </c>
      <c r="G11" s="1910">
        <v>94</v>
      </c>
      <c r="H11" s="1908">
        <v>24</v>
      </c>
      <c r="I11" s="1909">
        <v>68</v>
      </c>
      <c r="J11" s="1910">
        <v>92</v>
      </c>
      <c r="K11" s="1908">
        <v>23</v>
      </c>
      <c r="L11" s="1909">
        <v>67</v>
      </c>
      <c r="M11" s="1910">
        <v>90</v>
      </c>
      <c r="N11" s="1908">
        <v>21</v>
      </c>
      <c r="O11" s="1909">
        <v>82</v>
      </c>
      <c r="P11" s="1911">
        <v>103</v>
      </c>
    </row>
    <row r="12" spans="1:16" ht="15" customHeight="1" x14ac:dyDescent="0.25">
      <c r="A12" s="1188" t="s">
        <v>720</v>
      </c>
      <c r="B12" s="1905">
        <v>37</v>
      </c>
      <c r="C12" s="1906">
        <v>557</v>
      </c>
      <c r="D12" s="1907">
        <v>594</v>
      </c>
      <c r="E12" s="1908">
        <v>38</v>
      </c>
      <c r="F12" s="1909">
        <v>525</v>
      </c>
      <c r="G12" s="1912">
        <v>563</v>
      </c>
      <c r="H12" s="1908">
        <v>26</v>
      </c>
      <c r="I12" s="1909">
        <v>523</v>
      </c>
      <c r="J12" s="1912">
        <v>549</v>
      </c>
      <c r="K12" s="1908">
        <v>27</v>
      </c>
      <c r="L12" s="1909">
        <v>575</v>
      </c>
      <c r="M12" s="1912">
        <v>602</v>
      </c>
      <c r="N12" s="1908">
        <v>-19</v>
      </c>
      <c r="O12" s="1909">
        <v>576</v>
      </c>
      <c r="P12" s="1913">
        <v>557</v>
      </c>
    </row>
    <row r="13" spans="1:16" ht="15" customHeight="1" x14ac:dyDescent="0.25">
      <c r="A13" s="1188" t="s">
        <v>721</v>
      </c>
      <c r="B13" s="1905">
        <v>1</v>
      </c>
      <c r="C13" s="1906">
        <v>3</v>
      </c>
      <c r="D13" s="1907">
        <v>4</v>
      </c>
      <c r="E13" s="1908">
        <v>4</v>
      </c>
      <c r="F13" s="1909">
        <v>0</v>
      </c>
      <c r="G13" s="1912">
        <v>4</v>
      </c>
      <c r="H13" s="1908">
        <v>2</v>
      </c>
      <c r="I13" s="1909">
        <v>0</v>
      </c>
      <c r="J13" s="1912">
        <v>2</v>
      </c>
      <c r="K13" s="1908">
        <v>2</v>
      </c>
      <c r="L13" s="1909">
        <v>2</v>
      </c>
      <c r="M13" s="1912">
        <v>4</v>
      </c>
      <c r="N13" s="1908">
        <v>5</v>
      </c>
      <c r="O13" s="1909">
        <v>0</v>
      </c>
      <c r="P13" s="1913">
        <v>5</v>
      </c>
    </row>
    <row r="14" spans="1:16" ht="15" customHeight="1" x14ac:dyDescent="0.25">
      <c r="A14" s="1188" t="s">
        <v>725</v>
      </c>
      <c r="B14" s="1905">
        <v>10</v>
      </c>
      <c r="C14" s="1906">
        <v>10</v>
      </c>
      <c r="D14" s="1907">
        <v>20</v>
      </c>
      <c r="E14" s="1908">
        <v>16</v>
      </c>
      <c r="F14" s="1909">
        <v>3</v>
      </c>
      <c r="G14" s="1912">
        <v>19</v>
      </c>
      <c r="H14" s="1908">
        <v>-1</v>
      </c>
      <c r="I14" s="1909">
        <v>41</v>
      </c>
      <c r="J14" s="1912">
        <v>40</v>
      </c>
      <c r="K14" s="1908">
        <v>18</v>
      </c>
      <c r="L14" s="1909">
        <v>0</v>
      </c>
      <c r="M14" s="1912">
        <v>18</v>
      </c>
      <c r="N14" s="1908">
        <v>13</v>
      </c>
      <c r="O14" s="1909">
        <v>6</v>
      </c>
      <c r="P14" s="1913">
        <v>19</v>
      </c>
    </row>
    <row r="15" spans="1:16" ht="15" customHeight="1" x14ac:dyDescent="0.25">
      <c r="A15" s="1188" t="s">
        <v>570</v>
      </c>
      <c r="B15" s="1905">
        <v>1</v>
      </c>
      <c r="C15" s="1906">
        <v>0</v>
      </c>
      <c r="D15" s="1907">
        <v>1</v>
      </c>
      <c r="E15" s="1908">
        <v>-1</v>
      </c>
      <c r="F15" s="1909">
        <v>0</v>
      </c>
      <c r="G15" s="1912">
        <v>-1</v>
      </c>
      <c r="H15" s="1908">
        <v>1</v>
      </c>
      <c r="I15" s="1909">
        <v>0</v>
      </c>
      <c r="J15" s="1912">
        <v>1</v>
      </c>
      <c r="K15" s="1908">
        <v>0</v>
      </c>
      <c r="L15" s="1909">
        <v>0</v>
      </c>
      <c r="M15" s="1912">
        <v>0</v>
      </c>
      <c r="N15" s="1908">
        <v>-1</v>
      </c>
      <c r="O15" s="1909">
        <v>0</v>
      </c>
      <c r="P15" s="1913">
        <v>-1</v>
      </c>
    </row>
    <row r="16" spans="1:16" ht="15" customHeight="1" x14ac:dyDescent="0.25">
      <c r="A16" s="1188" t="s">
        <v>816</v>
      </c>
      <c r="B16" s="1905">
        <v>71</v>
      </c>
      <c r="C16" s="1906">
        <v>1042</v>
      </c>
      <c r="D16" s="1907">
        <v>1113</v>
      </c>
      <c r="E16" s="1908">
        <v>66</v>
      </c>
      <c r="F16" s="1909">
        <v>975</v>
      </c>
      <c r="G16" s="1912">
        <v>1041</v>
      </c>
      <c r="H16" s="1908">
        <v>345</v>
      </c>
      <c r="I16" s="1909">
        <v>1052</v>
      </c>
      <c r="J16" s="1912">
        <v>1397</v>
      </c>
      <c r="K16" s="1908">
        <v>98</v>
      </c>
      <c r="L16" s="1909">
        <v>1064</v>
      </c>
      <c r="M16" s="1912">
        <v>1162</v>
      </c>
      <c r="N16" s="1908">
        <v>-13</v>
      </c>
      <c r="O16" s="1909">
        <v>1043</v>
      </c>
      <c r="P16" s="1913">
        <v>1030</v>
      </c>
    </row>
    <row r="17" spans="1:16" ht="15" customHeight="1" x14ac:dyDescent="0.25">
      <c r="A17" s="1904" t="s">
        <v>817</v>
      </c>
      <c r="B17" s="1905">
        <v>0</v>
      </c>
      <c r="C17" s="1906">
        <v>0</v>
      </c>
      <c r="D17" s="1907">
        <v>0</v>
      </c>
      <c r="E17" s="1908">
        <v>0</v>
      </c>
      <c r="F17" s="1909">
        <v>0</v>
      </c>
      <c r="G17" s="1910">
        <v>0</v>
      </c>
      <c r="H17" s="1908">
        <v>0</v>
      </c>
      <c r="I17" s="1909">
        <v>0</v>
      </c>
      <c r="J17" s="1910">
        <v>0</v>
      </c>
      <c r="K17" s="1908">
        <v>0</v>
      </c>
      <c r="L17" s="1909">
        <v>0</v>
      </c>
      <c r="M17" s="1910">
        <v>0</v>
      </c>
      <c r="N17" s="1908">
        <v>0</v>
      </c>
      <c r="O17" s="1909">
        <v>0</v>
      </c>
      <c r="P17" s="1911">
        <v>0</v>
      </c>
    </row>
    <row r="18" spans="1:16" ht="15" customHeight="1" x14ac:dyDescent="0.25">
      <c r="A18" s="1904" t="s">
        <v>818</v>
      </c>
      <c r="B18" s="1905">
        <v>1</v>
      </c>
      <c r="C18" s="1906">
        <v>0</v>
      </c>
      <c r="D18" s="1907">
        <v>1</v>
      </c>
      <c r="E18" s="1908">
        <v>-1</v>
      </c>
      <c r="F18" s="1909">
        <v>0</v>
      </c>
      <c r="G18" s="1910">
        <v>-1</v>
      </c>
      <c r="H18" s="1908">
        <v>1</v>
      </c>
      <c r="I18" s="1909">
        <v>0</v>
      </c>
      <c r="J18" s="1910">
        <v>1</v>
      </c>
      <c r="K18" s="1908">
        <v>0</v>
      </c>
      <c r="L18" s="1909">
        <v>0</v>
      </c>
      <c r="M18" s="1910">
        <v>0</v>
      </c>
      <c r="N18" s="1908">
        <v>-1</v>
      </c>
      <c r="O18" s="1909">
        <v>0</v>
      </c>
      <c r="P18" s="1911">
        <v>-1</v>
      </c>
    </row>
    <row r="19" spans="1:16" ht="15" customHeight="1" x14ac:dyDescent="0.25">
      <c r="A19" s="1904" t="s">
        <v>751</v>
      </c>
      <c r="B19" s="1905">
        <v>0</v>
      </c>
      <c r="C19" s="1906">
        <v>0</v>
      </c>
      <c r="D19" s="1907">
        <v>0</v>
      </c>
      <c r="E19" s="1908">
        <v>0</v>
      </c>
      <c r="F19" s="1909">
        <v>0</v>
      </c>
      <c r="G19" s="1910">
        <v>0</v>
      </c>
      <c r="H19" s="1908">
        <v>0</v>
      </c>
      <c r="I19" s="1909">
        <v>0</v>
      </c>
      <c r="J19" s="1910">
        <v>0</v>
      </c>
      <c r="K19" s="1908">
        <v>0</v>
      </c>
      <c r="L19" s="1909">
        <v>0</v>
      </c>
      <c r="M19" s="1910">
        <v>0</v>
      </c>
      <c r="N19" s="1908">
        <v>0</v>
      </c>
      <c r="O19" s="1909">
        <v>0</v>
      </c>
      <c r="P19" s="1911">
        <v>0</v>
      </c>
    </row>
    <row r="20" spans="1:16" ht="15" customHeight="1" x14ac:dyDescent="0.25">
      <c r="A20" s="1904" t="s">
        <v>819</v>
      </c>
      <c r="B20" s="1905">
        <v>0</v>
      </c>
      <c r="C20" s="1906">
        <v>0</v>
      </c>
      <c r="D20" s="1907">
        <v>0</v>
      </c>
      <c r="E20" s="1908">
        <v>0</v>
      </c>
      <c r="F20" s="1909">
        <v>0</v>
      </c>
      <c r="G20" s="1910">
        <v>0</v>
      </c>
      <c r="H20" s="1908">
        <v>0</v>
      </c>
      <c r="I20" s="1909">
        <v>0</v>
      </c>
      <c r="J20" s="1910">
        <v>0</v>
      </c>
      <c r="K20" s="1908">
        <v>0</v>
      </c>
      <c r="L20" s="1909">
        <v>0</v>
      </c>
      <c r="M20" s="1910">
        <v>0</v>
      </c>
      <c r="N20" s="1908">
        <v>0</v>
      </c>
      <c r="O20" s="1909">
        <v>0</v>
      </c>
      <c r="P20" s="1911">
        <v>0</v>
      </c>
    </row>
    <row r="21" spans="1:16" ht="15" customHeight="1" x14ac:dyDescent="0.25">
      <c r="A21" s="1904" t="s">
        <v>648</v>
      </c>
      <c r="B21" s="1905">
        <v>-1</v>
      </c>
      <c r="C21" s="1906">
        <v>0</v>
      </c>
      <c r="D21" s="1914">
        <v>-1</v>
      </c>
      <c r="E21" s="1908">
        <v>1</v>
      </c>
      <c r="F21" s="1909">
        <v>0</v>
      </c>
      <c r="G21" s="1910">
        <v>1</v>
      </c>
      <c r="H21" s="1908">
        <v>0</v>
      </c>
      <c r="I21" s="1909">
        <v>0</v>
      </c>
      <c r="J21" s="1910">
        <v>0</v>
      </c>
      <c r="K21" s="1908">
        <v>0</v>
      </c>
      <c r="L21" s="1909">
        <v>0</v>
      </c>
      <c r="M21" s="1910">
        <v>0</v>
      </c>
      <c r="N21" s="1908">
        <v>1</v>
      </c>
      <c r="O21" s="1909">
        <v>0</v>
      </c>
      <c r="P21" s="1911">
        <v>1</v>
      </c>
    </row>
    <row r="22" spans="1:16" ht="15" customHeight="1" x14ac:dyDescent="0.25">
      <c r="A22" s="1915" t="s">
        <v>820</v>
      </c>
      <c r="B22" s="1916">
        <v>0</v>
      </c>
      <c r="C22" s="1917">
        <v>0</v>
      </c>
      <c r="D22" s="1918">
        <v>0</v>
      </c>
      <c r="E22" s="1919">
        <v>0</v>
      </c>
      <c r="F22" s="1920">
        <v>0</v>
      </c>
      <c r="G22" s="1921">
        <v>0</v>
      </c>
      <c r="H22" s="1919">
        <v>1</v>
      </c>
      <c r="I22" s="1920">
        <v>0</v>
      </c>
      <c r="J22" s="1921">
        <v>1</v>
      </c>
      <c r="K22" s="1919">
        <v>0</v>
      </c>
      <c r="L22" s="1920">
        <v>0</v>
      </c>
      <c r="M22" s="1921">
        <v>0</v>
      </c>
      <c r="N22" s="1919">
        <v>0</v>
      </c>
      <c r="O22" s="1920">
        <v>0</v>
      </c>
      <c r="P22" s="1922">
        <v>0</v>
      </c>
    </row>
    <row r="23" spans="1:16" ht="15" customHeight="1" x14ac:dyDescent="0.25">
      <c r="A23" s="1082" t="s">
        <v>821</v>
      </c>
      <c r="B23" s="1923">
        <v>71</v>
      </c>
      <c r="C23" s="1924">
        <v>1042</v>
      </c>
      <c r="D23" s="1925">
        <v>1113</v>
      </c>
      <c r="E23" s="1926">
        <v>66</v>
      </c>
      <c r="F23" s="1927">
        <v>975</v>
      </c>
      <c r="G23" s="1928">
        <v>1041</v>
      </c>
      <c r="H23" s="1926">
        <v>346</v>
      </c>
      <c r="I23" s="1927">
        <v>1052</v>
      </c>
      <c r="J23" s="1928">
        <v>1398</v>
      </c>
      <c r="K23" s="1926">
        <v>98</v>
      </c>
      <c r="L23" s="1927">
        <v>1064</v>
      </c>
      <c r="M23" s="1928">
        <v>1162</v>
      </c>
      <c r="N23" s="1926">
        <v>-13</v>
      </c>
      <c r="O23" s="1927">
        <v>1043</v>
      </c>
      <c r="P23" s="1929">
        <v>1030</v>
      </c>
    </row>
    <row r="24" spans="1:16" ht="15" customHeight="1" x14ac:dyDescent="0.25">
      <c r="A24" s="1313"/>
      <c r="B24" s="1930"/>
      <c r="C24" s="1931"/>
      <c r="D24" s="1932"/>
      <c r="E24" s="1933"/>
      <c r="F24" s="1934"/>
      <c r="G24" s="1935"/>
      <c r="H24" s="1900"/>
      <c r="I24" s="1901"/>
      <c r="J24" s="1902"/>
      <c r="K24" s="1900"/>
      <c r="L24" s="1901"/>
      <c r="M24" s="1902"/>
      <c r="N24" s="1900"/>
      <c r="O24" s="1901"/>
      <c r="P24" s="1903"/>
    </row>
    <row r="25" spans="1:16" ht="15" customHeight="1" x14ac:dyDescent="0.25">
      <c r="A25" s="1936" t="s">
        <v>822</v>
      </c>
      <c r="B25" s="1937"/>
      <c r="C25" s="1938"/>
      <c r="D25" s="1939"/>
      <c r="E25" s="1940"/>
      <c r="F25" s="1941"/>
      <c r="G25" s="1942"/>
      <c r="H25" s="1943"/>
      <c r="I25" s="1944"/>
      <c r="J25" s="1945"/>
      <c r="K25" s="1943"/>
      <c r="L25" s="1944"/>
      <c r="M25" s="1945"/>
      <c r="N25" s="1943"/>
      <c r="O25" s="1944"/>
      <c r="P25" s="1946"/>
    </row>
    <row r="26" spans="1:16" ht="15" customHeight="1" x14ac:dyDescent="0.25">
      <c r="A26" s="1904" t="s">
        <v>710</v>
      </c>
      <c r="B26" s="1905">
        <v>2</v>
      </c>
      <c r="C26" s="1947">
        <v>36</v>
      </c>
      <c r="D26" s="1948">
        <v>38</v>
      </c>
      <c r="E26" s="1908">
        <v>1</v>
      </c>
      <c r="F26" s="1909">
        <v>34</v>
      </c>
      <c r="G26" s="1949">
        <v>35</v>
      </c>
      <c r="H26" s="1908">
        <v>24</v>
      </c>
      <c r="I26" s="1909">
        <v>45</v>
      </c>
      <c r="J26" s="1910">
        <v>69</v>
      </c>
      <c r="K26" s="1908">
        <v>5</v>
      </c>
      <c r="L26" s="1909">
        <v>42</v>
      </c>
      <c r="M26" s="1910">
        <v>47</v>
      </c>
      <c r="N26" s="1908">
        <v>0</v>
      </c>
      <c r="O26" s="1909">
        <v>40</v>
      </c>
      <c r="P26" s="1911">
        <v>40</v>
      </c>
    </row>
    <row r="27" spans="1:16" ht="15" customHeight="1" x14ac:dyDescent="0.25">
      <c r="A27" s="1904" t="s">
        <v>711</v>
      </c>
      <c r="B27" s="1905">
        <v>1</v>
      </c>
      <c r="C27" s="1906">
        <v>59</v>
      </c>
      <c r="D27" s="1948">
        <v>60</v>
      </c>
      <c r="E27" s="1908">
        <v>2</v>
      </c>
      <c r="F27" s="1909">
        <v>56</v>
      </c>
      <c r="G27" s="1949">
        <v>58</v>
      </c>
      <c r="H27" s="1908">
        <v>43</v>
      </c>
      <c r="I27" s="1909">
        <v>42</v>
      </c>
      <c r="J27" s="1910">
        <v>85</v>
      </c>
      <c r="K27" s="1908">
        <v>2</v>
      </c>
      <c r="L27" s="1909">
        <v>46</v>
      </c>
      <c r="M27" s="1910">
        <v>48</v>
      </c>
      <c r="N27" s="1908">
        <v>-4</v>
      </c>
      <c r="O27" s="1909">
        <v>44</v>
      </c>
      <c r="P27" s="1911">
        <v>40</v>
      </c>
    </row>
    <row r="28" spans="1:16" ht="15" customHeight="1" x14ac:dyDescent="0.25">
      <c r="A28" s="1188" t="s">
        <v>712</v>
      </c>
      <c r="B28" s="1905">
        <v>2</v>
      </c>
      <c r="C28" s="1906">
        <v>41</v>
      </c>
      <c r="D28" s="1948">
        <v>43</v>
      </c>
      <c r="E28" s="1908">
        <v>1</v>
      </c>
      <c r="F28" s="1909">
        <v>39</v>
      </c>
      <c r="G28" s="1949">
        <v>40</v>
      </c>
      <c r="H28" s="1908">
        <v>28</v>
      </c>
      <c r="I28" s="1909">
        <v>44</v>
      </c>
      <c r="J28" s="1910">
        <v>72</v>
      </c>
      <c r="K28" s="1908">
        <v>4</v>
      </c>
      <c r="L28" s="1909">
        <v>43</v>
      </c>
      <c r="M28" s="1910">
        <v>47</v>
      </c>
      <c r="N28" s="1908">
        <v>-1</v>
      </c>
      <c r="O28" s="1909">
        <v>41</v>
      </c>
      <c r="P28" s="1911">
        <v>40</v>
      </c>
    </row>
    <row r="29" spans="1:16" ht="15" customHeight="1" x14ac:dyDescent="0.25">
      <c r="A29" s="1904" t="s">
        <v>710</v>
      </c>
      <c r="B29" s="1905">
        <v>15</v>
      </c>
      <c r="C29" s="1906">
        <v>224</v>
      </c>
      <c r="D29" s="1948">
        <v>239</v>
      </c>
      <c r="E29" s="1908">
        <v>14</v>
      </c>
      <c r="F29" s="1909">
        <v>217</v>
      </c>
      <c r="G29" s="1949">
        <v>231</v>
      </c>
      <c r="H29" s="1908">
        <v>1</v>
      </c>
      <c r="I29" s="1909">
        <v>231</v>
      </c>
      <c r="J29" s="1910">
        <v>232</v>
      </c>
      <c r="K29" s="1908">
        <v>2</v>
      </c>
      <c r="L29" s="1909">
        <v>255</v>
      </c>
      <c r="M29" s="1910">
        <v>257</v>
      </c>
      <c r="N29" s="1908">
        <v>-21</v>
      </c>
      <c r="O29" s="1909">
        <v>254</v>
      </c>
      <c r="P29" s="1911">
        <v>233</v>
      </c>
    </row>
    <row r="30" spans="1:16" ht="15" customHeight="1" x14ac:dyDescent="0.25">
      <c r="A30" s="1904" t="s">
        <v>815</v>
      </c>
      <c r="B30" s="1905">
        <v>3</v>
      </c>
      <c r="C30" s="1906">
        <v>44</v>
      </c>
      <c r="D30" s="1948">
        <v>47</v>
      </c>
      <c r="E30" s="1908">
        <v>4</v>
      </c>
      <c r="F30" s="1909">
        <v>42</v>
      </c>
      <c r="G30" s="1949">
        <v>46</v>
      </c>
      <c r="H30" s="1908">
        <v>11</v>
      </c>
      <c r="I30" s="1909">
        <v>34</v>
      </c>
      <c r="J30" s="1910">
        <v>45</v>
      </c>
      <c r="K30" s="1908">
        <v>11</v>
      </c>
      <c r="L30" s="1909">
        <v>31</v>
      </c>
      <c r="M30" s="1910">
        <v>42</v>
      </c>
      <c r="N30" s="1908">
        <v>10</v>
      </c>
      <c r="O30" s="1909">
        <v>39</v>
      </c>
      <c r="P30" s="1911">
        <v>49</v>
      </c>
    </row>
    <row r="31" spans="1:16" ht="15" customHeight="1" x14ac:dyDescent="0.25">
      <c r="A31" s="1188" t="s">
        <v>720</v>
      </c>
      <c r="B31" s="1905">
        <v>9</v>
      </c>
      <c r="C31" s="1906">
        <v>135</v>
      </c>
      <c r="D31" s="1948">
        <v>144</v>
      </c>
      <c r="E31" s="1908">
        <v>10</v>
      </c>
      <c r="F31" s="1909">
        <v>129</v>
      </c>
      <c r="G31" s="1949">
        <v>139</v>
      </c>
      <c r="H31" s="1908">
        <v>6</v>
      </c>
      <c r="I31" s="1909">
        <v>131</v>
      </c>
      <c r="J31" s="1912">
        <v>137</v>
      </c>
      <c r="K31" s="1908">
        <v>7</v>
      </c>
      <c r="L31" s="1909">
        <v>139</v>
      </c>
      <c r="M31" s="1912">
        <v>146</v>
      </c>
      <c r="N31" s="1908">
        <v>-5</v>
      </c>
      <c r="O31" s="1909">
        <v>142</v>
      </c>
      <c r="P31" s="1913">
        <v>137</v>
      </c>
    </row>
    <row r="32" spans="1:16" ht="15" customHeight="1" x14ac:dyDescent="0.25">
      <c r="A32" s="1188" t="s">
        <v>721</v>
      </c>
      <c r="B32" s="1905">
        <v>3</v>
      </c>
      <c r="C32" s="1906">
        <v>4</v>
      </c>
      <c r="D32" s="1948">
        <v>7</v>
      </c>
      <c r="E32" s="1908">
        <v>5</v>
      </c>
      <c r="F32" s="1909">
        <v>0</v>
      </c>
      <c r="G32" s="1949">
        <v>5</v>
      </c>
      <c r="H32" s="1908">
        <v>3</v>
      </c>
      <c r="I32" s="1909">
        <v>0</v>
      </c>
      <c r="J32" s="1912">
        <v>3</v>
      </c>
      <c r="K32" s="1908">
        <v>2</v>
      </c>
      <c r="L32" s="1909">
        <v>4</v>
      </c>
      <c r="M32" s="1912">
        <v>6</v>
      </c>
      <c r="N32" s="1908">
        <v>7</v>
      </c>
      <c r="O32" s="1909">
        <v>0</v>
      </c>
      <c r="P32" s="1913">
        <v>7</v>
      </c>
    </row>
    <row r="33" spans="1:16" ht="15" customHeight="1" x14ac:dyDescent="0.25">
      <c r="A33" s="1188" t="s">
        <v>725</v>
      </c>
      <c r="B33" s="1905">
        <v>3</v>
      </c>
      <c r="C33" s="1906">
        <v>4</v>
      </c>
      <c r="D33" s="1950">
        <v>7</v>
      </c>
      <c r="E33" s="1908">
        <v>6</v>
      </c>
      <c r="F33" s="1909">
        <v>1</v>
      </c>
      <c r="G33" s="1912">
        <v>7</v>
      </c>
      <c r="H33" s="1908">
        <v>-1</v>
      </c>
      <c r="I33" s="1909">
        <v>15</v>
      </c>
      <c r="J33" s="1912">
        <v>14</v>
      </c>
      <c r="K33" s="1908">
        <v>6</v>
      </c>
      <c r="L33" s="1909">
        <v>0</v>
      </c>
      <c r="M33" s="1912">
        <v>6</v>
      </c>
      <c r="N33" s="1908">
        <v>4</v>
      </c>
      <c r="O33" s="1909">
        <v>2</v>
      </c>
      <c r="P33" s="1913">
        <v>6</v>
      </c>
    </row>
    <row r="34" spans="1:16" ht="15" customHeight="1" x14ac:dyDescent="0.25">
      <c r="A34" s="1915" t="s">
        <v>570</v>
      </c>
      <c r="B34" s="1916">
        <v>0</v>
      </c>
      <c r="C34" s="1917">
        <v>0</v>
      </c>
      <c r="D34" s="1951">
        <v>0</v>
      </c>
      <c r="E34" s="1919">
        <v>0</v>
      </c>
      <c r="F34" s="1920">
        <v>0</v>
      </c>
      <c r="G34" s="1952">
        <v>0</v>
      </c>
      <c r="H34" s="1919">
        <v>0</v>
      </c>
      <c r="I34" s="1920">
        <v>0</v>
      </c>
      <c r="J34" s="1952">
        <v>0</v>
      </c>
      <c r="K34" s="1919">
        <v>0</v>
      </c>
      <c r="L34" s="1920">
        <v>0</v>
      </c>
      <c r="M34" s="1952">
        <v>0</v>
      </c>
      <c r="N34" s="1919">
        <v>0</v>
      </c>
      <c r="O34" s="1920">
        <v>0</v>
      </c>
      <c r="P34" s="1953">
        <v>0</v>
      </c>
    </row>
    <row r="35" spans="1:16" ht="15" customHeight="1" x14ac:dyDescent="0.25">
      <c r="A35" s="1686" t="s">
        <v>823</v>
      </c>
      <c r="B35" s="1923">
        <v>4</v>
      </c>
      <c r="C35" s="1924">
        <v>54</v>
      </c>
      <c r="D35" s="1954">
        <v>58</v>
      </c>
      <c r="E35" s="1926">
        <v>4</v>
      </c>
      <c r="F35" s="1927">
        <v>51</v>
      </c>
      <c r="G35" s="1955">
        <v>55</v>
      </c>
      <c r="H35" s="1926">
        <v>18</v>
      </c>
      <c r="I35" s="1927">
        <v>57</v>
      </c>
      <c r="J35" s="1955">
        <v>75</v>
      </c>
      <c r="K35" s="1926">
        <v>5</v>
      </c>
      <c r="L35" s="1927">
        <v>55</v>
      </c>
      <c r="M35" s="1955">
        <v>60</v>
      </c>
      <c r="N35" s="1926">
        <v>-1</v>
      </c>
      <c r="O35" s="1927">
        <v>55</v>
      </c>
      <c r="P35" s="1956">
        <v>54</v>
      </c>
    </row>
    <row r="36" spans="1:16" ht="15" customHeight="1" x14ac:dyDescent="0.25">
      <c r="A36" s="1313"/>
      <c r="B36" s="1897"/>
      <c r="C36" s="1898"/>
      <c r="D36" s="1957"/>
      <c r="E36" s="1900"/>
      <c r="F36" s="1901"/>
      <c r="G36" s="1958"/>
      <c r="H36" s="1900"/>
      <c r="I36" s="1901"/>
      <c r="J36" s="1902"/>
      <c r="K36" s="1900"/>
      <c r="L36" s="1901"/>
      <c r="M36" s="1902"/>
      <c r="N36" s="1900"/>
      <c r="O36" s="1901"/>
      <c r="P36" s="1903"/>
    </row>
    <row r="37" spans="1:16" ht="15" customHeight="1" x14ac:dyDescent="0.25">
      <c r="A37" s="1936" t="s">
        <v>824</v>
      </c>
      <c r="B37" s="1959"/>
      <c r="C37" s="1960"/>
      <c r="D37" s="1961"/>
      <c r="E37" s="1943"/>
      <c r="F37" s="1944"/>
      <c r="G37" s="1962"/>
      <c r="H37" s="1943"/>
      <c r="I37" s="1944"/>
      <c r="J37" s="1945"/>
      <c r="K37" s="1943"/>
      <c r="L37" s="1944"/>
      <c r="M37" s="1945"/>
      <c r="N37" s="1943"/>
      <c r="O37" s="1944"/>
      <c r="P37" s="1946"/>
    </row>
    <row r="38" spans="1:16" ht="15" customHeight="1" x14ac:dyDescent="0.25">
      <c r="A38" s="1904" t="s">
        <v>710</v>
      </c>
      <c r="B38" s="1963"/>
      <c r="C38" s="1964"/>
      <c r="D38" s="1948">
        <v>37</v>
      </c>
      <c r="E38" s="1965"/>
      <c r="F38" s="1966"/>
      <c r="G38" s="1949">
        <v>37</v>
      </c>
      <c r="H38" s="1965"/>
      <c r="I38" s="1966"/>
      <c r="J38" s="1910">
        <v>40</v>
      </c>
      <c r="K38" s="1965"/>
      <c r="L38" s="1966"/>
      <c r="M38" s="1910">
        <v>38</v>
      </c>
      <c r="N38" s="1965"/>
      <c r="O38" s="1966"/>
      <c r="P38" s="1911">
        <v>35</v>
      </c>
    </row>
    <row r="39" spans="1:16" ht="15" customHeight="1" x14ac:dyDescent="0.25">
      <c r="A39" s="1904" t="s">
        <v>711</v>
      </c>
      <c r="B39" s="1963"/>
      <c r="C39" s="1964"/>
      <c r="D39" s="1948">
        <v>44</v>
      </c>
      <c r="E39" s="1965"/>
      <c r="F39" s="1966"/>
      <c r="G39" s="1949">
        <v>53</v>
      </c>
      <c r="H39" s="1965"/>
      <c r="I39" s="1966"/>
      <c r="J39" s="1910">
        <v>30</v>
      </c>
      <c r="K39" s="1965"/>
      <c r="L39" s="1966"/>
      <c r="M39" s="1910">
        <v>36</v>
      </c>
      <c r="N39" s="1965"/>
      <c r="O39" s="1966"/>
      <c r="P39" s="1911">
        <v>46</v>
      </c>
    </row>
    <row r="40" spans="1:16" ht="15" customHeight="1" x14ac:dyDescent="0.25">
      <c r="A40" s="1188" t="s">
        <v>712</v>
      </c>
      <c r="B40" s="1963"/>
      <c r="C40" s="1964"/>
      <c r="D40" s="1948">
        <v>38</v>
      </c>
      <c r="E40" s="1965"/>
      <c r="F40" s="1966"/>
      <c r="G40" s="1949">
        <v>40</v>
      </c>
      <c r="H40" s="1965"/>
      <c r="I40" s="1966"/>
      <c r="J40" s="1910">
        <v>38</v>
      </c>
      <c r="K40" s="1965"/>
      <c r="L40" s="1966"/>
      <c r="M40" s="1910">
        <v>37</v>
      </c>
      <c r="N40" s="1965"/>
      <c r="O40" s="1966"/>
      <c r="P40" s="1911">
        <v>37</v>
      </c>
    </row>
    <row r="41" spans="1:16" ht="15" customHeight="1" x14ac:dyDescent="0.25">
      <c r="A41" s="1904" t="s">
        <v>710</v>
      </c>
      <c r="B41" s="1963"/>
      <c r="C41" s="1964"/>
      <c r="D41" s="1948">
        <v>219</v>
      </c>
      <c r="E41" s="1965"/>
      <c r="F41" s="1966"/>
      <c r="G41" s="1949">
        <v>202</v>
      </c>
      <c r="H41" s="1965"/>
      <c r="I41" s="1966"/>
      <c r="J41" s="1910">
        <v>221</v>
      </c>
      <c r="K41" s="1965"/>
      <c r="L41" s="1966"/>
      <c r="M41" s="1910">
        <v>245</v>
      </c>
      <c r="N41" s="1965"/>
      <c r="O41" s="1966"/>
      <c r="P41" s="1911">
        <v>254</v>
      </c>
    </row>
    <row r="42" spans="1:16" ht="15" customHeight="1" x14ac:dyDescent="0.25">
      <c r="A42" s="1904" t="s">
        <v>815</v>
      </c>
      <c r="B42" s="1963"/>
      <c r="C42" s="1964"/>
      <c r="D42" s="1948">
        <v>27</v>
      </c>
      <c r="E42" s="1965"/>
      <c r="F42" s="1966"/>
      <c r="G42" s="1949">
        <v>23</v>
      </c>
      <c r="H42" s="1965"/>
      <c r="I42" s="1966"/>
      <c r="J42" s="1910">
        <v>21</v>
      </c>
      <c r="K42" s="1965"/>
      <c r="L42" s="1966"/>
      <c r="M42" s="1910">
        <v>17</v>
      </c>
      <c r="N42" s="1965"/>
      <c r="O42" s="1966"/>
      <c r="P42" s="1911">
        <v>19</v>
      </c>
    </row>
    <row r="43" spans="1:16" ht="15" customHeight="1" x14ac:dyDescent="0.25">
      <c r="A43" s="1188" t="s">
        <v>720</v>
      </c>
      <c r="B43" s="1963"/>
      <c r="C43" s="1964"/>
      <c r="D43" s="1950">
        <v>124</v>
      </c>
      <c r="E43" s="1965"/>
      <c r="F43" s="1966"/>
      <c r="G43" s="1912">
        <v>112</v>
      </c>
      <c r="H43" s="1965"/>
      <c r="I43" s="1966"/>
      <c r="J43" s="1912">
        <v>119</v>
      </c>
      <c r="K43" s="1965"/>
      <c r="L43" s="1966"/>
      <c r="M43" s="1912">
        <v>127</v>
      </c>
      <c r="N43" s="1965"/>
      <c r="O43" s="1966"/>
      <c r="P43" s="1913">
        <v>131</v>
      </c>
    </row>
    <row r="44" spans="1:16" ht="15" customHeight="1" x14ac:dyDescent="0.25">
      <c r="A44" s="1188" t="s">
        <v>721</v>
      </c>
      <c r="B44" s="1963"/>
      <c r="C44" s="1964"/>
      <c r="D44" s="1950">
        <v>12</v>
      </c>
      <c r="E44" s="1965"/>
      <c r="F44" s="1966"/>
      <c r="G44" s="1912">
        <v>0</v>
      </c>
      <c r="H44" s="1965"/>
      <c r="I44" s="1966"/>
      <c r="J44" s="1912">
        <v>0</v>
      </c>
      <c r="K44" s="1965"/>
      <c r="L44" s="1966"/>
      <c r="M44" s="1912">
        <v>2</v>
      </c>
      <c r="N44" s="1965"/>
      <c r="O44" s="1966"/>
      <c r="P44" s="1913">
        <v>16</v>
      </c>
    </row>
    <row r="45" spans="1:16" ht="15" customHeight="1" x14ac:dyDescent="0.25">
      <c r="A45" s="1188" t="s">
        <v>725</v>
      </c>
      <c r="B45" s="1963"/>
      <c r="C45" s="1964"/>
      <c r="D45" s="1950">
        <v>3</v>
      </c>
      <c r="E45" s="1965"/>
      <c r="F45" s="1966"/>
      <c r="G45" s="1912">
        <v>9</v>
      </c>
      <c r="H45" s="1965"/>
      <c r="I45" s="1966"/>
      <c r="J45" s="1912">
        <v>13</v>
      </c>
      <c r="K45" s="1965"/>
      <c r="L45" s="1966"/>
      <c r="M45" s="1912">
        <v>0</v>
      </c>
      <c r="N45" s="1965"/>
      <c r="O45" s="1966"/>
      <c r="P45" s="1913">
        <v>0</v>
      </c>
    </row>
    <row r="46" spans="1:16" ht="15" customHeight="1" x14ac:dyDescent="0.25">
      <c r="A46" s="1915" t="s">
        <v>570</v>
      </c>
      <c r="B46" s="1967"/>
      <c r="C46" s="1968"/>
      <c r="D46" s="1951">
        <v>0</v>
      </c>
      <c r="E46" s="1969"/>
      <c r="F46" s="1970"/>
      <c r="G46" s="1952">
        <v>0</v>
      </c>
      <c r="H46" s="1969"/>
      <c r="I46" s="1970"/>
      <c r="J46" s="1952">
        <v>0</v>
      </c>
      <c r="K46" s="1969"/>
      <c r="L46" s="1970"/>
      <c r="M46" s="1952">
        <v>0</v>
      </c>
      <c r="N46" s="1969"/>
      <c r="O46" s="1970"/>
      <c r="P46" s="1953">
        <v>0</v>
      </c>
    </row>
    <row r="47" spans="1:16" ht="15" customHeight="1" x14ac:dyDescent="0.25">
      <c r="A47" s="1686" t="s">
        <v>825</v>
      </c>
      <c r="B47" s="1971"/>
      <c r="C47" s="1972"/>
      <c r="D47" s="1954">
        <v>51</v>
      </c>
      <c r="E47" s="1973"/>
      <c r="F47" s="1974"/>
      <c r="G47" s="1955">
        <v>50</v>
      </c>
      <c r="H47" s="1973"/>
      <c r="I47" s="1974"/>
      <c r="J47" s="1955">
        <v>50</v>
      </c>
      <c r="K47" s="1973"/>
      <c r="L47" s="1974"/>
      <c r="M47" s="1955">
        <v>49</v>
      </c>
      <c r="N47" s="1973"/>
      <c r="O47" s="1974"/>
      <c r="P47" s="1956">
        <v>51</v>
      </c>
    </row>
    <row r="48" spans="1:16" ht="15" customHeight="1" x14ac:dyDescent="0.25">
      <c r="A48" s="1975"/>
      <c r="B48" s="1975"/>
      <c r="C48" s="1975"/>
      <c r="D48" s="1975"/>
      <c r="E48" s="1976"/>
      <c r="F48" s="1976"/>
      <c r="G48" s="1976"/>
      <c r="H48" s="1976"/>
      <c r="I48" s="1976"/>
      <c r="J48" s="1976"/>
      <c r="K48" s="1976"/>
      <c r="L48" s="1976"/>
      <c r="M48" s="1976"/>
      <c r="N48" s="1976"/>
      <c r="O48" s="1976"/>
      <c r="P48" s="1976"/>
    </row>
    <row r="49" spans="1:16" ht="12" customHeight="1" x14ac:dyDescent="0.25">
      <c r="A49" s="2850" t="s">
        <v>729</v>
      </c>
      <c r="B49" s="2850" t="s">
        <v>15</v>
      </c>
      <c r="C49" s="2850" t="s">
        <v>15</v>
      </c>
      <c r="D49" s="2850" t="s">
        <v>15</v>
      </c>
      <c r="E49" s="2850" t="s">
        <v>15</v>
      </c>
      <c r="F49" s="2850" t="s">
        <v>15</v>
      </c>
      <c r="G49" s="2850" t="s">
        <v>15</v>
      </c>
      <c r="H49" s="2850" t="s">
        <v>15</v>
      </c>
      <c r="I49" s="2850" t="s">
        <v>15</v>
      </c>
      <c r="J49" s="2850" t="s">
        <v>15</v>
      </c>
      <c r="K49" s="2850" t="s">
        <v>15</v>
      </c>
      <c r="L49" s="2850" t="s">
        <v>15</v>
      </c>
      <c r="M49" s="2850" t="s">
        <v>15</v>
      </c>
      <c r="N49" s="2850" t="s">
        <v>15</v>
      </c>
      <c r="O49" s="2850" t="s">
        <v>15</v>
      </c>
      <c r="P49" s="2850" t="s">
        <v>15</v>
      </c>
    </row>
    <row r="50" spans="1:16" ht="12" customHeight="1" x14ac:dyDescent="0.25">
      <c r="A50" s="2850" t="s">
        <v>754</v>
      </c>
      <c r="B50" s="2850" t="s">
        <v>15</v>
      </c>
      <c r="C50" s="2850" t="s">
        <v>15</v>
      </c>
      <c r="D50" s="2850" t="s">
        <v>15</v>
      </c>
      <c r="E50" s="2850" t="s">
        <v>15</v>
      </c>
      <c r="F50" s="2850" t="s">
        <v>15</v>
      </c>
      <c r="G50" s="2850" t="s">
        <v>15</v>
      </c>
      <c r="H50" s="2850" t="s">
        <v>15</v>
      </c>
      <c r="I50" s="2850" t="s">
        <v>15</v>
      </c>
      <c r="J50" s="2850" t="s">
        <v>15</v>
      </c>
      <c r="K50" s="2850" t="s">
        <v>15</v>
      </c>
      <c r="L50" s="2850" t="s">
        <v>15</v>
      </c>
      <c r="M50" s="2850" t="s">
        <v>15</v>
      </c>
      <c r="N50" s="2850" t="s">
        <v>15</v>
      </c>
      <c r="O50" s="2850" t="s">
        <v>15</v>
      </c>
      <c r="P50" s="2850" t="s">
        <v>15</v>
      </c>
    </row>
    <row r="51" spans="1:16" ht="12" customHeight="1" x14ac:dyDescent="0.25">
      <c r="A51" s="2850" t="s">
        <v>826</v>
      </c>
      <c r="B51" s="2850" t="s">
        <v>15</v>
      </c>
      <c r="C51" s="2850" t="s">
        <v>15</v>
      </c>
      <c r="D51" s="2850" t="s">
        <v>15</v>
      </c>
      <c r="E51" s="2850" t="s">
        <v>15</v>
      </c>
      <c r="F51" s="2850" t="s">
        <v>15</v>
      </c>
      <c r="G51" s="2850" t="s">
        <v>15</v>
      </c>
      <c r="H51" s="2850" t="s">
        <v>15</v>
      </c>
      <c r="I51" s="2850" t="s">
        <v>15</v>
      </c>
      <c r="J51" s="2850" t="s">
        <v>15</v>
      </c>
      <c r="K51" s="2850" t="s">
        <v>15</v>
      </c>
      <c r="L51" s="2850" t="s">
        <v>15</v>
      </c>
      <c r="M51" s="2850" t="s">
        <v>15</v>
      </c>
      <c r="N51" s="2850" t="s">
        <v>15</v>
      </c>
      <c r="O51" s="2850" t="s">
        <v>15</v>
      </c>
      <c r="P51" s="2850" t="s">
        <v>15</v>
      </c>
    </row>
    <row r="52" spans="1:16" ht="12" customHeight="1" x14ac:dyDescent="0.25">
      <c r="A52" s="2850" t="s">
        <v>827</v>
      </c>
      <c r="B52" s="2850" t="s">
        <v>15</v>
      </c>
      <c r="C52" s="2850" t="s">
        <v>15</v>
      </c>
      <c r="D52" s="2850" t="s">
        <v>15</v>
      </c>
      <c r="E52" s="2850" t="s">
        <v>15</v>
      </c>
      <c r="F52" s="2850" t="s">
        <v>15</v>
      </c>
      <c r="G52" s="2850" t="s">
        <v>15</v>
      </c>
      <c r="H52" s="2850" t="s">
        <v>15</v>
      </c>
      <c r="I52" s="2850" t="s">
        <v>15</v>
      </c>
      <c r="J52" s="2850" t="s">
        <v>15</v>
      </c>
      <c r="K52" s="2850" t="s">
        <v>15</v>
      </c>
      <c r="L52" s="2850" t="s">
        <v>15</v>
      </c>
      <c r="M52" s="2850" t="s">
        <v>15</v>
      </c>
      <c r="N52" s="2850" t="s">
        <v>15</v>
      </c>
      <c r="O52" s="2850" t="s">
        <v>15</v>
      </c>
      <c r="P52" s="2850" t="s">
        <v>15</v>
      </c>
    </row>
    <row r="53" spans="1:16" ht="10.35" customHeight="1" x14ac:dyDescent="0.25">
      <c r="A53" s="1977"/>
      <c r="B53" s="1978"/>
      <c r="C53" s="1978"/>
      <c r="D53" s="1978"/>
      <c r="E53" s="1978"/>
      <c r="F53" s="1978"/>
      <c r="G53" s="1978"/>
      <c r="H53" s="1978"/>
      <c r="I53" s="1978"/>
      <c r="J53" s="1978"/>
      <c r="K53" s="1978"/>
      <c r="L53" s="1978"/>
      <c r="M53" s="1978"/>
      <c r="N53" s="1978"/>
      <c r="O53" s="1978"/>
      <c r="P53" s="1978"/>
    </row>
  </sheetData>
  <mergeCells count="5">
    <mergeCell ref="A2:P2"/>
    <mergeCell ref="A49:P49"/>
    <mergeCell ref="A50:P50"/>
    <mergeCell ref="A51:P51"/>
    <mergeCell ref="A52:P52"/>
  </mergeCells>
  <hyperlinks>
    <hyperlink ref="A1" location="ToC!A2" display="Back to Table of Contents" xr:uid="{51EF8557-BDAC-4A0C-A2AD-013237C0B658}"/>
  </hyperlinks>
  <pageMargins left="0.5" right="0.5" top="0.5" bottom="0.5" header="0.25" footer="0.25"/>
  <pageSetup scale="66" orientation="landscape" r:id="rId1"/>
  <headerFooter>
    <oddFooter>&amp;L&amp;G&amp;C&amp;"Scotia,Regular"&amp;9Supplementary Financial Information (SFI)&amp;R23&amp;"Scotia,Regular"&amp;7</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D871-DF55-4663-A112-6977776C7202}">
  <sheetPr>
    <pageSetUpPr fitToPage="1"/>
  </sheetPr>
  <dimension ref="A1:L46"/>
  <sheetViews>
    <sheetView showGridLines="0" zoomScaleNormal="100" workbookViewId="0"/>
  </sheetViews>
  <sheetFormatPr defaultColWidth="8.77734375" defaultRowHeight="13.2" x14ac:dyDescent="0.25"/>
  <cols>
    <col min="1" max="1" width="48.5546875" style="23" customWidth="1"/>
    <col min="2" max="12" width="10.77734375" style="23" customWidth="1"/>
    <col min="13" max="16384" width="8.77734375" style="23"/>
  </cols>
  <sheetData>
    <row r="1" spans="1:12" ht="19.95" customHeight="1" x14ac:dyDescent="0.25">
      <c r="A1" s="22" t="s">
        <v>12</v>
      </c>
    </row>
    <row r="2" spans="1:12" ht="25.35" customHeight="1" x14ac:dyDescent="0.25">
      <c r="A2" s="2873" t="s">
        <v>828</v>
      </c>
      <c r="B2" s="2873" t="s">
        <v>15</v>
      </c>
      <c r="C2" s="2873" t="s">
        <v>15</v>
      </c>
      <c r="D2" s="2873" t="s">
        <v>15</v>
      </c>
      <c r="E2" s="2873" t="s">
        <v>15</v>
      </c>
      <c r="F2" s="2873" t="s">
        <v>15</v>
      </c>
      <c r="G2" s="2873" t="s">
        <v>15</v>
      </c>
      <c r="H2" s="2873" t="s">
        <v>15</v>
      </c>
      <c r="I2" s="2873" t="s">
        <v>15</v>
      </c>
      <c r="J2" s="2873" t="s">
        <v>15</v>
      </c>
      <c r="K2" s="2873" t="s">
        <v>15</v>
      </c>
      <c r="L2" s="2873" t="s">
        <v>15</v>
      </c>
    </row>
    <row r="3" spans="1:12" ht="15" customHeight="1" x14ac:dyDescent="0.25">
      <c r="A3" s="1176"/>
      <c r="B3" s="1979"/>
      <c r="C3" s="1980"/>
      <c r="D3" s="1980"/>
      <c r="E3" s="1981"/>
      <c r="F3" s="1982"/>
      <c r="G3" s="1980"/>
      <c r="H3" s="1980"/>
      <c r="I3" s="1981"/>
      <c r="J3" s="1983"/>
      <c r="K3" s="2871" t="s">
        <v>163</v>
      </c>
      <c r="L3" s="2872" t="s">
        <v>15</v>
      </c>
    </row>
    <row r="4" spans="1:12" ht="15" customHeight="1" x14ac:dyDescent="0.25">
      <c r="A4" s="1176" t="s">
        <v>265</v>
      </c>
      <c r="B4" s="1511" t="s">
        <v>165</v>
      </c>
      <c r="C4" s="1093" t="s">
        <v>166</v>
      </c>
      <c r="D4" s="1093" t="s">
        <v>167</v>
      </c>
      <c r="E4" s="1512" t="s">
        <v>168</v>
      </c>
      <c r="F4" s="1513" t="s">
        <v>169</v>
      </c>
      <c r="G4" s="1984" t="s">
        <v>170</v>
      </c>
      <c r="H4" s="1093" t="s">
        <v>171</v>
      </c>
      <c r="I4" s="1512" t="s">
        <v>172</v>
      </c>
      <c r="J4" s="1702" t="s">
        <v>173</v>
      </c>
      <c r="K4" s="1513">
        <v>2025</v>
      </c>
      <c r="L4" s="1093">
        <v>2024</v>
      </c>
    </row>
    <row r="5" spans="1:12" ht="15" customHeight="1" x14ac:dyDescent="0.25">
      <c r="A5" s="1985" t="s">
        <v>829</v>
      </c>
      <c r="B5" s="1657"/>
      <c r="C5" s="1776"/>
      <c r="D5" s="1776"/>
      <c r="E5" s="1986"/>
      <c r="F5" s="1987"/>
      <c r="G5" s="1988"/>
      <c r="H5" s="1988"/>
      <c r="I5" s="1989"/>
      <c r="J5" s="1990"/>
      <c r="K5" s="1987"/>
      <c r="L5" s="1776"/>
    </row>
    <row r="6" spans="1:12" ht="15" customHeight="1" x14ac:dyDescent="0.25">
      <c r="A6" s="1184"/>
      <c r="B6" s="1314"/>
      <c r="C6" s="1315"/>
      <c r="D6" s="1315"/>
      <c r="E6" s="1991"/>
      <c r="F6" s="1317"/>
      <c r="G6" s="1992"/>
      <c r="H6" s="1992"/>
      <c r="I6" s="1993"/>
      <c r="J6" s="1994"/>
      <c r="K6" s="1317"/>
      <c r="L6" s="1315"/>
    </row>
    <row r="7" spans="1:12" ht="15" customHeight="1" x14ac:dyDescent="0.25">
      <c r="A7" s="1995" t="s">
        <v>316</v>
      </c>
      <c r="B7" s="1996">
        <v>60</v>
      </c>
      <c r="C7" s="1115">
        <v>69</v>
      </c>
      <c r="D7" s="1115">
        <v>70</v>
      </c>
      <c r="E7" s="1117">
        <v>68</v>
      </c>
      <c r="F7" s="1114">
        <v>83</v>
      </c>
      <c r="G7" s="1115">
        <v>46</v>
      </c>
      <c r="H7" s="1115">
        <v>63</v>
      </c>
      <c r="I7" s="1117">
        <v>58</v>
      </c>
      <c r="J7" s="1118">
        <v>52</v>
      </c>
      <c r="K7" s="1114">
        <v>267</v>
      </c>
      <c r="L7" s="1115">
        <v>250</v>
      </c>
    </row>
    <row r="8" spans="1:12" ht="15" customHeight="1" x14ac:dyDescent="0.25">
      <c r="A8" s="1995" t="s">
        <v>346</v>
      </c>
      <c r="B8" s="1996">
        <v>446</v>
      </c>
      <c r="C8" s="1115">
        <v>398</v>
      </c>
      <c r="D8" s="1115">
        <v>459</v>
      </c>
      <c r="E8" s="1117">
        <v>493</v>
      </c>
      <c r="F8" s="1114">
        <v>454</v>
      </c>
      <c r="G8" s="1115">
        <v>472</v>
      </c>
      <c r="H8" s="1115">
        <v>505</v>
      </c>
      <c r="I8" s="1117">
        <v>454</v>
      </c>
      <c r="J8" s="1118">
        <v>370</v>
      </c>
      <c r="K8" s="1114">
        <v>1796</v>
      </c>
      <c r="L8" s="1115">
        <v>1885</v>
      </c>
    </row>
    <row r="9" spans="1:12" ht="15" customHeight="1" x14ac:dyDescent="0.25">
      <c r="A9" s="1995" t="s">
        <v>347</v>
      </c>
      <c r="B9" s="1996">
        <v>297</v>
      </c>
      <c r="C9" s="1115">
        <v>290</v>
      </c>
      <c r="D9" s="1115">
        <v>319</v>
      </c>
      <c r="E9" s="1117">
        <v>327</v>
      </c>
      <c r="F9" s="1114">
        <v>311</v>
      </c>
      <c r="G9" s="1115">
        <v>309</v>
      </c>
      <c r="H9" s="1115">
        <v>278</v>
      </c>
      <c r="I9" s="1117">
        <v>267</v>
      </c>
      <c r="J9" s="1118">
        <v>253</v>
      </c>
      <c r="K9" s="1114">
        <v>1233</v>
      </c>
      <c r="L9" s="1115">
        <v>1165</v>
      </c>
    </row>
    <row r="10" spans="1:12" ht="15" customHeight="1" x14ac:dyDescent="0.25">
      <c r="A10" s="1997" t="s">
        <v>680</v>
      </c>
      <c r="B10" s="1996">
        <v>803</v>
      </c>
      <c r="C10" s="1115">
        <v>757</v>
      </c>
      <c r="D10" s="1115">
        <v>848</v>
      </c>
      <c r="E10" s="1117">
        <v>888</v>
      </c>
      <c r="F10" s="1114">
        <v>848</v>
      </c>
      <c r="G10" s="1115">
        <v>827</v>
      </c>
      <c r="H10" s="1115">
        <v>846</v>
      </c>
      <c r="I10" s="1117">
        <v>779</v>
      </c>
      <c r="J10" s="1118">
        <v>675</v>
      </c>
      <c r="K10" s="1114">
        <v>3296</v>
      </c>
      <c r="L10" s="1115">
        <v>3300</v>
      </c>
    </row>
    <row r="11" spans="1:12" ht="15" customHeight="1" x14ac:dyDescent="0.25">
      <c r="A11" s="1186"/>
      <c r="B11" s="1998"/>
      <c r="C11" s="1133"/>
      <c r="D11" s="1133"/>
      <c r="E11" s="1134"/>
      <c r="F11" s="1132"/>
      <c r="G11" s="1133"/>
      <c r="H11" s="1133"/>
      <c r="I11" s="1134"/>
      <c r="J11" s="1135"/>
      <c r="K11" s="1132"/>
      <c r="L11" s="1133"/>
    </row>
    <row r="12" spans="1:12" ht="15" customHeight="1" x14ac:dyDescent="0.25">
      <c r="A12" s="1197" t="s">
        <v>830</v>
      </c>
      <c r="B12" s="1998"/>
      <c r="C12" s="1133"/>
      <c r="D12" s="1133"/>
      <c r="E12" s="1134"/>
      <c r="F12" s="1132"/>
      <c r="G12" s="1133"/>
      <c r="H12" s="1133"/>
      <c r="I12" s="1134"/>
      <c r="J12" s="1135"/>
      <c r="K12" s="1132"/>
      <c r="L12" s="1133"/>
    </row>
    <row r="13" spans="1:12" ht="15" customHeight="1" x14ac:dyDescent="0.25">
      <c r="A13" s="1995" t="s">
        <v>682</v>
      </c>
      <c r="B13" s="1996">
        <v>11</v>
      </c>
      <c r="C13" s="1115">
        <v>7</v>
      </c>
      <c r="D13" s="1115">
        <v>4</v>
      </c>
      <c r="E13" s="1117">
        <v>4</v>
      </c>
      <c r="F13" s="1114">
        <v>2</v>
      </c>
      <c r="G13" s="1115">
        <v>-1</v>
      </c>
      <c r="H13" s="1115">
        <v>21</v>
      </c>
      <c r="I13" s="1117">
        <v>12</v>
      </c>
      <c r="J13" s="1118">
        <v>10</v>
      </c>
      <c r="K13" s="1114">
        <v>26</v>
      </c>
      <c r="L13" s="1115">
        <v>34</v>
      </c>
    </row>
    <row r="14" spans="1:12" ht="15" customHeight="1" x14ac:dyDescent="0.25">
      <c r="A14" s="1995" t="s">
        <v>801</v>
      </c>
      <c r="B14" s="1996">
        <v>0</v>
      </c>
      <c r="C14" s="1115">
        <v>0</v>
      </c>
      <c r="D14" s="1115">
        <v>0</v>
      </c>
      <c r="E14" s="1117">
        <v>0</v>
      </c>
      <c r="F14" s="1114">
        <v>0</v>
      </c>
      <c r="G14" s="1115">
        <v>0</v>
      </c>
      <c r="H14" s="1115">
        <v>0</v>
      </c>
      <c r="I14" s="1117">
        <v>0</v>
      </c>
      <c r="J14" s="1118">
        <v>0</v>
      </c>
      <c r="K14" s="1114">
        <v>0</v>
      </c>
      <c r="L14" s="1115">
        <v>0</v>
      </c>
    </row>
    <row r="15" spans="1:12" ht="15" customHeight="1" x14ac:dyDescent="0.25">
      <c r="A15" s="1197" t="s">
        <v>684</v>
      </c>
      <c r="B15" s="1996">
        <v>43</v>
      </c>
      <c r="C15" s="1115">
        <v>51</v>
      </c>
      <c r="D15" s="1115">
        <v>50</v>
      </c>
      <c r="E15" s="1117">
        <v>45</v>
      </c>
      <c r="F15" s="1114">
        <v>37</v>
      </c>
      <c r="G15" s="1115">
        <v>39</v>
      </c>
      <c r="H15" s="1115">
        <v>25</v>
      </c>
      <c r="I15" s="1117">
        <v>36</v>
      </c>
      <c r="J15" s="1118">
        <v>22</v>
      </c>
      <c r="K15" s="1114">
        <v>189</v>
      </c>
      <c r="L15" s="1115">
        <v>137</v>
      </c>
    </row>
    <row r="16" spans="1:12" ht="15" customHeight="1" x14ac:dyDescent="0.25">
      <c r="A16" s="1197" t="s">
        <v>685</v>
      </c>
      <c r="B16" s="1996">
        <v>78</v>
      </c>
      <c r="C16" s="1115">
        <v>45</v>
      </c>
      <c r="D16" s="1115">
        <v>38</v>
      </c>
      <c r="E16" s="1117">
        <v>18</v>
      </c>
      <c r="F16" s="1114">
        <v>27</v>
      </c>
      <c r="G16" s="1115">
        <v>26</v>
      </c>
      <c r="H16" s="1115">
        <v>21</v>
      </c>
      <c r="I16" s="1117">
        <v>34</v>
      </c>
      <c r="J16" s="1118">
        <v>54</v>
      </c>
      <c r="K16" s="1114">
        <v>179</v>
      </c>
      <c r="L16" s="1115">
        <v>108</v>
      </c>
    </row>
    <row r="17" spans="1:12" ht="15" customHeight="1" x14ac:dyDescent="0.25">
      <c r="A17" s="1197" t="s">
        <v>686</v>
      </c>
      <c r="B17" s="1996">
        <v>2</v>
      </c>
      <c r="C17" s="1115">
        <v>1</v>
      </c>
      <c r="D17" s="1115">
        <v>0</v>
      </c>
      <c r="E17" s="1117">
        <v>-6</v>
      </c>
      <c r="F17" s="1114">
        <v>1</v>
      </c>
      <c r="G17" s="1115">
        <v>0</v>
      </c>
      <c r="H17" s="1115">
        <v>-1</v>
      </c>
      <c r="I17" s="1117">
        <v>0</v>
      </c>
      <c r="J17" s="1118">
        <v>0</v>
      </c>
      <c r="K17" s="1114">
        <v>-3</v>
      </c>
      <c r="L17" s="1115">
        <v>0</v>
      </c>
    </row>
    <row r="18" spans="1:12" ht="15" customHeight="1" x14ac:dyDescent="0.25">
      <c r="A18" s="1197" t="s">
        <v>687</v>
      </c>
      <c r="B18" s="1996">
        <v>19</v>
      </c>
      <c r="C18" s="1115">
        <v>34</v>
      </c>
      <c r="D18" s="1115">
        <v>9</v>
      </c>
      <c r="E18" s="1117">
        <v>17</v>
      </c>
      <c r="F18" s="1114">
        <v>19</v>
      </c>
      <c r="G18" s="1115">
        <v>17</v>
      </c>
      <c r="H18" s="1115">
        <v>8</v>
      </c>
      <c r="I18" s="1117">
        <v>43</v>
      </c>
      <c r="J18" s="1118">
        <v>-9</v>
      </c>
      <c r="K18" s="1114">
        <v>79</v>
      </c>
      <c r="L18" s="1115">
        <v>87</v>
      </c>
    </row>
    <row r="19" spans="1:12" ht="15" customHeight="1" x14ac:dyDescent="0.25">
      <c r="A19" s="1197" t="s">
        <v>688</v>
      </c>
      <c r="B19" s="1996">
        <v>3</v>
      </c>
      <c r="C19" s="1115">
        <v>1</v>
      </c>
      <c r="D19" s="1115">
        <v>4</v>
      </c>
      <c r="E19" s="1117">
        <v>1</v>
      </c>
      <c r="F19" s="1114">
        <v>1</v>
      </c>
      <c r="G19" s="1115">
        <v>-1</v>
      </c>
      <c r="H19" s="1115">
        <v>1</v>
      </c>
      <c r="I19" s="1117">
        <v>5</v>
      </c>
      <c r="J19" s="1118">
        <v>2</v>
      </c>
      <c r="K19" s="1114">
        <v>9</v>
      </c>
      <c r="L19" s="1115">
        <v>6</v>
      </c>
    </row>
    <row r="20" spans="1:12" ht="15" customHeight="1" x14ac:dyDescent="0.25">
      <c r="A20" s="1197" t="s">
        <v>689</v>
      </c>
      <c r="B20" s="1996">
        <v>22</v>
      </c>
      <c r="C20" s="1115">
        <v>23</v>
      </c>
      <c r="D20" s="1115">
        <v>31</v>
      </c>
      <c r="E20" s="1117">
        <v>19</v>
      </c>
      <c r="F20" s="1114">
        <v>19</v>
      </c>
      <c r="G20" s="1115">
        <v>26</v>
      </c>
      <c r="H20" s="1115">
        <v>17</v>
      </c>
      <c r="I20" s="1117">
        <v>11</v>
      </c>
      <c r="J20" s="1118">
        <v>21</v>
      </c>
      <c r="K20" s="1114">
        <v>95</v>
      </c>
      <c r="L20" s="1115">
        <v>73</v>
      </c>
    </row>
    <row r="21" spans="1:12" ht="15" customHeight="1" x14ac:dyDescent="0.25">
      <c r="A21" s="1197" t="s">
        <v>690</v>
      </c>
      <c r="B21" s="1996">
        <v>0</v>
      </c>
      <c r="C21" s="1115">
        <v>1</v>
      </c>
      <c r="D21" s="1115">
        <v>1</v>
      </c>
      <c r="E21" s="1117">
        <v>3</v>
      </c>
      <c r="F21" s="1114">
        <v>1</v>
      </c>
      <c r="G21" s="1115">
        <v>1</v>
      </c>
      <c r="H21" s="1115">
        <v>-1</v>
      </c>
      <c r="I21" s="1117">
        <v>1</v>
      </c>
      <c r="J21" s="1118">
        <v>1</v>
      </c>
      <c r="K21" s="1114">
        <v>5</v>
      </c>
      <c r="L21" s="1115">
        <v>2</v>
      </c>
    </row>
    <row r="22" spans="1:12" ht="15" customHeight="1" x14ac:dyDescent="0.25">
      <c r="A22" s="1197" t="s">
        <v>691</v>
      </c>
      <c r="B22" s="1996">
        <v>0</v>
      </c>
      <c r="C22" s="1115">
        <v>1</v>
      </c>
      <c r="D22" s="1115">
        <v>0</v>
      </c>
      <c r="E22" s="1117">
        <v>0</v>
      </c>
      <c r="F22" s="1114">
        <v>0</v>
      </c>
      <c r="G22" s="1115">
        <v>0</v>
      </c>
      <c r="H22" s="1115">
        <v>0</v>
      </c>
      <c r="I22" s="1117">
        <v>0</v>
      </c>
      <c r="J22" s="1118">
        <v>1</v>
      </c>
      <c r="K22" s="1114">
        <v>1</v>
      </c>
      <c r="L22" s="1115">
        <v>0</v>
      </c>
    </row>
    <row r="23" spans="1:12" ht="15" customHeight="1" x14ac:dyDescent="0.25">
      <c r="A23" s="1197" t="s">
        <v>692</v>
      </c>
      <c r="B23" s="1996">
        <v>1</v>
      </c>
      <c r="C23" s="1115">
        <v>0</v>
      </c>
      <c r="D23" s="1115">
        <v>0</v>
      </c>
      <c r="E23" s="1117">
        <v>3</v>
      </c>
      <c r="F23" s="1114">
        <v>3</v>
      </c>
      <c r="G23" s="1115">
        <v>3</v>
      </c>
      <c r="H23" s="1115">
        <v>2</v>
      </c>
      <c r="I23" s="1117">
        <v>1</v>
      </c>
      <c r="J23" s="1118">
        <v>5</v>
      </c>
      <c r="K23" s="1114">
        <v>4</v>
      </c>
      <c r="L23" s="1115">
        <v>9</v>
      </c>
    </row>
    <row r="24" spans="1:12" ht="15" customHeight="1" x14ac:dyDescent="0.25">
      <c r="A24" s="1197" t="s">
        <v>693</v>
      </c>
      <c r="B24" s="1996">
        <v>12</v>
      </c>
      <c r="C24" s="1115">
        <v>17</v>
      </c>
      <c r="D24" s="1115">
        <v>0</v>
      </c>
      <c r="E24" s="1117">
        <v>0</v>
      </c>
      <c r="F24" s="1114">
        <v>0</v>
      </c>
      <c r="G24" s="1115">
        <v>0</v>
      </c>
      <c r="H24" s="1115">
        <v>0</v>
      </c>
      <c r="I24" s="1117">
        <v>0</v>
      </c>
      <c r="J24" s="1118">
        <v>0</v>
      </c>
      <c r="K24" s="1114">
        <v>29</v>
      </c>
      <c r="L24" s="1115">
        <v>0</v>
      </c>
    </row>
    <row r="25" spans="1:12" ht="15" customHeight="1" x14ac:dyDescent="0.25">
      <c r="A25" s="1197" t="s">
        <v>694</v>
      </c>
      <c r="B25" s="1996">
        <v>10</v>
      </c>
      <c r="C25" s="1115">
        <v>6</v>
      </c>
      <c r="D25" s="1115">
        <v>7</v>
      </c>
      <c r="E25" s="1117">
        <v>7</v>
      </c>
      <c r="F25" s="1114">
        <v>5</v>
      </c>
      <c r="G25" s="1115">
        <v>5</v>
      </c>
      <c r="H25" s="1115">
        <v>8</v>
      </c>
      <c r="I25" s="1117">
        <v>4</v>
      </c>
      <c r="J25" s="1118">
        <v>-3</v>
      </c>
      <c r="K25" s="1114">
        <v>30</v>
      </c>
      <c r="L25" s="1115">
        <v>22</v>
      </c>
    </row>
    <row r="26" spans="1:12" ht="15" customHeight="1" x14ac:dyDescent="0.25">
      <c r="A26" s="1197" t="s">
        <v>695</v>
      </c>
      <c r="B26" s="1996">
        <v>20</v>
      </c>
      <c r="C26" s="1115">
        <v>19</v>
      </c>
      <c r="D26" s="1115">
        <v>51</v>
      </c>
      <c r="E26" s="1117">
        <v>3</v>
      </c>
      <c r="F26" s="1114">
        <v>21</v>
      </c>
      <c r="G26" s="1115">
        <v>2</v>
      </c>
      <c r="H26" s="1115">
        <v>2</v>
      </c>
      <c r="I26" s="1117">
        <v>7</v>
      </c>
      <c r="J26" s="1118">
        <v>7</v>
      </c>
      <c r="K26" s="1114">
        <v>93</v>
      </c>
      <c r="L26" s="1115">
        <v>32</v>
      </c>
    </row>
    <row r="27" spans="1:12" ht="15" customHeight="1" x14ac:dyDescent="0.25">
      <c r="A27" s="1197" t="s">
        <v>696</v>
      </c>
      <c r="B27" s="1996">
        <v>2</v>
      </c>
      <c r="C27" s="1115">
        <v>1</v>
      </c>
      <c r="D27" s="1115">
        <v>-1</v>
      </c>
      <c r="E27" s="1117">
        <v>8</v>
      </c>
      <c r="F27" s="1114">
        <v>-1</v>
      </c>
      <c r="G27" s="1115">
        <v>3</v>
      </c>
      <c r="H27" s="1115">
        <v>1</v>
      </c>
      <c r="I27" s="1117">
        <v>3</v>
      </c>
      <c r="J27" s="1118">
        <v>2</v>
      </c>
      <c r="K27" s="1114">
        <v>10</v>
      </c>
      <c r="L27" s="1115">
        <v>6</v>
      </c>
    </row>
    <row r="28" spans="1:12" ht="15" customHeight="1" x14ac:dyDescent="0.25">
      <c r="A28" s="1197" t="s">
        <v>697</v>
      </c>
      <c r="B28" s="1996">
        <v>7</v>
      </c>
      <c r="C28" s="1115">
        <v>9</v>
      </c>
      <c r="D28" s="1115">
        <v>1</v>
      </c>
      <c r="E28" s="1117">
        <v>51</v>
      </c>
      <c r="F28" s="1114">
        <v>57</v>
      </c>
      <c r="G28" s="1115">
        <v>7</v>
      </c>
      <c r="H28" s="1115">
        <v>3</v>
      </c>
      <c r="I28" s="1117">
        <v>2</v>
      </c>
      <c r="J28" s="1118">
        <v>6</v>
      </c>
      <c r="K28" s="1114">
        <v>68</v>
      </c>
      <c r="L28" s="1115">
        <v>69</v>
      </c>
    </row>
    <row r="29" spans="1:12" ht="15" customHeight="1" x14ac:dyDescent="0.25">
      <c r="A29" s="1197" t="s">
        <v>698</v>
      </c>
      <c r="B29" s="1996">
        <v>5</v>
      </c>
      <c r="C29" s="1115">
        <v>0</v>
      </c>
      <c r="D29" s="1115">
        <v>7</v>
      </c>
      <c r="E29" s="1117">
        <v>0</v>
      </c>
      <c r="F29" s="1114">
        <v>-2</v>
      </c>
      <c r="G29" s="1115">
        <v>2</v>
      </c>
      <c r="H29" s="1115">
        <v>8</v>
      </c>
      <c r="I29" s="1117">
        <v>1</v>
      </c>
      <c r="J29" s="1118">
        <v>0</v>
      </c>
      <c r="K29" s="1114">
        <v>12</v>
      </c>
      <c r="L29" s="1115">
        <v>9</v>
      </c>
    </row>
    <row r="30" spans="1:12" ht="15" customHeight="1" x14ac:dyDescent="0.25">
      <c r="A30" s="1197" t="s">
        <v>481</v>
      </c>
      <c r="B30" s="1996">
        <v>4</v>
      </c>
      <c r="C30" s="1115">
        <v>2</v>
      </c>
      <c r="D30" s="1115">
        <v>1</v>
      </c>
      <c r="E30" s="1117">
        <v>3</v>
      </c>
      <c r="F30" s="1114">
        <v>4</v>
      </c>
      <c r="G30" s="1115">
        <v>14</v>
      </c>
      <c r="H30" s="1115">
        <v>14</v>
      </c>
      <c r="I30" s="1117">
        <v>3</v>
      </c>
      <c r="J30" s="1118">
        <v>8</v>
      </c>
      <c r="K30" s="1114">
        <v>10</v>
      </c>
      <c r="L30" s="1115">
        <v>35</v>
      </c>
    </row>
    <row r="31" spans="1:12" ht="15" customHeight="1" x14ac:dyDescent="0.25">
      <c r="A31" s="1197" t="s">
        <v>803</v>
      </c>
      <c r="B31" s="1996">
        <v>0</v>
      </c>
      <c r="C31" s="1115">
        <v>0</v>
      </c>
      <c r="D31" s="1115">
        <v>1</v>
      </c>
      <c r="E31" s="1117">
        <v>0</v>
      </c>
      <c r="F31" s="1114">
        <v>1</v>
      </c>
      <c r="G31" s="1115">
        <v>0</v>
      </c>
      <c r="H31" s="1115">
        <v>0</v>
      </c>
      <c r="I31" s="1117">
        <v>0</v>
      </c>
      <c r="J31" s="1118">
        <v>0</v>
      </c>
      <c r="K31" s="1114">
        <v>1</v>
      </c>
      <c r="L31" s="1115">
        <v>1</v>
      </c>
    </row>
    <row r="32" spans="1:12" ht="15" customHeight="1" x14ac:dyDescent="0.25">
      <c r="A32" s="1999" t="s">
        <v>804</v>
      </c>
      <c r="B32" s="2000">
        <v>239</v>
      </c>
      <c r="C32" s="1142">
        <v>218</v>
      </c>
      <c r="D32" s="1142">
        <v>204</v>
      </c>
      <c r="E32" s="1143">
        <v>176</v>
      </c>
      <c r="F32" s="1141">
        <v>195</v>
      </c>
      <c r="G32" s="2001">
        <v>143</v>
      </c>
      <c r="H32" s="2001">
        <v>129</v>
      </c>
      <c r="I32" s="2002">
        <v>163</v>
      </c>
      <c r="J32" s="2003">
        <v>127</v>
      </c>
      <c r="K32" s="1141">
        <v>837</v>
      </c>
      <c r="L32" s="1142">
        <v>630</v>
      </c>
    </row>
    <row r="33" spans="1:12" ht="15" customHeight="1" x14ac:dyDescent="0.25">
      <c r="A33" s="1985" t="s">
        <v>831</v>
      </c>
      <c r="B33" s="1687">
        <v>1042</v>
      </c>
      <c r="C33" s="2004">
        <v>975</v>
      </c>
      <c r="D33" s="2004">
        <v>1052</v>
      </c>
      <c r="E33" s="2005">
        <v>1064</v>
      </c>
      <c r="F33" s="2006">
        <v>1043</v>
      </c>
      <c r="G33" s="2004">
        <v>970</v>
      </c>
      <c r="H33" s="2004">
        <v>975</v>
      </c>
      <c r="I33" s="2005">
        <v>942</v>
      </c>
      <c r="J33" s="2007">
        <v>802</v>
      </c>
      <c r="K33" s="2006">
        <v>4133</v>
      </c>
      <c r="L33" s="2004">
        <v>3930</v>
      </c>
    </row>
    <row r="34" spans="1:12" ht="15" customHeight="1" x14ac:dyDescent="0.25">
      <c r="A34" s="1985"/>
      <c r="B34" s="1657"/>
      <c r="C34" s="1776"/>
      <c r="D34" s="1776"/>
      <c r="E34" s="2008"/>
      <c r="F34" s="1987"/>
      <c r="G34" s="1776"/>
      <c r="H34" s="1776"/>
      <c r="I34" s="2008"/>
      <c r="J34" s="2009"/>
      <c r="K34" s="1987"/>
      <c r="L34" s="1776"/>
    </row>
    <row r="35" spans="1:12" ht="15" customHeight="1" x14ac:dyDescent="0.25">
      <c r="A35" s="1985" t="s">
        <v>832</v>
      </c>
      <c r="B35" s="1657"/>
      <c r="C35" s="1776"/>
      <c r="D35" s="1776"/>
      <c r="E35" s="2008"/>
      <c r="F35" s="1987"/>
      <c r="G35" s="1776"/>
      <c r="H35" s="1776"/>
      <c r="I35" s="2008"/>
      <c r="J35" s="2009"/>
      <c r="K35" s="1987"/>
      <c r="L35" s="1776"/>
    </row>
    <row r="36" spans="1:12" ht="15" customHeight="1" x14ac:dyDescent="0.25">
      <c r="A36" s="1904" t="s">
        <v>833</v>
      </c>
      <c r="B36" s="1996">
        <v>53</v>
      </c>
      <c r="C36" s="1115">
        <v>34</v>
      </c>
      <c r="D36" s="1115">
        <v>222</v>
      </c>
      <c r="E36" s="1117">
        <v>49</v>
      </c>
      <c r="F36" s="1114">
        <v>-39</v>
      </c>
      <c r="G36" s="1115">
        <v>20</v>
      </c>
      <c r="H36" s="1115">
        <v>6</v>
      </c>
      <c r="I36" s="1117">
        <v>-15</v>
      </c>
      <c r="J36" s="1118">
        <v>224</v>
      </c>
      <c r="K36" s="1114">
        <v>358</v>
      </c>
      <c r="L36" s="1115">
        <v>-28</v>
      </c>
    </row>
    <row r="37" spans="1:12" ht="15" customHeight="1" x14ac:dyDescent="0.25">
      <c r="A37" s="1904" t="s">
        <v>834</v>
      </c>
      <c r="B37" s="1996">
        <v>18</v>
      </c>
      <c r="C37" s="1115">
        <v>32</v>
      </c>
      <c r="D37" s="1115">
        <v>124</v>
      </c>
      <c r="E37" s="1117">
        <v>49</v>
      </c>
      <c r="F37" s="1114">
        <v>26</v>
      </c>
      <c r="G37" s="1115">
        <v>62</v>
      </c>
      <c r="H37" s="1115">
        <v>26</v>
      </c>
      <c r="I37" s="1117">
        <v>35</v>
      </c>
      <c r="J37" s="1118">
        <v>230</v>
      </c>
      <c r="K37" s="1114">
        <v>223</v>
      </c>
      <c r="L37" s="1115">
        <v>149</v>
      </c>
    </row>
    <row r="38" spans="1:12" ht="15" customHeight="1" x14ac:dyDescent="0.25">
      <c r="A38" s="1188" t="s">
        <v>835</v>
      </c>
      <c r="B38" s="1996">
        <v>71</v>
      </c>
      <c r="C38" s="1115">
        <v>66</v>
      </c>
      <c r="D38" s="1115">
        <v>346</v>
      </c>
      <c r="E38" s="1117">
        <v>98</v>
      </c>
      <c r="F38" s="1114">
        <v>-13</v>
      </c>
      <c r="G38" s="1115">
        <v>82</v>
      </c>
      <c r="H38" s="1115">
        <v>32</v>
      </c>
      <c r="I38" s="1117">
        <v>20</v>
      </c>
      <c r="J38" s="1118">
        <v>454</v>
      </c>
      <c r="K38" s="1114">
        <v>581</v>
      </c>
      <c r="L38" s="1115">
        <v>121</v>
      </c>
    </row>
    <row r="39" spans="1:12" ht="15" customHeight="1" x14ac:dyDescent="0.25">
      <c r="A39" s="1915"/>
      <c r="B39" s="2010"/>
      <c r="C39" s="2011"/>
      <c r="D39" s="2011"/>
      <c r="E39" s="2012"/>
      <c r="F39" s="2013"/>
      <c r="G39" s="2011"/>
      <c r="H39" s="2011"/>
      <c r="I39" s="2012"/>
      <c r="J39" s="2014"/>
      <c r="K39" s="2013"/>
      <c r="L39" s="2011"/>
    </row>
    <row r="40" spans="1:12" ht="15" customHeight="1" x14ac:dyDescent="0.25">
      <c r="A40" s="1686" t="s">
        <v>821</v>
      </c>
      <c r="B40" s="1687">
        <v>1113</v>
      </c>
      <c r="C40" s="2004">
        <v>1041</v>
      </c>
      <c r="D40" s="2004">
        <v>1398</v>
      </c>
      <c r="E40" s="2005">
        <v>1162</v>
      </c>
      <c r="F40" s="2006">
        <v>1030</v>
      </c>
      <c r="G40" s="2004">
        <v>1052</v>
      </c>
      <c r="H40" s="2004">
        <v>1007</v>
      </c>
      <c r="I40" s="2015">
        <v>962</v>
      </c>
      <c r="J40" s="2007">
        <v>1256</v>
      </c>
      <c r="K40" s="2006">
        <v>4714</v>
      </c>
      <c r="L40" s="2004">
        <v>4051</v>
      </c>
    </row>
    <row r="41" spans="1:12" ht="15" customHeight="1" x14ac:dyDescent="0.25">
      <c r="A41" s="2016"/>
      <c r="B41" s="1693"/>
      <c r="C41" s="1694"/>
      <c r="D41" s="1694"/>
      <c r="E41" s="1694"/>
      <c r="F41" s="1694"/>
      <c r="G41" s="2017"/>
      <c r="H41" s="2017"/>
      <c r="I41" s="2017"/>
      <c r="J41" s="2017"/>
      <c r="K41" s="2018"/>
      <c r="L41" s="2018"/>
    </row>
    <row r="42" spans="1:12" ht="14.55" customHeight="1" x14ac:dyDescent="0.25">
      <c r="A42" s="2850" t="s">
        <v>783</v>
      </c>
      <c r="B42" s="2850" t="s">
        <v>15</v>
      </c>
      <c r="C42" s="2850" t="s">
        <v>15</v>
      </c>
      <c r="D42" s="2850" t="s">
        <v>15</v>
      </c>
      <c r="E42" s="2850" t="s">
        <v>15</v>
      </c>
      <c r="F42" s="2850" t="s">
        <v>15</v>
      </c>
      <c r="G42" s="2850" t="s">
        <v>15</v>
      </c>
      <c r="H42" s="2850" t="s">
        <v>15</v>
      </c>
      <c r="I42" s="2850" t="s">
        <v>15</v>
      </c>
      <c r="J42" s="2850" t="s">
        <v>15</v>
      </c>
      <c r="K42" s="2850" t="s">
        <v>15</v>
      </c>
      <c r="L42" s="2850" t="s">
        <v>15</v>
      </c>
    </row>
    <row r="43" spans="1:12" ht="14.55" customHeight="1" x14ac:dyDescent="0.25">
      <c r="A43" s="2850" t="s">
        <v>836</v>
      </c>
      <c r="B43" s="2850" t="s">
        <v>15</v>
      </c>
      <c r="C43" s="2850" t="s">
        <v>15</v>
      </c>
      <c r="D43" s="2850" t="s">
        <v>15</v>
      </c>
      <c r="E43" s="2850" t="s">
        <v>15</v>
      </c>
      <c r="F43" s="2850" t="s">
        <v>15</v>
      </c>
      <c r="G43" s="2850" t="s">
        <v>15</v>
      </c>
      <c r="H43" s="2850" t="s">
        <v>15</v>
      </c>
      <c r="I43" s="2850" t="s">
        <v>15</v>
      </c>
      <c r="J43" s="2850" t="s">
        <v>15</v>
      </c>
      <c r="K43" s="2850" t="s">
        <v>15</v>
      </c>
      <c r="L43" s="2850" t="s">
        <v>15</v>
      </c>
    </row>
    <row r="44" spans="1:12" ht="10.35" customHeight="1" x14ac:dyDescent="0.25">
      <c r="A44" s="2869"/>
      <c r="B44" s="2869" t="s">
        <v>15</v>
      </c>
      <c r="C44" s="2869" t="s">
        <v>15</v>
      </c>
      <c r="D44" s="2869" t="s">
        <v>15</v>
      </c>
      <c r="E44" s="2869" t="s">
        <v>15</v>
      </c>
      <c r="F44" s="2869" t="s">
        <v>15</v>
      </c>
      <c r="G44" s="2869" t="s">
        <v>15</v>
      </c>
      <c r="H44" s="2869" t="s">
        <v>15</v>
      </c>
      <c r="I44" s="2869" t="s">
        <v>15</v>
      </c>
      <c r="J44" s="2869" t="s">
        <v>15</v>
      </c>
      <c r="K44" s="2869" t="s">
        <v>15</v>
      </c>
      <c r="L44" s="2869" t="s">
        <v>15</v>
      </c>
    </row>
    <row r="45" spans="1:12" ht="10.35" customHeight="1" x14ac:dyDescent="0.25">
      <c r="A45" s="2869"/>
      <c r="B45" s="2869" t="s">
        <v>15</v>
      </c>
      <c r="C45" s="2869" t="s">
        <v>15</v>
      </c>
      <c r="D45" s="2869" t="s">
        <v>15</v>
      </c>
      <c r="E45" s="2869" t="s">
        <v>15</v>
      </c>
      <c r="F45" s="2869" t="s">
        <v>15</v>
      </c>
      <c r="G45" s="2869" t="s">
        <v>15</v>
      </c>
      <c r="H45" s="2869" t="s">
        <v>15</v>
      </c>
      <c r="I45" s="2869" t="s">
        <v>15</v>
      </c>
      <c r="J45" s="2869" t="s">
        <v>15</v>
      </c>
      <c r="K45" s="2869" t="s">
        <v>15</v>
      </c>
      <c r="L45" s="1078"/>
    </row>
    <row r="46" spans="1:12" ht="10.35" customHeight="1" x14ac:dyDescent="0.25">
      <c r="A46" s="2019"/>
      <c r="B46" s="2020"/>
      <c r="C46" s="2020"/>
      <c r="D46" s="2020"/>
      <c r="E46" s="2020"/>
      <c r="F46" s="2020"/>
      <c r="G46" s="2020"/>
      <c r="H46" s="2020"/>
      <c r="I46" s="2020"/>
      <c r="J46" s="2020"/>
      <c r="K46" s="2020"/>
      <c r="L46" s="2020"/>
    </row>
  </sheetData>
  <mergeCells count="6">
    <mergeCell ref="A45:K45"/>
    <mergeCell ref="A2:L2"/>
    <mergeCell ref="K3:L3"/>
    <mergeCell ref="A42:L42"/>
    <mergeCell ref="A43:L43"/>
    <mergeCell ref="A44:L44"/>
  </mergeCells>
  <hyperlinks>
    <hyperlink ref="A1" location="ToC!A2" display="Back to Table of Contents" xr:uid="{73E02485-4CC5-4466-9D70-A0DEB72BA1D8}"/>
  </hyperlinks>
  <pageMargins left="0.5" right="0.5" top="0.5" bottom="0.5" header="0.25" footer="0.25"/>
  <pageSetup scale="76" orientation="landscape" r:id="rId1"/>
  <headerFooter>
    <oddFooter>&amp;L&amp;G&amp;C&amp;"Scotia,Regular"&amp;9Supplementary Financial Information (SFI)&amp;R24&amp;"Scotia,Regular"&amp;7</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5BC0-A4F1-47F2-8DD1-253D51D093AE}">
  <sheetPr>
    <pageSetUpPr fitToPage="1"/>
  </sheetPr>
  <dimension ref="A1:J12"/>
  <sheetViews>
    <sheetView showGridLines="0" zoomScaleNormal="100" workbookViewId="0"/>
  </sheetViews>
  <sheetFormatPr defaultColWidth="8.77734375" defaultRowHeight="13.2" x14ac:dyDescent="0.25"/>
  <cols>
    <col min="1" max="1" width="66.44140625" style="23" customWidth="1"/>
    <col min="2" max="10" width="11.77734375" style="23" customWidth="1"/>
    <col min="11" max="16384" width="8.77734375" style="23"/>
  </cols>
  <sheetData>
    <row r="1" spans="1:10" ht="19.95" customHeight="1" x14ac:dyDescent="0.25">
      <c r="A1" s="22" t="s">
        <v>12</v>
      </c>
    </row>
    <row r="2" spans="1:10" ht="25.05" customHeight="1" x14ac:dyDescent="0.25">
      <c r="A2" s="2900" t="s">
        <v>837</v>
      </c>
      <c r="B2" s="2900" t="s">
        <v>15</v>
      </c>
      <c r="C2" s="2900" t="s">
        <v>15</v>
      </c>
      <c r="D2" s="2900" t="s">
        <v>15</v>
      </c>
      <c r="E2" s="2900" t="s">
        <v>15</v>
      </c>
      <c r="F2" s="2900" t="s">
        <v>15</v>
      </c>
      <c r="G2" s="2900" t="s">
        <v>15</v>
      </c>
      <c r="H2" s="2900" t="s">
        <v>15</v>
      </c>
      <c r="I2" s="2900" t="s">
        <v>15</v>
      </c>
      <c r="J2" s="2900" t="s">
        <v>15</v>
      </c>
    </row>
    <row r="3" spans="1:10" ht="20.100000000000001" customHeight="1" x14ac:dyDescent="0.25">
      <c r="A3" s="1570"/>
      <c r="B3" s="2021"/>
      <c r="C3" s="2022"/>
      <c r="D3" s="2022"/>
      <c r="E3" s="2023"/>
      <c r="F3" s="2024"/>
      <c r="G3" s="2025"/>
      <c r="H3" s="2025"/>
      <c r="I3" s="2026"/>
      <c r="J3" s="2027"/>
    </row>
    <row r="4" spans="1:10" ht="20.100000000000001" customHeight="1" x14ac:dyDescent="0.25">
      <c r="A4" s="2028" t="s">
        <v>556</v>
      </c>
      <c r="B4" s="2029" t="s">
        <v>165</v>
      </c>
      <c r="C4" s="2030" t="s">
        <v>166</v>
      </c>
      <c r="D4" s="2030" t="s">
        <v>167</v>
      </c>
      <c r="E4" s="2031" t="s">
        <v>168</v>
      </c>
      <c r="F4" s="2032" t="s">
        <v>169</v>
      </c>
      <c r="G4" s="2033" t="s">
        <v>170</v>
      </c>
      <c r="H4" s="2030" t="s">
        <v>171</v>
      </c>
      <c r="I4" s="2034" t="s">
        <v>172</v>
      </c>
      <c r="J4" s="2035" t="s">
        <v>173</v>
      </c>
    </row>
    <row r="5" spans="1:10" ht="40.049999999999997" customHeight="1" x14ac:dyDescent="0.25">
      <c r="A5" s="2036" t="s">
        <v>838</v>
      </c>
      <c r="B5" s="2037"/>
      <c r="C5" s="2038"/>
      <c r="D5" s="2038"/>
      <c r="E5" s="2039"/>
      <c r="F5" s="2040"/>
      <c r="G5" s="2041"/>
      <c r="H5" s="2038"/>
      <c r="I5" s="2042"/>
      <c r="J5" s="2043"/>
    </row>
    <row r="6" spans="1:10" ht="30" customHeight="1" x14ac:dyDescent="0.25">
      <c r="A6" s="1582" t="s">
        <v>839</v>
      </c>
      <c r="B6" s="2044">
        <v>221</v>
      </c>
      <c r="C6" s="1529">
        <v>-426</v>
      </c>
      <c r="D6" s="1529">
        <v>15</v>
      </c>
      <c r="E6" s="2045">
        <v>-756</v>
      </c>
      <c r="F6" s="2046">
        <v>-713</v>
      </c>
      <c r="G6" s="2047">
        <v>-734</v>
      </c>
      <c r="H6" s="2047">
        <v>-2120</v>
      </c>
      <c r="I6" s="2048">
        <v>-1014</v>
      </c>
      <c r="J6" s="2049">
        <v>-2450</v>
      </c>
    </row>
    <row r="7" spans="1:10" ht="30" customHeight="1" x14ac:dyDescent="0.25">
      <c r="A7" s="1582" t="s">
        <v>840</v>
      </c>
      <c r="B7" s="2044">
        <v>155</v>
      </c>
      <c r="C7" s="1529">
        <v>26</v>
      </c>
      <c r="D7" s="1529">
        <v>56</v>
      </c>
      <c r="E7" s="2045">
        <v>-164</v>
      </c>
      <c r="F7" s="2046">
        <v>-219</v>
      </c>
      <c r="G7" s="2047">
        <v>-304</v>
      </c>
      <c r="H7" s="2047">
        <v>-587</v>
      </c>
      <c r="I7" s="2048">
        <v>-332</v>
      </c>
      <c r="J7" s="2049">
        <v>-845</v>
      </c>
    </row>
    <row r="8" spans="1:10" ht="30" customHeight="1" x14ac:dyDescent="0.25">
      <c r="A8" s="1582" t="s">
        <v>841</v>
      </c>
      <c r="B8" s="2044">
        <v>363</v>
      </c>
      <c r="C8" s="1529">
        <v>64</v>
      </c>
      <c r="D8" s="1529">
        <v>282</v>
      </c>
      <c r="E8" s="2045">
        <v>124</v>
      </c>
      <c r="F8" s="2046">
        <v>10</v>
      </c>
      <c r="G8" s="2047">
        <v>-23</v>
      </c>
      <c r="H8" s="2047">
        <v>-510</v>
      </c>
      <c r="I8" s="2048">
        <v>-209</v>
      </c>
      <c r="J8" s="2049">
        <v>-613</v>
      </c>
    </row>
    <row r="9" spans="1:10" ht="30" customHeight="1" x14ac:dyDescent="0.25">
      <c r="A9" s="1582" t="s">
        <v>842</v>
      </c>
      <c r="B9" s="2044">
        <v>220</v>
      </c>
      <c r="C9" s="1529">
        <v>203</v>
      </c>
      <c r="D9" s="1529">
        <v>154</v>
      </c>
      <c r="E9" s="2045">
        <v>106</v>
      </c>
      <c r="F9" s="2046">
        <v>641</v>
      </c>
      <c r="G9" s="2047">
        <v>503</v>
      </c>
      <c r="H9" s="2047">
        <v>378</v>
      </c>
      <c r="I9" s="2048">
        <v>475</v>
      </c>
      <c r="J9" s="2049">
        <v>217</v>
      </c>
    </row>
    <row r="10" spans="1:10" ht="40.049999999999997" customHeight="1" x14ac:dyDescent="0.25">
      <c r="A10" s="2050" t="s">
        <v>843</v>
      </c>
      <c r="B10" s="2051">
        <v>959</v>
      </c>
      <c r="C10" s="1540">
        <v>-133</v>
      </c>
      <c r="D10" s="1540">
        <v>507</v>
      </c>
      <c r="E10" s="2052">
        <v>-690</v>
      </c>
      <c r="F10" s="2053">
        <v>-281</v>
      </c>
      <c r="G10" s="2054">
        <v>-558</v>
      </c>
      <c r="H10" s="1540">
        <v>-2839</v>
      </c>
      <c r="I10" s="2055">
        <v>-1080</v>
      </c>
      <c r="J10" s="2056">
        <v>-3691</v>
      </c>
    </row>
    <row r="11" spans="1:10" ht="40.049999999999997" customHeight="1" x14ac:dyDescent="0.25">
      <c r="A11" s="1634" t="s">
        <v>844</v>
      </c>
      <c r="B11" s="2057">
        <v>-768</v>
      </c>
      <c r="C11" s="2058">
        <v>-26</v>
      </c>
      <c r="D11" s="2058">
        <v>-958</v>
      </c>
      <c r="E11" s="2059">
        <v>84</v>
      </c>
      <c r="F11" s="2060">
        <v>177</v>
      </c>
      <c r="G11" s="2061">
        <v>369</v>
      </c>
      <c r="H11" s="2061">
        <v>2185</v>
      </c>
      <c r="I11" s="2062">
        <v>799</v>
      </c>
      <c r="J11" s="2063">
        <v>2314</v>
      </c>
    </row>
    <row r="12" spans="1:10" ht="40.049999999999997" customHeight="1" x14ac:dyDescent="0.25">
      <c r="A12" s="2064" t="s">
        <v>845</v>
      </c>
      <c r="B12" s="2065">
        <v>191</v>
      </c>
      <c r="C12" s="2066">
        <v>-159</v>
      </c>
      <c r="D12" s="2066">
        <v>-451</v>
      </c>
      <c r="E12" s="2067">
        <v>-606</v>
      </c>
      <c r="F12" s="2068">
        <v>-104</v>
      </c>
      <c r="G12" s="2066">
        <v>-189</v>
      </c>
      <c r="H12" s="2066">
        <v>-654</v>
      </c>
      <c r="I12" s="2069">
        <v>-281</v>
      </c>
      <c r="J12" s="2070">
        <v>-1377</v>
      </c>
    </row>
  </sheetData>
  <mergeCells count="1">
    <mergeCell ref="A2:J2"/>
  </mergeCells>
  <hyperlinks>
    <hyperlink ref="A1" location="ToC!A2" display="Back to Table of Contents" xr:uid="{A80B500B-8120-49A1-B62D-1E5B79D7595C}"/>
  </hyperlinks>
  <pageMargins left="0.5" right="0.5" top="0.5" bottom="0.5" header="0.25" footer="0.25"/>
  <pageSetup scale="74" orientation="landscape" r:id="rId1"/>
  <headerFooter>
    <oddFooter>&amp;L&amp;G&amp;C&amp;"Scotia,Regular"&amp;9Supplementary Financial Information (SFI)&amp;R25&amp;"Scotia,Regular"&amp;7</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19FF-3674-4717-AF0F-FF2189D40207}">
  <sheetPr>
    <pageSetUpPr fitToPage="1"/>
  </sheetPr>
  <dimension ref="A1:J37"/>
  <sheetViews>
    <sheetView showGridLines="0" zoomScaleNormal="100" workbookViewId="0"/>
  </sheetViews>
  <sheetFormatPr defaultColWidth="8.77734375" defaultRowHeight="13.2" x14ac:dyDescent="0.25"/>
  <cols>
    <col min="1" max="1" width="72.77734375" style="23" customWidth="1"/>
    <col min="2" max="2" width="14.5546875" style="23" customWidth="1"/>
    <col min="3" max="10" width="13.5546875" style="23" customWidth="1"/>
    <col min="11" max="16384" width="8.77734375" style="23"/>
  </cols>
  <sheetData>
    <row r="1" spans="1:10" ht="19.95" customHeight="1" x14ac:dyDescent="0.25">
      <c r="A1" s="22" t="s">
        <v>12</v>
      </c>
    </row>
    <row r="2" spans="1:10" ht="25.05" customHeight="1" x14ac:dyDescent="0.25">
      <c r="A2" s="2873" t="s">
        <v>846</v>
      </c>
      <c r="B2" s="2873" t="s">
        <v>15</v>
      </c>
      <c r="C2" s="2873" t="s">
        <v>15</v>
      </c>
      <c r="D2" s="2873" t="s">
        <v>15</v>
      </c>
      <c r="E2" s="2873" t="s">
        <v>15</v>
      </c>
      <c r="F2" s="2873" t="s">
        <v>15</v>
      </c>
      <c r="G2" s="2873" t="s">
        <v>15</v>
      </c>
      <c r="H2" s="2873" t="s">
        <v>15</v>
      </c>
      <c r="I2" s="2873" t="s">
        <v>15</v>
      </c>
      <c r="J2" s="2873" t="s">
        <v>15</v>
      </c>
    </row>
    <row r="3" spans="1:10" ht="18.600000000000001" customHeight="1" x14ac:dyDescent="0.25">
      <c r="A3" s="2071"/>
      <c r="B3" s="2926"/>
      <c r="C3" s="2927" t="s">
        <v>15</v>
      </c>
      <c r="D3" s="2927" t="s">
        <v>15</v>
      </c>
      <c r="E3" s="2928" t="s">
        <v>15</v>
      </c>
      <c r="F3" s="2929"/>
      <c r="G3" s="2930" t="s">
        <v>15</v>
      </c>
      <c r="H3" s="2930" t="s">
        <v>15</v>
      </c>
      <c r="I3" s="2931" t="s">
        <v>15</v>
      </c>
      <c r="J3" s="2072"/>
    </row>
    <row r="4" spans="1:10" ht="20.100000000000001" customHeight="1" x14ac:dyDescent="0.25">
      <c r="A4" s="2073" t="s">
        <v>556</v>
      </c>
      <c r="B4" s="1332" t="s">
        <v>165</v>
      </c>
      <c r="C4" s="1333" t="s">
        <v>166</v>
      </c>
      <c r="D4" s="1333" t="s">
        <v>167</v>
      </c>
      <c r="E4" s="1334" t="s">
        <v>168</v>
      </c>
      <c r="F4" s="1335" t="s">
        <v>169</v>
      </c>
      <c r="G4" s="1333" t="s">
        <v>170</v>
      </c>
      <c r="H4" s="1333" t="s">
        <v>171</v>
      </c>
      <c r="I4" s="1334" t="s">
        <v>172</v>
      </c>
      <c r="J4" s="1335" t="s">
        <v>173</v>
      </c>
    </row>
    <row r="5" spans="1:10" ht="20.100000000000001" customHeight="1" x14ac:dyDescent="0.25">
      <c r="A5" s="2074" t="s">
        <v>847</v>
      </c>
      <c r="B5" s="2075">
        <v>62752</v>
      </c>
      <c r="C5" s="1128">
        <v>61591</v>
      </c>
      <c r="D5" s="2076">
        <v>60425</v>
      </c>
      <c r="E5" s="1103">
        <v>60294</v>
      </c>
      <c r="F5" s="2077">
        <v>60631</v>
      </c>
      <c r="G5" s="2076">
        <v>60432</v>
      </c>
      <c r="H5" s="2076">
        <v>59403</v>
      </c>
      <c r="I5" s="1103">
        <v>58060</v>
      </c>
      <c r="J5" s="2077">
        <v>57041</v>
      </c>
    </row>
    <row r="6" spans="1:10" ht="20.100000000000001" customHeight="1" x14ac:dyDescent="0.25">
      <c r="A6" s="2078" t="s">
        <v>848</v>
      </c>
      <c r="B6" s="1187">
        <v>72790</v>
      </c>
      <c r="C6" s="1128">
        <v>70225</v>
      </c>
      <c r="D6" s="1128">
        <v>70740</v>
      </c>
      <c r="E6" s="1113">
        <v>70592</v>
      </c>
      <c r="F6" s="1129">
        <v>69499</v>
      </c>
      <c r="G6" s="1128">
        <v>69299</v>
      </c>
      <c r="H6" s="1128">
        <v>68282</v>
      </c>
      <c r="I6" s="1113">
        <v>66952</v>
      </c>
      <c r="J6" s="1129">
        <v>65223</v>
      </c>
    </row>
    <row r="7" spans="1:10" ht="20.100000000000001" customHeight="1" x14ac:dyDescent="0.25">
      <c r="A7" s="2078" t="s">
        <v>849</v>
      </c>
      <c r="B7" s="1187">
        <v>80908</v>
      </c>
      <c r="C7" s="1128">
        <v>78208</v>
      </c>
      <c r="D7" s="1128">
        <v>78682</v>
      </c>
      <c r="E7" s="1113">
        <v>78622</v>
      </c>
      <c r="F7" s="1129">
        <v>77708</v>
      </c>
      <c r="G7" s="1128">
        <v>77411</v>
      </c>
      <c r="H7" s="1128">
        <v>76789</v>
      </c>
      <c r="I7" s="1113">
        <v>75401</v>
      </c>
      <c r="J7" s="1129">
        <v>75651</v>
      </c>
    </row>
    <row r="8" spans="1:10" ht="20.100000000000001" customHeight="1" x14ac:dyDescent="0.25">
      <c r="A8" s="2078" t="s">
        <v>850</v>
      </c>
      <c r="B8" s="1187">
        <v>138049</v>
      </c>
      <c r="C8" s="1128">
        <v>134627</v>
      </c>
      <c r="D8" s="1128">
        <v>139119</v>
      </c>
      <c r="E8" s="1113">
        <v>135010</v>
      </c>
      <c r="F8" s="1129">
        <v>137752</v>
      </c>
      <c r="G8" s="1128">
        <v>131832</v>
      </c>
      <c r="H8" s="1128">
        <v>129939</v>
      </c>
      <c r="I8" s="1113">
        <v>130445</v>
      </c>
      <c r="J8" s="1129">
        <v>134504</v>
      </c>
    </row>
    <row r="9" spans="1:10" ht="20.100000000000001" customHeight="1" x14ac:dyDescent="0.25">
      <c r="A9" s="2079"/>
      <c r="B9" s="1321"/>
      <c r="C9" s="1236"/>
      <c r="D9" s="1236"/>
      <c r="E9" s="1131"/>
      <c r="F9" s="2080"/>
      <c r="G9" s="1236"/>
      <c r="H9" s="1236"/>
      <c r="I9" s="1131"/>
      <c r="J9" s="2080"/>
    </row>
    <row r="10" spans="1:10" ht="20.100000000000001" customHeight="1" x14ac:dyDescent="0.25">
      <c r="A10" s="2078" t="s">
        <v>851</v>
      </c>
      <c r="B10" s="1321"/>
      <c r="C10" s="1236"/>
      <c r="D10" s="1236"/>
      <c r="E10" s="1131"/>
      <c r="F10" s="2080"/>
      <c r="G10" s="1236"/>
      <c r="H10" s="1236"/>
      <c r="I10" s="1131"/>
      <c r="J10" s="2080"/>
    </row>
    <row r="11" spans="1:10" ht="20.100000000000001" customHeight="1" x14ac:dyDescent="0.25">
      <c r="A11" s="1199" t="s">
        <v>852</v>
      </c>
      <c r="B11" s="1187">
        <v>474453</v>
      </c>
      <c r="C11" s="1128">
        <v>463484</v>
      </c>
      <c r="D11" s="1128">
        <v>458989</v>
      </c>
      <c r="E11" s="1113">
        <v>468124</v>
      </c>
      <c r="F11" s="1129">
        <v>463992</v>
      </c>
      <c r="G11" s="1128">
        <v>453658</v>
      </c>
      <c r="H11" s="1128">
        <v>450191</v>
      </c>
      <c r="I11" s="1113">
        <v>451018</v>
      </c>
      <c r="J11" s="1129">
        <v>440017</v>
      </c>
    </row>
    <row r="12" spans="1:10" ht="20.100000000000001" customHeight="1" x14ac:dyDescent="0.25">
      <c r="A12" s="1199"/>
      <c r="B12" s="1321"/>
      <c r="C12" s="1236"/>
      <c r="D12" s="1236"/>
      <c r="E12" s="1131"/>
      <c r="F12" s="2080"/>
      <c r="G12" s="1236"/>
      <c r="H12" s="1236"/>
      <c r="I12" s="1131"/>
      <c r="J12" s="2080"/>
    </row>
    <row r="13" spans="1:10" ht="20.100000000000001" customHeight="1" x14ac:dyDescent="0.25">
      <c r="A13" s="1198" t="s">
        <v>853</v>
      </c>
      <c r="B13" s="1321"/>
      <c r="C13" s="1236"/>
      <c r="D13" s="1236"/>
      <c r="E13" s="1131"/>
      <c r="F13" s="2080"/>
      <c r="G13" s="1236"/>
      <c r="H13" s="1236"/>
      <c r="I13" s="1131"/>
      <c r="J13" s="2080"/>
    </row>
    <row r="14" spans="1:10" ht="20.100000000000001" customHeight="1" x14ac:dyDescent="0.25">
      <c r="A14" s="1199" t="s">
        <v>854</v>
      </c>
      <c r="B14" s="2081">
        <v>13.2</v>
      </c>
      <c r="C14" s="1274">
        <v>13.3</v>
      </c>
      <c r="D14" s="1274">
        <v>13.2</v>
      </c>
      <c r="E14" s="2082">
        <v>12.9</v>
      </c>
      <c r="F14" s="2083">
        <v>13.1</v>
      </c>
      <c r="G14" s="1274">
        <v>13.3</v>
      </c>
      <c r="H14" s="1274">
        <v>13.2</v>
      </c>
      <c r="I14" s="2082">
        <v>12.9</v>
      </c>
      <c r="J14" s="2083">
        <v>13</v>
      </c>
    </row>
    <row r="15" spans="1:10" ht="20.100000000000001" customHeight="1" x14ac:dyDescent="0.25">
      <c r="A15" s="1199" t="s">
        <v>855</v>
      </c>
      <c r="B15" s="2081">
        <v>15.3</v>
      </c>
      <c r="C15" s="1274">
        <v>15.2</v>
      </c>
      <c r="D15" s="1274">
        <v>15.4</v>
      </c>
      <c r="E15" s="2082">
        <v>15.1</v>
      </c>
      <c r="F15" s="2083">
        <v>15</v>
      </c>
      <c r="G15" s="1274">
        <v>15.3</v>
      </c>
      <c r="H15" s="1274">
        <v>15.2</v>
      </c>
      <c r="I15" s="2082">
        <v>14.8</v>
      </c>
      <c r="J15" s="2083">
        <v>14.8</v>
      </c>
    </row>
    <row r="16" spans="1:10" ht="20.100000000000001" customHeight="1" x14ac:dyDescent="0.25">
      <c r="A16" s="1199" t="s">
        <v>856</v>
      </c>
      <c r="B16" s="2081">
        <v>17.100000000000001</v>
      </c>
      <c r="C16" s="1274">
        <v>16.899999999999999</v>
      </c>
      <c r="D16" s="1274">
        <v>17.100000000000001</v>
      </c>
      <c r="E16" s="2082">
        <v>16.8</v>
      </c>
      <c r="F16" s="2083">
        <v>16.7</v>
      </c>
      <c r="G16" s="1274">
        <v>17.100000000000001</v>
      </c>
      <c r="H16" s="1274">
        <v>17.100000000000001</v>
      </c>
      <c r="I16" s="2082">
        <v>16.7</v>
      </c>
      <c r="J16" s="2083">
        <v>17.2</v>
      </c>
    </row>
    <row r="17" spans="1:10" ht="20.100000000000001" customHeight="1" x14ac:dyDescent="0.25">
      <c r="A17" s="2084" t="s">
        <v>857</v>
      </c>
      <c r="B17" s="2081">
        <v>29.1</v>
      </c>
      <c r="C17" s="1274">
        <v>29</v>
      </c>
      <c r="D17" s="1274">
        <v>30.3</v>
      </c>
      <c r="E17" s="2082">
        <v>28.8</v>
      </c>
      <c r="F17" s="2083">
        <v>29.7</v>
      </c>
      <c r="G17" s="1274">
        <v>29.1</v>
      </c>
      <c r="H17" s="1274">
        <v>28.9</v>
      </c>
      <c r="I17" s="2082">
        <v>28.9</v>
      </c>
      <c r="J17" s="2083">
        <v>30.6</v>
      </c>
    </row>
    <row r="18" spans="1:10" ht="20.100000000000001" customHeight="1" x14ac:dyDescent="0.25">
      <c r="A18" s="1199"/>
      <c r="B18" s="2085"/>
      <c r="C18" s="1298"/>
      <c r="D18" s="1298"/>
      <c r="E18" s="2086"/>
      <c r="F18" s="2087"/>
      <c r="G18" s="1298"/>
      <c r="H18" s="1298"/>
      <c r="I18" s="2086"/>
      <c r="J18" s="2087"/>
    </row>
    <row r="19" spans="1:10" ht="20.100000000000001" customHeight="1" x14ac:dyDescent="0.25">
      <c r="A19" s="2078" t="s">
        <v>858</v>
      </c>
      <c r="B19" s="1321"/>
      <c r="C19" s="1236"/>
      <c r="D19" s="1236"/>
      <c r="E19" s="1131"/>
      <c r="F19" s="2080"/>
      <c r="G19" s="1236"/>
      <c r="H19" s="1236"/>
      <c r="I19" s="1131"/>
      <c r="J19" s="2080"/>
    </row>
    <row r="20" spans="1:10" ht="20.100000000000001" customHeight="1" x14ac:dyDescent="0.25">
      <c r="A20" s="1199" t="s">
        <v>859</v>
      </c>
      <c r="B20" s="1187">
        <v>1622415</v>
      </c>
      <c r="C20" s="2088">
        <v>1573879</v>
      </c>
      <c r="D20" s="1128">
        <v>1568491</v>
      </c>
      <c r="E20" s="1113">
        <v>1586812</v>
      </c>
      <c r="F20" s="1129">
        <v>1563140</v>
      </c>
      <c r="G20" s="1128">
        <v>1556455</v>
      </c>
      <c r="H20" s="1128">
        <v>1555486</v>
      </c>
      <c r="I20" s="1113">
        <v>1547503</v>
      </c>
      <c r="J20" s="1129">
        <v>1562963</v>
      </c>
    </row>
    <row r="21" spans="1:10" ht="20.100000000000001" customHeight="1" x14ac:dyDescent="0.25">
      <c r="A21" s="1199" t="s">
        <v>860</v>
      </c>
      <c r="B21" s="2089">
        <v>4.5</v>
      </c>
      <c r="C21" s="1274">
        <v>4.5</v>
      </c>
      <c r="D21" s="1274">
        <v>4.5</v>
      </c>
      <c r="E21" s="2082">
        <v>4.4000000000000004</v>
      </c>
      <c r="F21" s="2083">
        <v>4.4000000000000004</v>
      </c>
      <c r="G21" s="1274">
        <v>4.5</v>
      </c>
      <c r="H21" s="1274">
        <v>4.4000000000000004</v>
      </c>
      <c r="I21" s="2082">
        <v>4.3</v>
      </c>
      <c r="J21" s="2083">
        <v>4.2</v>
      </c>
    </row>
    <row r="22" spans="1:10" ht="20.100000000000001" customHeight="1" x14ac:dyDescent="0.25">
      <c r="A22" s="1199" t="s">
        <v>861</v>
      </c>
      <c r="B22" s="2089">
        <v>8.5</v>
      </c>
      <c r="C22" s="1274">
        <v>8.6</v>
      </c>
      <c r="D22" s="1274">
        <v>8.9</v>
      </c>
      <c r="E22" s="2082">
        <v>8.5</v>
      </c>
      <c r="F22" s="2083">
        <v>8.8000000000000007</v>
      </c>
      <c r="G22" s="1274">
        <v>8.5</v>
      </c>
      <c r="H22" s="1274">
        <v>8.4</v>
      </c>
      <c r="I22" s="2082">
        <v>8.4</v>
      </c>
      <c r="J22" s="2083">
        <v>8.6</v>
      </c>
    </row>
    <row r="23" spans="1:10" ht="20.100000000000001" customHeight="1" x14ac:dyDescent="0.25">
      <c r="A23" s="1199"/>
      <c r="B23" s="2085"/>
      <c r="C23" s="1298"/>
      <c r="D23" s="1298"/>
      <c r="E23" s="2086"/>
      <c r="F23" s="2087"/>
      <c r="G23" s="1298"/>
      <c r="H23" s="1298"/>
      <c r="I23" s="2086"/>
      <c r="J23" s="2087"/>
    </row>
    <row r="24" spans="1:10" ht="20.100000000000001" customHeight="1" x14ac:dyDescent="0.25">
      <c r="A24" s="1198" t="s">
        <v>862</v>
      </c>
      <c r="B24" s="1321"/>
      <c r="C24" s="1236"/>
      <c r="D24" s="1236"/>
      <c r="E24" s="1131"/>
      <c r="F24" s="2080"/>
      <c r="G24" s="1236"/>
      <c r="H24" s="1236"/>
      <c r="I24" s="1131"/>
      <c r="J24" s="2080"/>
    </row>
    <row r="25" spans="1:10" ht="20.100000000000001" customHeight="1" x14ac:dyDescent="0.25">
      <c r="A25" s="1199" t="s">
        <v>863</v>
      </c>
      <c r="B25" s="2081">
        <v>8</v>
      </c>
      <c r="C25" s="1274">
        <v>8</v>
      </c>
      <c r="D25" s="1274">
        <v>8</v>
      </c>
      <c r="E25" s="2082">
        <v>8</v>
      </c>
      <c r="F25" s="2083">
        <v>8</v>
      </c>
      <c r="G25" s="1274">
        <v>8</v>
      </c>
      <c r="H25" s="1274">
        <v>8</v>
      </c>
      <c r="I25" s="2082">
        <v>8</v>
      </c>
      <c r="J25" s="2083">
        <v>8</v>
      </c>
    </row>
    <row r="26" spans="1:10" ht="20.100000000000001" customHeight="1" x14ac:dyDescent="0.25">
      <c r="A26" s="1199" t="s">
        <v>864</v>
      </c>
      <c r="B26" s="2081">
        <v>9.5</v>
      </c>
      <c r="C26" s="1274">
        <v>9.5</v>
      </c>
      <c r="D26" s="1274">
        <v>9.5</v>
      </c>
      <c r="E26" s="2082">
        <v>9.5</v>
      </c>
      <c r="F26" s="2083">
        <v>9.5</v>
      </c>
      <c r="G26" s="1274">
        <v>9.5</v>
      </c>
      <c r="H26" s="1274">
        <v>9.5</v>
      </c>
      <c r="I26" s="2082">
        <v>9.5</v>
      </c>
      <c r="J26" s="2083">
        <v>9.5</v>
      </c>
    </row>
    <row r="27" spans="1:10" ht="20.100000000000001" customHeight="1" x14ac:dyDescent="0.25">
      <c r="A27" s="1199" t="s">
        <v>865</v>
      </c>
      <c r="B27" s="2081">
        <v>11.5</v>
      </c>
      <c r="C27" s="1274">
        <v>11.5</v>
      </c>
      <c r="D27" s="1274">
        <v>11.5</v>
      </c>
      <c r="E27" s="2082">
        <v>11.5</v>
      </c>
      <c r="F27" s="2083">
        <v>11.5</v>
      </c>
      <c r="G27" s="1274">
        <v>11.5</v>
      </c>
      <c r="H27" s="1274">
        <v>11.5</v>
      </c>
      <c r="I27" s="2082">
        <v>11.5</v>
      </c>
      <c r="J27" s="2083">
        <v>11.5</v>
      </c>
    </row>
    <row r="28" spans="1:10" ht="20.100000000000001" customHeight="1" x14ac:dyDescent="0.25">
      <c r="A28" s="1199" t="s">
        <v>866</v>
      </c>
      <c r="B28" s="2081">
        <v>3.5</v>
      </c>
      <c r="C28" s="1274">
        <v>3.5</v>
      </c>
      <c r="D28" s="1274">
        <v>3.5</v>
      </c>
      <c r="E28" s="2082">
        <v>3.5</v>
      </c>
      <c r="F28" s="2083">
        <v>3.5</v>
      </c>
      <c r="G28" s="1274">
        <v>3.5</v>
      </c>
      <c r="H28" s="1274">
        <v>3.5</v>
      </c>
      <c r="I28" s="2082">
        <v>3.5</v>
      </c>
      <c r="J28" s="2083">
        <v>3.5</v>
      </c>
    </row>
    <row r="29" spans="1:10" ht="20.100000000000001" customHeight="1" x14ac:dyDescent="0.25">
      <c r="A29" s="1199" t="s">
        <v>867</v>
      </c>
      <c r="B29" s="2081">
        <v>21.5</v>
      </c>
      <c r="C29" s="1274">
        <v>21.5</v>
      </c>
      <c r="D29" s="1274">
        <v>21.5</v>
      </c>
      <c r="E29" s="2082">
        <v>21.5</v>
      </c>
      <c r="F29" s="2083">
        <v>21.5</v>
      </c>
      <c r="G29" s="1274">
        <v>21.5</v>
      </c>
      <c r="H29" s="1274">
        <v>21.5</v>
      </c>
      <c r="I29" s="2082">
        <v>21.5</v>
      </c>
      <c r="J29" s="2083">
        <v>21.5</v>
      </c>
    </row>
    <row r="30" spans="1:10" ht="20.100000000000001" customHeight="1" x14ac:dyDescent="0.25">
      <c r="A30" s="1199" t="s">
        <v>868</v>
      </c>
      <c r="B30" s="2090">
        <v>7.25</v>
      </c>
      <c r="C30" s="2091">
        <v>7.25</v>
      </c>
      <c r="D30" s="2091">
        <v>7.25</v>
      </c>
      <c r="E30" s="2092">
        <v>7.25</v>
      </c>
      <c r="F30" s="2093">
        <v>7.25</v>
      </c>
      <c r="G30" s="2091">
        <v>7.25</v>
      </c>
      <c r="H30" s="2091">
        <v>7.25</v>
      </c>
      <c r="I30" s="2092">
        <v>7.25</v>
      </c>
      <c r="J30" s="2093">
        <v>7.25</v>
      </c>
    </row>
    <row r="31" spans="1:10" ht="20.100000000000001" customHeight="1" x14ac:dyDescent="0.25">
      <c r="A31" s="2094"/>
      <c r="B31" s="1202"/>
      <c r="C31" s="1139"/>
      <c r="D31" s="1139"/>
      <c r="E31" s="1140"/>
      <c r="F31" s="1173"/>
      <c r="G31" s="1139"/>
      <c r="H31" s="1139"/>
      <c r="I31" s="1140"/>
      <c r="J31" s="1173"/>
    </row>
    <row r="32" spans="1:10" ht="20.100000000000001" customHeight="1" x14ac:dyDescent="0.25">
      <c r="A32" s="2095"/>
      <c r="B32" s="2096"/>
      <c r="C32" s="2096"/>
      <c r="D32" s="2096"/>
      <c r="E32" s="2096"/>
      <c r="F32" s="2096"/>
      <c r="G32" s="2096"/>
      <c r="H32" s="2096"/>
      <c r="I32" s="2096"/>
      <c r="J32" s="2096"/>
    </row>
    <row r="33" spans="1:10" ht="24" customHeight="1" x14ac:dyDescent="0.25">
      <c r="A33" s="2861" t="s">
        <v>869</v>
      </c>
      <c r="B33" s="2861" t="s">
        <v>15</v>
      </c>
      <c r="C33" s="2861" t="s">
        <v>15</v>
      </c>
      <c r="D33" s="2861" t="s">
        <v>15</v>
      </c>
      <c r="E33" s="2861" t="s">
        <v>15</v>
      </c>
      <c r="F33" s="2861" t="s">
        <v>15</v>
      </c>
      <c r="G33" s="2861" t="s">
        <v>15</v>
      </c>
      <c r="H33" s="2861" t="s">
        <v>15</v>
      </c>
      <c r="I33" s="2861" t="s">
        <v>15</v>
      </c>
      <c r="J33" s="2861" t="s">
        <v>15</v>
      </c>
    </row>
    <row r="34" spans="1:10" ht="13.5" customHeight="1" x14ac:dyDescent="0.25">
      <c r="A34" s="2850" t="s">
        <v>870</v>
      </c>
      <c r="B34" s="2850" t="s">
        <v>15</v>
      </c>
      <c r="C34" s="2850" t="s">
        <v>15</v>
      </c>
      <c r="D34" s="2850" t="s">
        <v>15</v>
      </c>
      <c r="E34" s="2850" t="s">
        <v>15</v>
      </c>
      <c r="F34" s="2850" t="s">
        <v>15</v>
      </c>
      <c r="G34" s="2850" t="s">
        <v>15</v>
      </c>
      <c r="H34" s="2850" t="s">
        <v>15</v>
      </c>
      <c r="I34" s="2850" t="s">
        <v>15</v>
      </c>
      <c r="J34" s="2850" t="s">
        <v>15</v>
      </c>
    </row>
    <row r="35" spans="1:10" ht="35.549999999999997" customHeight="1" x14ac:dyDescent="0.25">
      <c r="A35" s="2861" t="s">
        <v>871</v>
      </c>
      <c r="B35" s="2861" t="s">
        <v>15</v>
      </c>
      <c r="C35" s="2861" t="s">
        <v>15</v>
      </c>
      <c r="D35" s="2861" t="s">
        <v>15</v>
      </c>
      <c r="E35" s="2861" t="s">
        <v>15</v>
      </c>
      <c r="F35" s="2861" t="s">
        <v>15</v>
      </c>
      <c r="G35" s="2861" t="s">
        <v>15</v>
      </c>
      <c r="H35" s="2861" t="s">
        <v>15</v>
      </c>
      <c r="I35" s="2861" t="s">
        <v>15</v>
      </c>
      <c r="J35" s="2861" t="s">
        <v>15</v>
      </c>
    </row>
    <row r="36" spans="1:10" ht="18" customHeight="1" x14ac:dyDescent="0.25">
      <c r="A36" s="2861" t="s">
        <v>872</v>
      </c>
      <c r="B36" s="2861" t="s">
        <v>15</v>
      </c>
      <c r="C36" s="2861" t="s">
        <v>15</v>
      </c>
      <c r="D36" s="2861" t="s">
        <v>15</v>
      </c>
      <c r="E36" s="2861" t="s">
        <v>15</v>
      </c>
      <c r="F36" s="2861" t="s">
        <v>15</v>
      </c>
      <c r="G36" s="2861" t="s">
        <v>15</v>
      </c>
      <c r="H36" s="2861" t="s">
        <v>15</v>
      </c>
      <c r="I36" s="2861" t="s">
        <v>15</v>
      </c>
      <c r="J36" s="2861" t="s">
        <v>15</v>
      </c>
    </row>
    <row r="37" spans="1:10" ht="12" customHeight="1" x14ac:dyDescent="0.25">
      <c r="A37" s="2850"/>
      <c r="B37" s="2850" t="s">
        <v>15</v>
      </c>
      <c r="C37" s="2850" t="s">
        <v>15</v>
      </c>
      <c r="D37" s="2850" t="s">
        <v>15</v>
      </c>
      <c r="E37" s="2850" t="s">
        <v>15</v>
      </c>
      <c r="F37" s="2850" t="s">
        <v>15</v>
      </c>
      <c r="G37" s="2850" t="s">
        <v>15</v>
      </c>
      <c r="H37" s="2850" t="s">
        <v>15</v>
      </c>
      <c r="I37" s="2850" t="s">
        <v>15</v>
      </c>
      <c r="J37" s="2850" t="s">
        <v>15</v>
      </c>
    </row>
  </sheetData>
  <mergeCells count="8">
    <mergeCell ref="A36:J36"/>
    <mergeCell ref="A37:J37"/>
    <mergeCell ref="A2:J2"/>
    <mergeCell ref="B3:E3"/>
    <mergeCell ref="F3:I3"/>
    <mergeCell ref="A33:J33"/>
    <mergeCell ref="A34:J34"/>
    <mergeCell ref="A35:J35"/>
  </mergeCells>
  <hyperlinks>
    <hyperlink ref="A1" location="ToC!A2" display="Back to Table of Contents" xr:uid="{9A74CC57-C7E1-4B9F-B347-976E9C889D1B}"/>
  </hyperlinks>
  <pageMargins left="0.5" right="0.5" top="0.5" bottom="0.5" header="0.25" footer="0.25"/>
  <pageSetup scale="65" orientation="landscape" r:id="rId1"/>
  <headerFooter>
    <oddFooter>&amp;L&amp;G&amp;C&amp;"Scotia,Regular"&amp;9Supplementary Financial Information (SFI)&amp;R26&amp;"Scotia,Regular"&amp;7</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B519-566F-4ADC-908F-8D941A3AB224}">
  <sheetPr>
    <pageSetUpPr fitToPage="1"/>
  </sheetPr>
  <dimension ref="A1:L44"/>
  <sheetViews>
    <sheetView showGridLines="0" zoomScaleNormal="100" workbookViewId="0"/>
  </sheetViews>
  <sheetFormatPr defaultColWidth="8.77734375" defaultRowHeight="13.2" x14ac:dyDescent="0.25"/>
  <cols>
    <col min="1" max="1" width="65.21875" style="23" customWidth="1"/>
    <col min="2" max="12" width="11.77734375" style="23" customWidth="1"/>
    <col min="13" max="16384" width="8.77734375" style="23"/>
  </cols>
  <sheetData>
    <row r="1" spans="1:12" ht="19.95" customHeight="1" x14ac:dyDescent="0.25">
      <c r="A1" s="22" t="s">
        <v>12</v>
      </c>
    </row>
    <row r="2" spans="1:12" ht="25.35" customHeight="1" x14ac:dyDescent="0.25">
      <c r="A2" s="2873" t="s">
        <v>873</v>
      </c>
      <c r="B2" s="2873" t="s">
        <v>15</v>
      </c>
      <c r="C2" s="2873" t="s">
        <v>15</v>
      </c>
      <c r="D2" s="2873" t="s">
        <v>15</v>
      </c>
      <c r="E2" s="2873" t="s">
        <v>15</v>
      </c>
      <c r="F2" s="2873" t="s">
        <v>15</v>
      </c>
      <c r="G2" s="2873" t="s">
        <v>15</v>
      </c>
      <c r="H2" s="2873" t="s">
        <v>15</v>
      </c>
      <c r="I2" s="2873" t="s">
        <v>15</v>
      </c>
      <c r="J2" s="2873" t="s">
        <v>15</v>
      </c>
      <c r="K2" s="2873" t="s">
        <v>15</v>
      </c>
      <c r="L2" s="2873" t="s">
        <v>15</v>
      </c>
    </row>
    <row r="3" spans="1:12" ht="15" customHeight="1" x14ac:dyDescent="0.25">
      <c r="A3" s="2097"/>
      <c r="B3" s="2933"/>
      <c r="C3" s="2934"/>
      <c r="D3" s="2934"/>
      <c r="E3" s="2935"/>
      <c r="F3" s="2936"/>
      <c r="G3" s="2937"/>
      <c r="H3" s="2937"/>
      <c r="I3" s="2938"/>
      <c r="J3" s="2098"/>
      <c r="K3" s="2939" t="s">
        <v>163</v>
      </c>
      <c r="L3" s="2872" t="s">
        <v>15</v>
      </c>
    </row>
    <row r="4" spans="1:12" ht="15" customHeight="1" x14ac:dyDescent="0.25">
      <c r="A4" s="1176" t="s">
        <v>265</v>
      </c>
      <c r="B4" s="1511" t="s">
        <v>165</v>
      </c>
      <c r="C4" s="1093" t="s">
        <v>166</v>
      </c>
      <c r="D4" s="1093" t="s">
        <v>167</v>
      </c>
      <c r="E4" s="1512" t="s">
        <v>168</v>
      </c>
      <c r="F4" s="1513" t="s">
        <v>169</v>
      </c>
      <c r="G4" s="1093" t="s">
        <v>170</v>
      </c>
      <c r="H4" s="1093" t="s">
        <v>171</v>
      </c>
      <c r="I4" s="1512" t="s">
        <v>172</v>
      </c>
      <c r="J4" s="2099" t="s">
        <v>173</v>
      </c>
      <c r="K4" s="2100">
        <v>2025</v>
      </c>
      <c r="L4" s="2101">
        <v>2024</v>
      </c>
    </row>
    <row r="5" spans="1:12" ht="15" customHeight="1" x14ac:dyDescent="0.3">
      <c r="A5" s="1337" t="s">
        <v>874</v>
      </c>
      <c r="B5" s="2102"/>
      <c r="C5" s="2103"/>
      <c r="D5" s="2104"/>
      <c r="E5" s="2105"/>
      <c r="F5" s="2102"/>
      <c r="G5" s="2103"/>
      <c r="H5" s="2103"/>
      <c r="I5" s="2106"/>
      <c r="J5" s="2107"/>
      <c r="K5" s="2108"/>
      <c r="L5" s="2109"/>
    </row>
    <row r="6" spans="1:12" ht="15" customHeight="1" x14ac:dyDescent="0.3">
      <c r="A6" s="2110" t="s">
        <v>875</v>
      </c>
      <c r="B6" s="2111"/>
      <c r="C6" s="2112"/>
      <c r="D6" s="2113"/>
      <c r="E6" s="2114"/>
      <c r="F6" s="2115"/>
      <c r="G6" s="2113"/>
      <c r="H6" s="2113"/>
      <c r="I6" s="2114"/>
      <c r="J6" s="2116"/>
      <c r="K6" s="2117"/>
      <c r="L6" s="2118"/>
    </row>
    <row r="7" spans="1:12" ht="15" customHeight="1" x14ac:dyDescent="0.25">
      <c r="A7" s="1904" t="s">
        <v>409</v>
      </c>
      <c r="B7" s="2119">
        <v>755</v>
      </c>
      <c r="C7" s="2120">
        <v>690</v>
      </c>
      <c r="D7" s="2120">
        <v>723</v>
      </c>
      <c r="E7" s="2121">
        <v>741</v>
      </c>
      <c r="F7" s="2122">
        <v>693</v>
      </c>
      <c r="G7" s="2120">
        <v>716</v>
      </c>
      <c r="H7" s="2120">
        <v>656</v>
      </c>
      <c r="I7" s="2121">
        <v>688</v>
      </c>
      <c r="J7" s="2123">
        <v>728</v>
      </c>
      <c r="K7" s="2122">
        <v>2909</v>
      </c>
      <c r="L7" s="2120">
        <v>2753</v>
      </c>
    </row>
    <row r="8" spans="1:12" ht="15" customHeight="1" x14ac:dyDescent="0.25">
      <c r="A8" s="1904" t="s">
        <v>410</v>
      </c>
      <c r="B8" s="2119">
        <v>829</v>
      </c>
      <c r="C8" s="2120">
        <v>840</v>
      </c>
      <c r="D8" s="2120">
        <v>735</v>
      </c>
      <c r="E8" s="2121">
        <v>853</v>
      </c>
      <c r="F8" s="2122">
        <v>579</v>
      </c>
      <c r="G8" s="2120">
        <v>548</v>
      </c>
      <c r="H8" s="2120">
        <v>576</v>
      </c>
      <c r="I8" s="2121">
        <v>605</v>
      </c>
      <c r="J8" s="2123">
        <v>539</v>
      </c>
      <c r="K8" s="2122">
        <v>3257</v>
      </c>
      <c r="L8" s="2120">
        <v>2308</v>
      </c>
    </row>
    <row r="9" spans="1:12" ht="15" customHeight="1" x14ac:dyDescent="0.25">
      <c r="A9" s="1188" t="s">
        <v>876</v>
      </c>
      <c r="B9" s="2119">
        <v>1584</v>
      </c>
      <c r="C9" s="2120">
        <v>1530</v>
      </c>
      <c r="D9" s="2120">
        <v>1458</v>
      </c>
      <c r="E9" s="2121">
        <v>1594</v>
      </c>
      <c r="F9" s="2122">
        <v>1272</v>
      </c>
      <c r="G9" s="2120">
        <v>1264</v>
      </c>
      <c r="H9" s="2120">
        <v>1232</v>
      </c>
      <c r="I9" s="2121">
        <v>1293</v>
      </c>
      <c r="J9" s="2123">
        <v>1267</v>
      </c>
      <c r="K9" s="2122">
        <v>6166</v>
      </c>
      <c r="L9" s="2120">
        <v>5061</v>
      </c>
    </row>
    <row r="10" spans="1:12" ht="15" customHeight="1" x14ac:dyDescent="0.25">
      <c r="A10" s="1199" t="s">
        <v>877</v>
      </c>
      <c r="B10" s="2119">
        <v>519</v>
      </c>
      <c r="C10" s="2120">
        <v>473</v>
      </c>
      <c r="D10" s="2120">
        <v>412</v>
      </c>
      <c r="E10" s="2121">
        <v>517</v>
      </c>
      <c r="F10" s="2122">
        <v>347</v>
      </c>
      <c r="G10" s="2120">
        <v>368</v>
      </c>
      <c r="H10" s="2120">
        <v>375</v>
      </c>
      <c r="I10" s="2121">
        <v>388</v>
      </c>
      <c r="J10" s="2123">
        <v>364</v>
      </c>
      <c r="K10" s="2122">
        <v>1921</v>
      </c>
      <c r="L10" s="2120">
        <v>1478</v>
      </c>
    </row>
    <row r="11" spans="1:12" ht="15" customHeight="1" x14ac:dyDescent="0.3">
      <c r="A11" s="1199" t="s">
        <v>878</v>
      </c>
      <c r="B11" s="2124">
        <v>0</v>
      </c>
      <c r="C11" s="2125">
        <v>0</v>
      </c>
      <c r="D11" s="2125">
        <v>-1</v>
      </c>
      <c r="E11" s="2126">
        <v>0</v>
      </c>
      <c r="F11" s="2127">
        <v>0</v>
      </c>
      <c r="G11" s="2128">
        <v>0</v>
      </c>
      <c r="H11" s="2128">
        <v>0</v>
      </c>
      <c r="I11" s="2129">
        <v>0</v>
      </c>
      <c r="J11" s="2130">
        <v>0</v>
      </c>
      <c r="K11" s="2131">
        <v>-1</v>
      </c>
      <c r="L11" s="2132">
        <v>0</v>
      </c>
    </row>
    <row r="12" spans="1:12" ht="15" customHeight="1" x14ac:dyDescent="0.25">
      <c r="A12" s="1188" t="s">
        <v>879</v>
      </c>
      <c r="B12" s="2119">
        <v>519</v>
      </c>
      <c r="C12" s="2120">
        <v>473</v>
      </c>
      <c r="D12" s="2120">
        <v>413</v>
      </c>
      <c r="E12" s="2121">
        <v>517</v>
      </c>
      <c r="F12" s="2122">
        <v>347</v>
      </c>
      <c r="G12" s="2120">
        <v>368</v>
      </c>
      <c r="H12" s="2120">
        <v>375</v>
      </c>
      <c r="I12" s="2121">
        <v>388</v>
      </c>
      <c r="J12" s="2123">
        <v>364</v>
      </c>
      <c r="K12" s="2122">
        <v>1922</v>
      </c>
      <c r="L12" s="2120">
        <v>1478</v>
      </c>
    </row>
    <row r="13" spans="1:12" ht="15" customHeight="1" x14ac:dyDescent="0.3">
      <c r="A13" s="1337" t="s">
        <v>880</v>
      </c>
      <c r="B13" s="2133"/>
      <c r="C13" s="2134"/>
      <c r="D13" s="2134"/>
      <c r="E13" s="2135"/>
      <c r="F13" s="2102"/>
      <c r="G13" s="2103"/>
      <c r="H13" s="2103"/>
      <c r="I13" s="2106"/>
      <c r="J13" s="2107"/>
      <c r="K13" s="2136"/>
      <c r="L13" s="2109"/>
    </row>
    <row r="14" spans="1:12" ht="15" customHeight="1" x14ac:dyDescent="0.3">
      <c r="A14" s="1199" t="s">
        <v>881</v>
      </c>
      <c r="B14" s="2137">
        <v>531.1</v>
      </c>
      <c r="C14" s="2138">
        <v>493.2</v>
      </c>
      <c r="D14" s="2138">
        <v>501.6</v>
      </c>
      <c r="E14" s="2139">
        <v>510.9</v>
      </c>
      <c r="F14" s="2140">
        <v>486</v>
      </c>
      <c r="G14" s="2141">
        <v>492.7</v>
      </c>
      <c r="H14" s="2141">
        <v>494.2</v>
      </c>
      <c r="I14" s="2142">
        <v>505.5</v>
      </c>
      <c r="J14" s="2143">
        <v>499.8</v>
      </c>
      <c r="K14" s="2144">
        <v>509.3</v>
      </c>
      <c r="L14" s="2145">
        <v>494.6</v>
      </c>
    </row>
    <row r="15" spans="1:12" ht="15" customHeight="1" x14ac:dyDescent="0.3">
      <c r="A15" s="1199" t="s">
        <v>882</v>
      </c>
      <c r="B15" s="2137">
        <v>540.79999999999995</v>
      </c>
      <c r="C15" s="2138">
        <v>513.20000000000005</v>
      </c>
      <c r="D15" s="2138">
        <v>516</v>
      </c>
      <c r="E15" s="2139">
        <v>510.6</v>
      </c>
      <c r="F15" s="2140">
        <v>478.3</v>
      </c>
      <c r="G15" s="2141">
        <v>475.8</v>
      </c>
      <c r="H15" s="2141">
        <v>470.3</v>
      </c>
      <c r="I15" s="2142">
        <v>476.4</v>
      </c>
      <c r="J15" s="2143">
        <v>470.5</v>
      </c>
      <c r="K15" s="2144">
        <v>520.20000000000005</v>
      </c>
      <c r="L15" s="2145">
        <v>475.2</v>
      </c>
    </row>
    <row r="16" spans="1:12" ht="15" customHeight="1" x14ac:dyDescent="0.3">
      <c r="A16" s="2094"/>
      <c r="B16" s="2146"/>
      <c r="C16" s="2147"/>
      <c r="D16" s="2147"/>
      <c r="E16" s="2148"/>
      <c r="F16" s="2149"/>
      <c r="G16" s="2150"/>
      <c r="H16" s="2150"/>
      <c r="I16" s="2151"/>
      <c r="J16" s="2152"/>
      <c r="K16" s="2153"/>
      <c r="L16" s="2154"/>
    </row>
    <row r="17" spans="1:12" ht="15" customHeight="1" x14ac:dyDescent="0.3">
      <c r="A17" s="1337" t="s">
        <v>883</v>
      </c>
      <c r="B17" s="2155"/>
      <c r="C17" s="2156"/>
      <c r="D17" s="2156"/>
      <c r="E17" s="2157"/>
      <c r="F17" s="2158"/>
      <c r="G17" s="2159"/>
      <c r="H17" s="2159"/>
      <c r="I17" s="2160"/>
      <c r="J17" s="2161"/>
      <c r="K17" s="2162"/>
      <c r="L17" s="2163"/>
    </row>
    <row r="18" spans="1:12" ht="15" customHeight="1" x14ac:dyDescent="0.3">
      <c r="A18" s="2110" t="s">
        <v>884</v>
      </c>
      <c r="B18" s="2164"/>
      <c r="C18" s="2165"/>
      <c r="D18" s="2165"/>
      <c r="E18" s="2166"/>
      <c r="F18" s="2115"/>
      <c r="G18" s="2113"/>
      <c r="H18" s="2113"/>
      <c r="I18" s="2114"/>
      <c r="J18" s="2117"/>
      <c r="K18" s="2167"/>
      <c r="L18" s="2118"/>
    </row>
    <row r="19" spans="1:12" ht="15" customHeight="1" x14ac:dyDescent="0.3">
      <c r="A19" s="1904" t="s">
        <v>409</v>
      </c>
      <c r="B19" s="2124">
        <v>422</v>
      </c>
      <c r="C19" s="2125">
        <v>450</v>
      </c>
      <c r="D19" s="2125">
        <v>416</v>
      </c>
      <c r="E19" s="2126">
        <v>426</v>
      </c>
      <c r="F19" s="2127">
        <v>392</v>
      </c>
      <c r="G19" s="2128">
        <v>428</v>
      </c>
      <c r="H19" s="2128">
        <v>443</v>
      </c>
      <c r="I19" s="2129">
        <v>456</v>
      </c>
      <c r="J19" s="2130">
        <v>378</v>
      </c>
      <c r="K19" s="2131">
        <v>1714</v>
      </c>
      <c r="L19" s="2132">
        <v>1719</v>
      </c>
    </row>
    <row r="20" spans="1:12" ht="15" customHeight="1" x14ac:dyDescent="0.3">
      <c r="A20" s="1904" t="s">
        <v>410</v>
      </c>
      <c r="B20" s="2124">
        <v>219</v>
      </c>
      <c r="C20" s="2125">
        <v>191</v>
      </c>
      <c r="D20" s="2125">
        <v>229</v>
      </c>
      <c r="E20" s="2126">
        <v>226</v>
      </c>
      <c r="F20" s="2127">
        <v>157</v>
      </c>
      <c r="G20" s="2128">
        <v>183</v>
      </c>
      <c r="H20" s="2128">
        <v>174</v>
      </c>
      <c r="I20" s="2129">
        <v>256</v>
      </c>
      <c r="J20" s="2130">
        <v>152</v>
      </c>
      <c r="K20" s="2131">
        <v>865</v>
      </c>
      <c r="L20" s="2132">
        <v>770</v>
      </c>
    </row>
    <row r="21" spans="1:12" ht="15" customHeight="1" x14ac:dyDescent="0.3">
      <c r="A21" s="1188" t="s">
        <v>296</v>
      </c>
      <c r="B21" s="2124">
        <v>641</v>
      </c>
      <c r="C21" s="2125">
        <v>641</v>
      </c>
      <c r="D21" s="2125">
        <v>645</v>
      </c>
      <c r="E21" s="2126">
        <v>652</v>
      </c>
      <c r="F21" s="2127">
        <v>549</v>
      </c>
      <c r="G21" s="2128">
        <v>611</v>
      </c>
      <c r="H21" s="2128">
        <v>617</v>
      </c>
      <c r="I21" s="2129">
        <v>712</v>
      </c>
      <c r="J21" s="2130">
        <v>530</v>
      </c>
      <c r="K21" s="2168">
        <v>2579</v>
      </c>
      <c r="L21" s="2132">
        <v>2489</v>
      </c>
    </row>
    <row r="22" spans="1:12" ht="15" customHeight="1" x14ac:dyDescent="0.3">
      <c r="A22" s="1188" t="s">
        <v>885</v>
      </c>
      <c r="B22" s="2124">
        <v>307</v>
      </c>
      <c r="C22" s="2125">
        <v>326</v>
      </c>
      <c r="D22" s="2125">
        <v>315</v>
      </c>
      <c r="E22" s="2126">
        <v>341</v>
      </c>
      <c r="F22" s="2127">
        <v>257</v>
      </c>
      <c r="G22" s="2128">
        <v>294</v>
      </c>
      <c r="H22" s="2128">
        <v>292</v>
      </c>
      <c r="I22" s="2129">
        <v>382</v>
      </c>
      <c r="J22" s="2130">
        <v>240</v>
      </c>
      <c r="K22" s="2168">
        <v>1289</v>
      </c>
      <c r="L22" s="2132">
        <v>1225</v>
      </c>
    </row>
    <row r="23" spans="1:12" ht="15" customHeight="1" x14ac:dyDescent="0.3">
      <c r="A23" s="1199" t="s">
        <v>886</v>
      </c>
      <c r="B23" s="2124">
        <v>12</v>
      </c>
      <c r="C23" s="2125">
        <v>13</v>
      </c>
      <c r="D23" s="2125">
        <v>12</v>
      </c>
      <c r="E23" s="2126">
        <v>11</v>
      </c>
      <c r="F23" s="2127">
        <v>10</v>
      </c>
      <c r="G23" s="2128">
        <v>11</v>
      </c>
      <c r="H23" s="2128">
        <v>11</v>
      </c>
      <c r="I23" s="2129">
        <v>13</v>
      </c>
      <c r="J23" s="2130">
        <v>3</v>
      </c>
      <c r="K23" s="2168">
        <v>48</v>
      </c>
      <c r="L23" s="2132">
        <v>45</v>
      </c>
    </row>
    <row r="24" spans="1:12" ht="15" customHeight="1" x14ac:dyDescent="0.3">
      <c r="A24" s="1188" t="s">
        <v>887</v>
      </c>
      <c r="B24" s="2124">
        <v>295</v>
      </c>
      <c r="C24" s="2125">
        <v>313</v>
      </c>
      <c r="D24" s="2125">
        <v>303</v>
      </c>
      <c r="E24" s="2126">
        <v>330</v>
      </c>
      <c r="F24" s="2127">
        <v>247</v>
      </c>
      <c r="G24" s="2128">
        <v>283</v>
      </c>
      <c r="H24" s="2128">
        <v>281</v>
      </c>
      <c r="I24" s="2129">
        <v>369</v>
      </c>
      <c r="J24" s="2130">
        <v>237</v>
      </c>
      <c r="K24" s="2168">
        <v>1241</v>
      </c>
      <c r="L24" s="2132">
        <v>1180</v>
      </c>
    </row>
    <row r="25" spans="1:12" ht="15" customHeight="1" x14ac:dyDescent="0.3">
      <c r="A25" s="1337" t="s">
        <v>880</v>
      </c>
      <c r="B25" s="2133"/>
      <c r="C25" s="2134"/>
      <c r="D25" s="2134"/>
      <c r="E25" s="2135"/>
      <c r="F25" s="2102"/>
      <c r="G25" s="2103"/>
      <c r="H25" s="2103"/>
      <c r="I25" s="2106"/>
      <c r="J25" s="2107"/>
      <c r="K25" s="2136"/>
      <c r="L25" s="2109"/>
    </row>
    <row r="26" spans="1:12" ht="15" customHeight="1" x14ac:dyDescent="0.3">
      <c r="A26" s="1199" t="s">
        <v>881</v>
      </c>
      <c r="B26" s="2137">
        <v>64.599999999999994</v>
      </c>
      <c r="C26" s="2138">
        <v>64.8</v>
      </c>
      <c r="D26" s="2138">
        <v>66</v>
      </c>
      <c r="E26" s="2139">
        <v>66.5</v>
      </c>
      <c r="F26" s="2140">
        <v>66</v>
      </c>
      <c r="G26" s="2141">
        <v>69.900000000000006</v>
      </c>
      <c r="H26" s="2141">
        <v>71.3</v>
      </c>
      <c r="I26" s="2142">
        <v>73.099999999999994</v>
      </c>
      <c r="J26" s="2143">
        <v>75.3</v>
      </c>
      <c r="K26" s="2169">
        <v>65.5</v>
      </c>
      <c r="L26" s="2170">
        <v>70.099999999999994</v>
      </c>
    </row>
    <row r="27" spans="1:12" ht="15" customHeight="1" x14ac:dyDescent="0.3">
      <c r="A27" s="1199" t="s">
        <v>882</v>
      </c>
      <c r="B27" s="2137">
        <v>51.5</v>
      </c>
      <c r="C27" s="2138">
        <v>50.5</v>
      </c>
      <c r="D27" s="2138">
        <v>49.7</v>
      </c>
      <c r="E27" s="2139">
        <v>50.5</v>
      </c>
      <c r="F27" s="2140">
        <v>49.7</v>
      </c>
      <c r="G27" s="2141">
        <v>55.8</v>
      </c>
      <c r="H27" s="2141">
        <v>59.4</v>
      </c>
      <c r="I27" s="2142">
        <v>57</v>
      </c>
      <c r="J27" s="2143">
        <v>61.2</v>
      </c>
      <c r="K27" s="2169">
        <v>50.6</v>
      </c>
      <c r="L27" s="2170">
        <v>55.5</v>
      </c>
    </row>
    <row r="28" spans="1:12" ht="15" customHeight="1" x14ac:dyDescent="0.3">
      <c r="A28" s="2094"/>
      <c r="B28" s="2146"/>
      <c r="C28" s="2147"/>
      <c r="D28" s="2147"/>
      <c r="E28" s="2148"/>
      <c r="F28" s="2171"/>
      <c r="G28" s="2150"/>
      <c r="H28" s="2150"/>
      <c r="I28" s="2151"/>
      <c r="J28" s="2152"/>
      <c r="K28" s="2172"/>
      <c r="L28" s="2173"/>
    </row>
    <row r="29" spans="1:12" ht="15" customHeight="1" x14ac:dyDescent="0.3">
      <c r="A29" s="2174" t="s">
        <v>888</v>
      </c>
      <c r="B29" s="2155"/>
      <c r="C29" s="2156"/>
      <c r="D29" s="2156"/>
      <c r="E29" s="2157"/>
      <c r="F29" s="2158"/>
      <c r="G29" s="2159"/>
      <c r="H29" s="2159"/>
      <c r="I29" s="2160"/>
      <c r="J29" s="2161"/>
      <c r="K29" s="2162"/>
      <c r="L29" s="2163"/>
    </row>
    <row r="30" spans="1:12" ht="15" customHeight="1" x14ac:dyDescent="0.3">
      <c r="A30" s="2110" t="s">
        <v>884</v>
      </c>
      <c r="B30" s="2164"/>
      <c r="C30" s="2165"/>
      <c r="D30" s="2165"/>
      <c r="E30" s="2166"/>
      <c r="F30" s="2115"/>
      <c r="G30" s="2113"/>
      <c r="H30" s="2113"/>
      <c r="I30" s="2114"/>
      <c r="J30" s="2116"/>
      <c r="K30" s="2117"/>
      <c r="L30" s="2118"/>
    </row>
    <row r="31" spans="1:12" ht="15" customHeight="1" x14ac:dyDescent="0.3">
      <c r="A31" s="1904" t="s">
        <v>409</v>
      </c>
      <c r="B31" s="2124">
        <v>1177</v>
      </c>
      <c r="C31" s="2125">
        <v>1140</v>
      </c>
      <c r="D31" s="2125">
        <v>1139</v>
      </c>
      <c r="E31" s="2126">
        <v>1167</v>
      </c>
      <c r="F31" s="2127">
        <v>1085</v>
      </c>
      <c r="G31" s="2128">
        <v>1144</v>
      </c>
      <c r="H31" s="2128">
        <v>1099</v>
      </c>
      <c r="I31" s="2129">
        <v>1144</v>
      </c>
      <c r="J31" s="2130">
        <v>1106</v>
      </c>
      <c r="K31" s="2168">
        <v>4623</v>
      </c>
      <c r="L31" s="2132">
        <v>4472</v>
      </c>
    </row>
    <row r="32" spans="1:12" ht="15" customHeight="1" x14ac:dyDescent="0.3">
      <c r="A32" s="1904" t="s">
        <v>410</v>
      </c>
      <c r="B32" s="2124">
        <v>1048</v>
      </c>
      <c r="C32" s="2125">
        <v>1031</v>
      </c>
      <c r="D32" s="2125">
        <v>964</v>
      </c>
      <c r="E32" s="2126">
        <v>1079</v>
      </c>
      <c r="F32" s="2127">
        <v>736</v>
      </c>
      <c r="G32" s="2128">
        <v>731</v>
      </c>
      <c r="H32" s="2128">
        <v>750</v>
      </c>
      <c r="I32" s="2129">
        <v>861</v>
      </c>
      <c r="J32" s="2130">
        <v>691</v>
      </c>
      <c r="K32" s="2168">
        <v>4122</v>
      </c>
      <c r="L32" s="2132">
        <v>3078</v>
      </c>
    </row>
    <row r="33" spans="1:12" ht="15" customHeight="1" x14ac:dyDescent="0.3">
      <c r="A33" s="1188" t="s">
        <v>296</v>
      </c>
      <c r="B33" s="2124">
        <v>2225</v>
      </c>
      <c r="C33" s="2125">
        <v>2171</v>
      </c>
      <c r="D33" s="2125">
        <v>2103</v>
      </c>
      <c r="E33" s="2126">
        <v>2246</v>
      </c>
      <c r="F33" s="2127">
        <v>1821</v>
      </c>
      <c r="G33" s="2128">
        <v>1875</v>
      </c>
      <c r="H33" s="2128">
        <v>1849</v>
      </c>
      <c r="I33" s="2129">
        <v>2005</v>
      </c>
      <c r="J33" s="2130">
        <v>1797</v>
      </c>
      <c r="K33" s="2168">
        <v>8745</v>
      </c>
      <c r="L33" s="2132">
        <v>7550</v>
      </c>
    </row>
    <row r="34" spans="1:12" ht="15" customHeight="1" x14ac:dyDescent="0.3">
      <c r="A34" s="1199" t="s">
        <v>877</v>
      </c>
      <c r="B34" s="2124">
        <v>826</v>
      </c>
      <c r="C34" s="2125">
        <v>799</v>
      </c>
      <c r="D34" s="2125">
        <v>727</v>
      </c>
      <c r="E34" s="2126">
        <v>858</v>
      </c>
      <c r="F34" s="2127">
        <v>604</v>
      </c>
      <c r="G34" s="2128">
        <v>662</v>
      </c>
      <c r="H34" s="2128">
        <v>667</v>
      </c>
      <c r="I34" s="2129">
        <v>770</v>
      </c>
      <c r="J34" s="2130">
        <v>604</v>
      </c>
      <c r="K34" s="2168">
        <v>3210</v>
      </c>
      <c r="L34" s="2132">
        <v>2703</v>
      </c>
    </row>
    <row r="35" spans="1:12" ht="15" customHeight="1" x14ac:dyDescent="0.3">
      <c r="A35" s="1199" t="s">
        <v>878</v>
      </c>
      <c r="B35" s="2124">
        <v>12</v>
      </c>
      <c r="C35" s="2125">
        <v>13</v>
      </c>
      <c r="D35" s="2125">
        <v>11</v>
      </c>
      <c r="E35" s="2126">
        <v>11</v>
      </c>
      <c r="F35" s="2127">
        <v>10</v>
      </c>
      <c r="G35" s="2128">
        <v>11</v>
      </c>
      <c r="H35" s="2128">
        <v>11</v>
      </c>
      <c r="I35" s="2129">
        <v>13</v>
      </c>
      <c r="J35" s="2130">
        <v>3</v>
      </c>
      <c r="K35" s="2168">
        <v>47</v>
      </c>
      <c r="L35" s="2132">
        <v>45</v>
      </c>
    </row>
    <row r="36" spans="1:12" ht="15" customHeight="1" x14ac:dyDescent="0.3">
      <c r="A36" s="1188" t="s">
        <v>879</v>
      </c>
      <c r="B36" s="2124">
        <v>814</v>
      </c>
      <c r="C36" s="2125">
        <v>786</v>
      </c>
      <c r="D36" s="2125">
        <v>716</v>
      </c>
      <c r="E36" s="2126">
        <v>847</v>
      </c>
      <c r="F36" s="2127">
        <v>594</v>
      </c>
      <c r="G36" s="2128">
        <v>651</v>
      </c>
      <c r="H36" s="2128">
        <v>656</v>
      </c>
      <c r="I36" s="2129">
        <v>757</v>
      </c>
      <c r="J36" s="2130">
        <v>601</v>
      </c>
      <c r="K36" s="2168">
        <v>3163</v>
      </c>
      <c r="L36" s="2132">
        <v>2658</v>
      </c>
    </row>
    <row r="37" spans="1:12" ht="15" customHeight="1" x14ac:dyDescent="0.3">
      <c r="A37" s="1337" t="s">
        <v>880</v>
      </c>
      <c r="B37" s="2133"/>
      <c r="C37" s="2134"/>
      <c r="D37" s="2134"/>
      <c r="E37" s="2135"/>
      <c r="F37" s="2102"/>
      <c r="G37" s="2103"/>
      <c r="H37" s="2103"/>
      <c r="I37" s="2106"/>
      <c r="J37" s="2107"/>
      <c r="K37" s="2175"/>
      <c r="L37" s="2109"/>
    </row>
    <row r="38" spans="1:12" ht="15" customHeight="1" x14ac:dyDescent="0.3">
      <c r="A38" s="1199" t="s">
        <v>881</v>
      </c>
      <c r="B38" s="2137">
        <v>595.70000000000005</v>
      </c>
      <c r="C38" s="2138">
        <v>558</v>
      </c>
      <c r="D38" s="2138">
        <v>567.6</v>
      </c>
      <c r="E38" s="2139">
        <v>577.4</v>
      </c>
      <c r="F38" s="2140">
        <v>552</v>
      </c>
      <c r="G38" s="2141">
        <v>562.6</v>
      </c>
      <c r="H38" s="2141">
        <v>565.5</v>
      </c>
      <c r="I38" s="2142">
        <v>578.6</v>
      </c>
      <c r="J38" s="2143">
        <v>575.1</v>
      </c>
      <c r="K38" s="2176">
        <v>574.79999999999995</v>
      </c>
      <c r="L38" s="2170">
        <v>564.70000000000005</v>
      </c>
    </row>
    <row r="39" spans="1:12" ht="15" customHeight="1" x14ac:dyDescent="0.3">
      <c r="A39" s="2094" t="s">
        <v>882</v>
      </c>
      <c r="B39" s="2177">
        <v>592.29999999999995</v>
      </c>
      <c r="C39" s="2178">
        <v>563.70000000000005</v>
      </c>
      <c r="D39" s="2178">
        <v>565.70000000000005</v>
      </c>
      <c r="E39" s="2179">
        <v>561.1</v>
      </c>
      <c r="F39" s="2180">
        <v>528</v>
      </c>
      <c r="G39" s="2181">
        <v>531.6</v>
      </c>
      <c r="H39" s="2181">
        <v>529.70000000000005</v>
      </c>
      <c r="I39" s="2182">
        <v>533.4</v>
      </c>
      <c r="J39" s="2183">
        <v>531.70000000000005</v>
      </c>
      <c r="K39" s="2184">
        <v>570.80000000000007</v>
      </c>
      <c r="L39" s="2185">
        <v>530.70000000000005</v>
      </c>
    </row>
    <row r="40" spans="1:12" ht="15" customHeight="1" x14ac:dyDescent="0.25">
      <c r="A40" s="2186"/>
      <c r="B40" s="1694"/>
      <c r="C40" s="2187"/>
      <c r="D40" s="2187"/>
      <c r="E40" s="2187"/>
      <c r="F40" s="1693"/>
      <c r="G40" s="2187"/>
      <c r="H40" s="2187"/>
      <c r="I40" s="2187"/>
      <c r="J40" s="2188"/>
      <c r="K40" s="2188"/>
      <c r="L40" s="2189"/>
    </row>
    <row r="41" spans="1:12" ht="12" customHeight="1" x14ac:dyDescent="0.25">
      <c r="A41" s="2850" t="s">
        <v>889</v>
      </c>
      <c r="B41" s="2913" t="s">
        <v>15</v>
      </c>
      <c r="C41" s="2913" t="s">
        <v>15</v>
      </c>
      <c r="D41" s="2913" t="s">
        <v>15</v>
      </c>
      <c r="E41" s="2913" t="s">
        <v>15</v>
      </c>
      <c r="F41" s="2913" t="s">
        <v>15</v>
      </c>
      <c r="G41" s="2913" t="s">
        <v>15</v>
      </c>
      <c r="H41" s="2913" t="s">
        <v>15</v>
      </c>
      <c r="I41" s="2913" t="s">
        <v>15</v>
      </c>
      <c r="J41" s="2913" t="s">
        <v>15</v>
      </c>
      <c r="K41" s="2913" t="s">
        <v>15</v>
      </c>
      <c r="L41" s="2913" t="s">
        <v>15</v>
      </c>
    </row>
    <row r="42" spans="1:12" ht="10.35" customHeight="1" x14ac:dyDescent="0.25">
      <c r="A42" s="2803"/>
      <c r="B42" s="2803" t="s">
        <v>15</v>
      </c>
      <c r="C42" s="2803" t="s">
        <v>15</v>
      </c>
      <c r="D42" s="2803" t="s">
        <v>15</v>
      </c>
      <c r="E42" s="2803" t="s">
        <v>15</v>
      </c>
      <c r="F42" s="2803" t="s">
        <v>15</v>
      </c>
      <c r="G42" s="2803" t="s">
        <v>15</v>
      </c>
      <c r="H42" s="2803" t="s">
        <v>15</v>
      </c>
      <c r="I42" s="2803" t="s">
        <v>15</v>
      </c>
      <c r="J42" s="2803" t="s">
        <v>15</v>
      </c>
      <c r="K42" s="2803" t="s">
        <v>15</v>
      </c>
      <c r="L42" s="2803" t="s">
        <v>15</v>
      </c>
    </row>
    <row r="43" spans="1:12" ht="10.35" customHeight="1" x14ac:dyDescent="0.25">
      <c r="A43" s="2822"/>
      <c r="B43" s="2822" t="s">
        <v>15</v>
      </c>
      <c r="C43" s="2822" t="s">
        <v>15</v>
      </c>
      <c r="D43" s="2822" t="s">
        <v>15</v>
      </c>
      <c r="E43" s="2822" t="s">
        <v>15</v>
      </c>
      <c r="F43" s="2822" t="s">
        <v>15</v>
      </c>
      <c r="G43" s="2822" t="s">
        <v>15</v>
      </c>
      <c r="H43" s="2822" t="s">
        <v>15</v>
      </c>
      <c r="I43" s="2822" t="s">
        <v>15</v>
      </c>
      <c r="J43" s="2822" t="s">
        <v>15</v>
      </c>
      <c r="K43" s="2822" t="s">
        <v>15</v>
      </c>
      <c r="L43" s="2822" t="s">
        <v>15</v>
      </c>
    </row>
    <row r="44" spans="1:12" ht="10.35" customHeight="1" x14ac:dyDescent="0.25">
      <c r="A44" s="2932"/>
      <c r="B44" s="2932" t="s">
        <v>15</v>
      </c>
      <c r="C44" s="2932" t="s">
        <v>15</v>
      </c>
      <c r="D44" s="2932" t="s">
        <v>15</v>
      </c>
      <c r="E44" s="2932" t="s">
        <v>15</v>
      </c>
      <c r="F44" s="2932" t="s">
        <v>15</v>
      </c>
      <c r="G44" s="2932" t="s">
        <v>15</v>
      </c>
      <c r="H44" s="2932" t="s">
        <v>15</v>
      </c>
      <c r="I44" s="2932" t="s">
        <v>15</v>
      </c>
      <c r="J44" s="2932" t="s">
        <v>15</v>
      </c>
      <c r="K44" s="2932" t="s">
        <v>15</v>
      </c>
      <c r="L44" s="2932" t="s">
        <v>15</v>
      </c>
    </row>
  </sheetData>
  <mergeCells count="8">
    <mergeCell ref="A43:L43"/>
    <mergeCell ref="A44:L44"/>
    <mergeCell ref="A2:L2"/>
    <mergeCell ref="B3:E3"/>
    <mergeCell ref="F3:I3"/>
    <mergeCell ref="K3:L3"/>
    <mergeCell ref="A41:L41"/>
    <mergeCell ref="A42:L42"/>
  </mergeCells>
  <hyperlinks>
    <hyperlink ref="A1" location="ToC!A2" display="Back to Table of Contents" xr:uid="{92BAEAB2-93C6-4007-BC31-9047654A9D11}"/>
  </hyperlinks>
  <pageMargins left="0.5" right="0.5" top="0.5" bottom="0.5" header="0.25" footer="0.25"/>
  <pageSetup scale="65" orientation="landscape" r:id="rId1"/>
  <headerFooter>
    <oddFooter>&amp;L&amp;G&amp;C&amp;"Scotia,Regular"&amp;9Supplementary Financial Information (SFI)&amp;R27&amp;"Scotia,Regular"&amp;7</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2196-82A6-416F-B32C-B49486D71883}">
  <sheetPr>
    <pageSetUpPr fitToPage="1"/>
  </sheetPr>
  <dimension ref="A1:L46"/>
  <sheetViews>
    <sheetView showGridLines="0" zoomScaleNormal="100" workbookViewId="0"/>
  </sheetViews>
  <sheetFormatPr defaultColWidth="8.77734375" defaultRowHeight="13.2" x14ac:dyDescent="0.25"/>
  <cols>
    <col min="1" max="1" width="85.5546875" style="23" customWidth="1"/>
    <col min="2" max="12" width="12.77734375" style="23" customWidth="1"/>
    <col min="13" max="16384" width="8.77734375" style="23"/>
  </cols>
  <sheetData>
    <row r="1" spans="1:12" ht="19.95" customHeight="1" x14ac:dyDescent="0.25">
      <c r="A1" s="22" t="s">
        <v>12</v>
      </c>
    </row>
    <row r="2" spans="1:12" ht="25.35" customHeight="1" x14ac:dyDescent="0.25">
      <c r="A2" s="2823" t="s">
        <v>890</v>
      </c>
      <c r="B2" s="2823" t="s">
        <v>15</v>
      </c>
      <c r="C2" s="2823" t="s">
        <v>15</v>
      </c>
      <c r="D2" s="2823" t="s">
        <v>15</v>
      </c>
      <c r="E2" s="2823" t="s">
        <v>15</v>
      </c>
      <c r="F2" s="2823" t="s">
        <v>15</v>
      </c>
      <c r="G2" s="2823" t="s">
        <v>15</v>
      </c>
      <c r="H2" s="2823" t="s">
        <v>15</v>
      </c>
      <c r="I2" s="2823" t="s">
        <v>15</v>
      </c>
      <c r="J2" s="2823" t="s">
        <v>15</v>
      </c>
      <c r="K2" s="2823" t="s">
        <v>15</v>
      </c>
      <c r="L2" s="2823" t="s">
        <v>15</v>
      </c>
    </row>
    <row r="3" spans="1:12" ht="18" customHeight="1" x14ac:dyDescent="0.25">
      <c r="A3" s="2190"/>
      <c r="B3" s="2940"/>
      <c r="C3" s="2941"/>
      <c r="D3" s="2941"/>
      <c r="E3" s="2942"/>
      <c r="F3" s="2943"/>
      <c r="G3" s="2944"/>
      <c r="H3" s="2944"/>
      <c r="I3" s="2945"/>
      <c r="J3" s="2191"/>
      <c r="K3" s="2824" t="s">
        <v>163</v>
      </c>
      <c r="L3" s="2825" t="s">
        <v>15</v>
      </c>
    </row>
    <row r="4" spans="1:12" ht="18" customHeight="1" x14ac:dyDescent="0.25">
      <c r="A4" s="2192"/>
      <c r="B4" s="116" t="s">
        <v>165</v>
      </c>
      <c r="C4" s="117" t="s">
        <v>166</v>
      </c>
      <c r="D4" s="117" t="s">
        <v>167</v>
      </c>
      <c r="E4" s="118" t="s">
        <v>168</v>
      </c>
      <c r="F4" s="975" t="s">
        <v>169</v>
      </c>
      <c r="G4" s="117" t="s">
        <v>170</v>
      </c>
      <c r="H4" s="117" t="s">
        <v>171</v>
      </c>
      <c r="I4" s="118" t="s">
        <v>172</v>
      </c>
      <c r="J4" s="976" t="s">
        <v>173</v>
      </c>
      <c r="K4" s="2193">
        <v>2025</v>
      </c>
      <c r="L4" s="2194">
        <v>2024</v>
      </c>
    </row>
    <row r="5" spans="1:12" ht="18" customHeight="1" x14ac:dyDescent="0.25">
      <c r="A5" s="2195" t="s">
        <v>891</v>
      </c>
      <c r="B5" s="2196"/>
      <c r="C5" s="2197"/>
      <c r="D5" s="2197"/>
      <c r="E5" s="2198"/>
      <c r="F5" s="2199"/>
      <c r="G5" s="2200"/>
      <c r="H5" s="2200"/>
      <c r="I5" s="2201"/>
      <c r="J5" s="2202"/>
      <c r="K5" s="2203"/>
      <c r="L5" s="2204"/>
    </row>
    <row r="6" spans="1:12" ht="18" customHeight="1" x14ac:dyDescent="0.25">
      <c r="A6" s="343" t="s">
        <v>892</v>
      </c>
      <c r="B6" s="2119">
        <v>2386</v>
      </c>
      <c r="C6" s="2120">
        <v>2324</v>
      </c>
      <c r="D6" s="2120">
        <v>2310</v>
      </c>
      <c r="E6" s="2121">
        <v>2353</v>
      </c>
      <c r="F6" s="2122">
        <v>2225</v>
      </c>
      <c r="G6" s="2120">
        <v>2325</v>
      </c>
      <c r="H6" s="2120">
        <v>2350</v>
      </c>
      <c r="I6" s="2121">
        <v>2452</v>
      </c>
      <c r="J6" s="2123">
        <v>2150</v>
      </c>
      <c r="K6" s="2122">
        <v>9373</v>
      </c>
      <c r="L6" s="2120">
        <v>9352</v>
      </c>
    </row>
    <row r="7" spans="1:12" ht="18" customHeight="1" x14ac:dyDescent="0.25">
      <c r="A7" s="343" t="s">
        <v>271</v>
      </c>
      <c r="B7" s="2119">
        <v>547</v>
      </c>
      <c r="C7" s="2120">
        <v>508</v>
      </c>
      <c r="D7" s="2120">
        <v>504</v>
      </c>
      <c r="E7" s="2121">
        <v>554</v>
      </c>
      <c r="F7" s="2122">
        <v>512</v>
      </c>
      <c r="G7" s="2120">
        <v>555</v>
      </c>
      <c r="H7" s="2120">
        <v>532</v>
      </c>
      <c r="I7" s="2121">
        <v>536</v>
      </c>
      <c r="J7" s="2123">
        <v>476</v>
      </c>
      <c r="K7" s="2122">
        <v>2113</v>
      </c>
      <c r="L7" s="2120">
        <v>2135</v>
      </c>
    </row>
    <row r="8" spans="1:12" ht="18" customHeight="1" x14ac:dyDescent="0.25">
      <c r="A8" s="343" t="s">
        <v>298</v>
      </c>
      <c r="B8" s="2119">
        <v>1230</v>
      </c>
      <c r="C8" s="2120">
        <v>1165</v>
      </c>
      <c r="D8" s="2120">
        <v>1167</v>
      </c>
      <c r="E8" s="2121">
        <v>1178</v>
      </c>
      <c r="F8" s="2122">
        <v>1155</v>
      </c>
      <c r="G8" s="2120">
        <v>1204</v>
      </c>
      <c r="H8" s="2120">
        <v>1214</v>
      </c>
      <c r="I8" s="2121">
        <v>1224</v>
      </c>
      <c r="J8" s="2123">
        <v>1189</v>
      </c>
      <c r="K8" s="2122">
        <v>4740</v>
      </c>
      <c r="L8" s="2120">
        <v>4797</v>
      </c>
    </row>
    <row r="9" spans="1:12" ht="18" customHeight="1" x14ac:dyDescent="0.25">
      <c r="A9" s="343" t="s">
        <v>893</v>
      </c>
      <c r="B9" s="2119">
        <v>609</v>
      </c>
      <c r="C9" s="2120">
        <v>651</v>
      </c>
      <c r="D9" s="2120">
        <v>639</v>
      </c>
      <c r="E9" s="2121">
        <v>621</v>
      </c>
      <c r="F9" s="2122">
        <v>558</v>
      </c>
      <c r="G9" s="2120">
        <v>566</v>
      </c>
      <c r="H9" s="2120">
        <v>604</v>
      </c>
      <c r="I9" s="2121">
        <v>692</v>
      </c>
      <c r="J9" s="2123">
        <v>485</v>
      </c>
      <c r="K9" s="2122">
        <v>2520</v>
      </c>
      <c r="L9" s="2120">
        <v>2420</v>
      </c>
    </row>
    <row r="10" spans="1:12" ht="18" customHeight="1" x14ac:dyDescent="0.25">
      <c r="A10" s="343" t="s">
        <v>299</v>
      </c>
      <c r="B10" s="2119">
        <v>127</v>
      </c>
      <c r="C10" s="2120">
        <v>144</v>
      </c>
      <c r="D10" s="2120">
        <v>108</v>
      </c>
      <c r="E10" s="2121">
        <v>120</v>
      </c>
      <c r="F10" s="2122">
        <v>117</v>
      </c>
      <c r="G10" s="2120">
        <v>113</v>
      </c>
      <c r="H10" s="2120">
        <v>138</v>
      </c>
      <c r="I10" s="2121">
        <v>140</v>
      </c>
      <c r="J10" s="2123">
        <v>122</v>
      </c>
      <c r="K10" s="2122">
        <v>499</v>
      </c>
      <c r="L10" s="2120">
        <v>508</v>
      </c>
    </row>
    <row r="11" spans="1:12" ht="18" customHeight="1" x14ac:dyDescent="0.25">
      <c r="A11" s="1023" t="s">
        <v>300</v>
      </c>
      <c r="B11" s="2119">
        <v>482</v>
      </c>
      <c r="C11" s="2120">
        <v>507</v>
      </c>
      <c r="D11" s="2120">
        <v>531</v>
      </c>
      <c r="E11" s="2121">
        <v>501</v>
      </c>
      <c r="F11" s="2122">
        <v>441</v>
      </c>
      <c r="G11" s="2120">
        <v>453</v>
      </c>
      <c r="H11" s="2120">
        <v>466</v>
      </c>
      <c r="I11" s="2121">
        <v>552</v>
      </c>
      <c r="J11" s="2123">
        <v>363</v>
      </c>
      <c r="K11" s="2122">
        <v>2021</v>
      </c>
      <c r="L11" s="2120">
        <v>1912</v>
      </c>
    </row>
    <row r="12" spans="1:12" ht="18" customHeight="1" x14ac:dyDescent="0.25">
      <c r="A12" s="343" t="s">
        <v>894</v>
      </c>
      <c r="B12" s="2119">
        <v>4</v>
      </c>
      <c r="C12" s="2120">
        <v>5</v>
      </c>
      <c r="D12" s="2120">
        <v>5</v>
      </c>
      <c r="E12" s="2121">
        <v>5</v>
      </c>
      <c r="F12" s="2122">
        <v>6</v>
      </c>
      <c r="G12" s="2120">
        <v>4</v>
      </c>
      <c r="H12" s="2120">
        <v>6</v>
      </c>
      <c r="I12" s="2121">
        <v>5</v>
      </c>
      <c r="J12" s="2123">
        <v>7</v>
      </c>
      <c r="K12" s="2122">
        <v>19</v>
      </c>
      <c r="L12" s="2120">
        <v>21</v>
      </c>
    </row>
    <row r="13" spans="1:12" ht="18" customHeight="1" x14ac:dyDescent="0.25">
      <c r="A13" s="1023" t="s">
        <v>895</v>
      </c>
      <c r="B13" s="2119">
        <v>486</v>
      </c>
      <c r="C13" s="2120">
        <v>512</v>
      </c>
      <c r="D13" s="2120">
        <v>536</v>
      </c>
      <c r="E13" s="2121">
        <v>506</v>
      </c>
      <c r="F13" s="2122">
        <v>447</v>
      </c>
      <c r="G13" s="2120">
        <v>457</v>
      </c>
      <c r="H13" s="2120">
        <v>472</v>
      </c>
      <c r="I13" s="2121">
        <v>557</v>
      </c>
      <c r="J13" s="2123">
        <v>370</v>
      </c>
      <c r="K13" s="2122">
        <v>2040</v>
      </c>
      <c r="L13" s="2120">
        <v>1933</v>
      </c>
    </row>
    <row r="14" spans="1:12" ht="18" customHeight="1" x14ac:dyDescent="0.25">
      <c r="A14" s="1023" t="s">
        <v>307</v>
      </c>
      <c r="B14" s="130"/>
      <c r="C14" s="131"/>
      <c r="D14" s="131"/>
      <c r="E14" s="132"/>
      <c r="F14" s="2205"/>
      <c r="G14" s="2206"/>
      <c r="H14" s="2206"/>
      <c r="I14" s="2207"/>
      <c r="J14" s="2208"/>
      <c r="K14" s="2205"/>
      <c r="L14" s="2206"/>
    </row>
    <row r="15" spans="1:12" ht="18" customHeight="1" x14ac:dyDescent="0.25">
      <c r="A15" s="343" t="s">
        <v>896</v>
      </c>
      <c r="B15" s="2119">
        <v>15</v>
      </c>
      <c r="C15" s="2120">
        <v>10</v>
      </c>
      <c r="D15" s="2120">
        <v>9</v>
      </c>
      <c r="E15" s="2121">
        <v>8</v>
      </c>
      <c r="F15" s="2122">
        <v>13</v>
      </c>
      <c r="G15" s="2120">
        <v>6</v>
      </c>
      <c r="H15" s="2206">
        <v>-4</v>
      </c>
      <c r="I15" s="2207">
        <v>-1</v>
      </c>
      <c r="J15" s="2123">
        <v>2</v>
      </c>
      <c r="K15" s="2122">
        <v>42</v>
      </c>
      <c r="L15" s="2120">
        <v>14</v>
      </c>
    </row>
    <row r="16" spans="1:12" ht="18" customHeight="1" x14ac:dyDescent="0.25">
      <c r="A16" s="1023" t="s">
        <v>897</v>
      </c>
      <c r="B16" s="2119">
        <v>467</v>
      </c>
      <c r="C16" s="2120">
        <v>497</v>
      </c>
      <c r="D16" s="2120">
        <v>522</v>
      </c>
      <c r="E16" s="2121">
        <v>493</v>
      </c>
      <c r="F16" s="2122">
        <v>428</v>
      </c>
      <c r="G16" s="2120">
        <v>447</v>
      </c>
      <c r="H16" s="2120">
        <v>470</v>
      </c>
      <c r="I16" s="2121">
        <v>553</v>
      </c>
      <c r="J16" s="2123">
        <v>361</v>
      </c>
      <c r="K16" s="2122">
        <v>1979</v>
      </c>
      <c r="L16" s="2120">
        <v>1898</v>
      </c>
    </row>
    <row r="17" spans="1:12" ht="18" customHeight="1" x14ac:dyDescent="0.25">
      <c r="A17" s="1023" t="s">
        <v>898</v>
      </c>
      <c r="B17" s="2119">
        <v>467</v>
      </c>
      <c r="C17" s="2120">
        <v>504</v>
      </c>
      <c r="D17" s="2120">
        <v>521</v>
      </c>
      <c r="E17" s="2121">
        <v>506</v>
      </c>
      <c r="F17" s="2122">
        <v>440</v>
      </c>
      <c r="G17" s="2120">
        <v>443</v>
      </c>
      <c r="H17" s="2120">
        <v>467</v>
      </c>
      <c r="I17" s="2121">
        <v>541</v>
      </c>
      <c r="J17" s="2123">
        <v>351</v>
      </c>
      <c r="K17" s="2122">
        <v>1979</v>
      </c>
      <c r="L17" s="2120">
        <v>1884</v>
      </c>
    </row>
    <row r="18" spans="1:12" ht="18" customHeight="1" x14ac:dyDescent="0.25">
      <c r="A18" s="343" t="s">
        <v>899</v>
      </c>
      <c r="B18" s="137">
        <v>0</v>
      </c>
      <c r="C18" s="131">
        <v>-7</v>
      </c>
      <c r="D18" s="131">
        <v>1</v>
      </c>
      <c r="E18" s="132">
        <v>-13</v>
      </c>
      <c r="F18" s="2205">
        <v>-12</v>
      </c>
      <c r="G18" s="2120">
        <v>4</v>
      </c>
      <c r="H18" s="2120">
        <v>3</v>
      </c>
      <c r="I18" s="2121">
        <v>12</v>
      </c>
      <c r="J18" s="2123">
        <v>10</v>
      </c>
      <c r="K18" s="2205">
        <v>0</v>
      </c>
      <c r="L18" s="2206">
        <v>14</v>
      </c>
    </row>
    <row r="19" spans="1:12" ht="18" customHeight="1" x14ac:dyDescent="0.25">
      <c r="A19" s="1023" t="s">
        <v>312</v>
      </c>
      <c r="B19" s="130"/>
      <c r="C19" s="131"/>
      <c r="D19" s="131"/>
      <c r="E19" s="132"/>
      <c r="F19" s="2205"/>
      <c r="G19" s="2206"/>
      <c r="H19" s="2206"/>
      <c r="I19" s="2207"/>
      <c r="J19" s="2208"/>
      <c r="K19" s="2205"/>
      <c r="L19" s="2206"/>
    </row>
    <row r="20" spans="1:12" ht="18" customHeight="1" x14ac:dyDescent="0.25">
      <c r="A20" s="343" t="s">
        <v>896</v>
      </c>
      <c r="B20" s="2119">
        <v>15</v>
      </c>
      <c r="C20" s="2120">
        <v>10</v>
      </c>
      <c r="D20" s="2120">
        <v>9</v>
      </c>
      <c r="E20" s="2121">
        <v>8</v>
      </c>
      <c r="F20" s="2122">
        <v>13</v>
      </c>
      <c r="G20" s="2120">
        <v>6</v>
      </c>
      <c r="H20" s="2206">
        <v>-4</v>
      </c>
      <c r="I20" s="2207">
        <v>-1</v>
      </c>
      <c r="J20" s="2123">
        <v>2</v>
      </c>
      <c r="K20" s="2205">
        <v>42</v>
      </c>
      <c r="L20" s="2206">
        <v>14</v>
      </c>
    </row>
    <row r="21" spans="1:12" ht="18" customHeight="1" x14ac:dyDescent="0.25">
      <c r="A21" s="1023" t="s">
        <v>900</v>
      </c>
      <c r="B21" s="2119">
        <v>471</v>
      </c>
      <c r="C21" s="2120">
        <v>502</v>
      </c>
      <c r="D21" s="2120">
        <v>527</v>
      </c>
      <c r="E21" s="2121">
        <v>498</v>
      </c>
      <c r="F21" s="2122">
        <v>434</v>
      </c>
      <c r="G21" s="2120">
        <v>451</v>
      </c>
      <c r="H21" s="2120">
        <v>476</v>
      </c>
      <c r="I21" s="2121">
        <v>558</v>
      </c>
      <c r="J21" s="2123">
        <v>368</v>
      </c>
      <c r="K21" s="2205">
        <v>1998</v>
      </c>
      <c r="L21" s="2206">
        <v>1919</v>
      </c>
    </row>
    <row r="22" spans="1:12" ht="18" customHeight="1" x14ac:dyDescent="0.25">
      <c r="A22" s="1023" t="s">
        <v>898</v>
      </c>
      <c r="B22" s="2119">
        <v>471</v>
      </c>
      <c r="C22" s="2120">
        <v>509</v>
      </c>
      <c r="D22" s="2120">
        <v>526</v>
      </c>
      <c r="E22" s="2121">
        <v>511</v>
      </c>
      <c r="F22" s="2122">
        <v>445</v>
      </c>
      <c r="G22" s="2120">
        <v>448</v>
      </c>
      <c r="H22" s="2120">
        <v>473</v>
      </c>
      <c r="I22" s="2121">
        <v>547</v>
      </c>
      <c r="J22" s="2123">
        <v>357</v>
      </c>
      <c r="K22" s="2205">
        <v>1998</v>
      </c>
      <c r="L22" s="2206">
        <v>1904</v>
      </c>
    </row>
    <row r="23" spans="1:12" ht="18" customHeight="1" x14ac:dyDescent="0.25">
      <c r="A23" s="343" t="s">
        <v>901</v>
      </c>
      <c r="B23" s="137">
        <v>0</v>
      </c>
      <c r="C23" s="131">
        <v>-7</v>
      </c>
      <c r="D23" s="131">
        <v>1</v>
      </c>
      <c r="E23" s="132">
        <v>-13</v>
      </c>
      <c r="F23" s="133">
        <v>-11</v>
      </c>
      <c r="G23" s="2120">
        <v>3</v>
      </c>
      <c r="H23" s="2120">
        <v>3</v>
      </c>
      <c r="I23" s="2121">
        <v>11</v>
      </c>
      <c r="J23" s="2123">
        <v>11</v>
      </c>
      <c r="K23" s="2205">
        <v>0</v>
      </c>
      <c r="L23" s="2206">
        <v>15</v>
      </c>
    </row>
    <row r="24" spans="1:12" ht="18" customHeight="1" x14ac:dyDescent="0.25">
      <c r="A24" s="2209" t="s">
        <v>363</v>
      </c>
      <c r="B24" s="2210"/>
      <c r="C24" s="2211"/>
      <c r="D24" s="2211"/>
      <c r="E24" s="2212"/>
      <c r="F24" s="2213"/>
      <c r="G24" s="704"/>
      <c r="H24" s="704"/>
      <c r="I24" s="2214"/>
      <c r="J24" s="2215"/>
      <c r="K24" s="2216"/>
      <c r="L24" s="2217"/>
    </row>
    <row r="25" spans="1:12" ht="18" customHeight="1" x14ac:dyDescent="0.25">
      <c r="A25" s="1051" t="s">
        <v>902</v>
      </c>
      <c r="B25" s="146">
        <v>4.29</v>
      </c>
      <c r="C25" s="139">
        <v>4.3099999999999996</v>
      </c>
      <c r="D25" s="241">
        <v>4.29</v>
      </c>
      <c r="E25" s="140">
        <v>4.1500000000000004</v>
      </c>
      <c r="F25" s="2218">
        <v>4.16</v>
      </c>
      <c r="G25" s="2219">
        <v>4.1399999999999997</v>
      </c>
      <c r="H25" s="2219">
        <v>4.2</v>
      </c>
      <c r="I25" s="2220">
        <v>4.1100000000000003</v>
      </c>
      <c r="J25" s="2221">
        <v>3.89</v>
      </c>
      <c r="K25" s="2222">
        <v>4.26</v>
      </c>
      <c r="L25" s="2223">
        <v>4.1500000000000004</v>
      </c>
    </row>
    <row r="26" spans="1:12" ht="18" customHeight="1" x14ac:dyDescent="0.25">
      <c r="A26" s="1023" t="s">
        <v>903</v>
      </c>
      <c r="B26" s="249"/>
      <c r="C26" s="250"/>
      <c r="D26" s="2224"/>
      <c r="E26" s="2225"/>
      <c r="F26" s="2226"/>
      <c r="G26" s="2227"/>
      <c r="H26" s="2227"/>
      <c r="I26" s="2228"/>
      <c r="J26" s="2229"/>
      <c r="K26" s="2230"/>
      <c r="L26" s="2231"/>
    </row>
    <row r="27" spans="1:12" ht="18" customHeight="1" x14ac:dyDescent="0.25">
      <c r="A27" s="179" t="s">
        <v>904</v>
      </c>
      <c r="B27" s="146">
        <v>1.56</v>
      </c>
      <c r="C27" s="139">
        <v>1.48</v>
      </c>
      <c r="D27" s="139">
        <v>1.49</v>
      </c>
      <c r="E27" s="140">
        <v>1.58</v>
      </c>
      <c r="F27" s="2218">
        <v>1.48</v>
      </c>
      <c r="G27" s="2219">
        <v>1.53</v>
      </c>
      <c r="H27" s="2219">
        <v>1.5</v>
      </c>
      <c r="I27" s="2232">
        <v>1.45</v>
      </c>
      <c r="J27" s="2221">
        <v>1.28</v>
      </c>
      <c r="K27" s="2222">
        <v>1.53</v>
      </c>
      <c r="L27" s="2223">
        <v>1.49</v>
      </c>
    </row>
    <row r="28" spans="1:12" ht="18" customHeight="1" x14ac:dyDescent="0.25">
      <c r="A28" s="179" t="s">
        <v>905</v>
      </c>
      <c r="B28" s="146">
        <v>1.43</v>
      </c>
      <c r="C28" s="139">
        <v>1.39</v>
      </c>
      <c r="D28" s="139">
        <v>1.41</v>
      </c>
      <c r="E28" s="140">
        <v>1.45</v>
      </c>
      <c r="F28" s="2218">
        <v>1.5</v>
      </c>
      <c r="G28" s="2219">
        <v>1.56</v>
      </c>
      <c r="H28" s="2219">
        <v>1.49</v>
      </c>
      <c r="I28" s="2232">
        <v>1.43</v>
      </c>
      <c r="J28" s="2221">
        <v>1.23</v>
      </c>
      <c r="K28" s="2222">
        <v>1.42</v>
      </c>
      <c r="L28" s="2223">
        <v>1.49</v>
      </c>
    </row>
    <row r="29" spans="1:12" ht="18" customHeight="1" x14ac:dyDescent="0.25">
      <c r="A29" s="179" t="s">
        <v>314</v>
      </c>
      <c r="B29" s="147">
        <v>51.6</v>
      </c>
      <c r="C29" s="148">
        <v>50.1</v>
      </c>
      <c r="D29" s="148">
        <v>50.6</v>
      </c>
      <c r="E29" s="149">
        <v>50.04</v>
      </c>
      <c r="F29" s="2233">
        <v>51.9</v>
      </c>
      <c r="G29" s="2234">
        <v>51.8</v>
      </c>
      <c r="H29" s="2234">
        <v>51.6</v>
      </c>
      <c r="I29" s="2235">
        <v>49.9</v>
      </c>
      <c r="J29" s="2236">
        <v>55.3</v>
      </c>
      <c r="K29" s="2237">
        <v>50.6</v>
      </c>
      <c r="L29" s="2238">
        <v>51.3</v>
      </c>
    </row>
    <row r="30" spans="1:12" ht="18" customHeight="1" x14ac:dyDescent="0.25">
      <c r="A30" s="2209" t="s">
        <v>906</v>
      </c>
      <c r="B30" s="2210"/>
      <c r="C30" s="2211"/>
      <c r="D30" s="2211"/>
      <c r="E30" s="2212"/>
      <c r="F30" s="2213"/>
      <c r="G30" s="704"/>
      <c r="H30" s="704"/>
      <c r="I30" s="2214"/>
      <c r="J30" s="2215"/>
      <c r="K30" s="2216"/>
      <c r="L30" s="2217"/>
    </row>
    <row r="31" spans="1:12" ht="18" customHeight="1" x14ac:dyDescent="0.25">
      <c r="A31" s="1051" t="s">
        <v>316</v>
      </c>
      <c r="B31" s="147">
        <v>46.8</v>
      </c>
      <c r="C31" s="148">
        <v>45.6</v>
      </c>
      <c r="D31" s="148">
        <v>45.4</v>
      </c>
      <c r="E31" s="149">
        <v>44.2</v>
      </c>
      <c r="F31" s="2233">
        <v>44.1</v>
      </c>
      <c r="G31" s="2234">
        <v>45.6</v>
      </c>
      <c r="H31" s="2234">
        <v>44.8</v>
      </c>
      <c r="I31" s="2239">
        <v>45.2</v>
      </c>
      <c r="J31" s="2236">
        <v>44.5</v>
      </c>
      <c r="K31" s="2233">
        <v>45.5</v>
      </c>
      <c r="L31" s="2234">
        <v>44.9</v>
      </c>
    </row>
    <row r="32" spans="1:12" ht="18" customHeight="1" x14ac:dyDescent="0.25">
      <c r="A32" s="343" t="s">
        <v>346</v>
      </c>
      <c r="B32" s="147">
        <v>17.100000000000001</v>
      </c>
      <c r="C32" s="148">
        <v>16.2</v>
      </c>
      <c r="D32" s="148">
        <v>16.2</v>
      </c>
      <c r="E32" s="149">
        <v>16</v>
      </c>
      <c r="F32" s="2233">
        <v>15.5</v>
      </c>
      <c r="G32" s="2234">
        <v>15.7</v>
      </c>
      <c r="H32" s="2234">
        <v>15.5</v>
      </c>
      <c r="I32" s="2239">
        <v>15.5</v>
      </c>
      <c r="J32" s="2236">
        <v>15.2</v>
      </c>
      <c r="K32" s="2233">
        <v>16.399999999999999</v>
      </c>
      <c r="L32" s="2234">
        <v>15.4</v>
      </c>
    </row>
    <row r="33" spans="1:12" ht="18" customHeight="1" x14ac:dyDescent="0.25">
      <c r="A33" s="343" t="s">
        <v>347</v>
      </c>
      <c r="B33" s="147">
        <v>7</v>
      </c>
      <c r="C33" s="148">
        <v>6.8</v>
      </c>
      <c r="D33" s="148">
        <v>6.9</v>
      </c>
      <c r="E33" s="149">
        <v>6.8</v>
      </c>
      <c r="F33" s="2233">
        <v>6.8</v>
      </c>
      <c r="G33" s="2234">
        <v>7.3</v>
      </c>
      <c r="H33" s="2234">
        <v>7.2</v>
      </c>
      <c r="I33" s="2239">
        <v>7.3</v>
      </c>
      <c r="J33" s="2236">
        <v>7.1999999999999993</v>
      </c>
      <c r="K33" s="2233">
        <v>6.9</v>
      </c>
      <c r="L33" s="2234">
        <v>7.1</v>
      </c>
    </row>
    <row r="34" spans="1:12" ht="18" customHeight="1" x14ac:dyDescent="0.25">
      <c r="A34" s="343" t="s">
        <v>319</v>
      </c>
      <c r="B34" s="147">
        <v>72</v>
      </c>
      <c r="C34" s="148">
        <v>71.2</v>
      </c>
      <c r="D34" s="148">
        <v>73.8</v>
      </c>
      <c r="E34" s="149">
        <v>75.099999999999994</v>
      </c>
      <c r="F34" s="2233">
        <v>75.399999999999991</v>
      </c>
      <c r="G34" s="2234">
        <v>79.3</v>
      </c>
      <c r="H34" s="2234">
        <v>80.099999999999994</v>
      </c>
      <c r="I34" s="2239">
        <v>82.1</v>
      </c>
      <c r="J34" s="2236">
        <v>84.4</v>
      </c>
      <c r="K34" s="2233">
        <v>73.000000000000014</v>
      </c>
      <c r="L34" s="2234">
        <v>79.3</v>
      </c>
    </row>
    <row r="35" spans="1:12" ht="18" customHeight="1" x14ac:dyDescent="0.25">
      <c r="A35" s="1023" t="s">
        <v>348</v>
      </c>
      <c r="B35" s="147">
        <v>142.9</v>
      </c>
      <c r="C35" s="148">
        <v>139.80000000000001</v>
      </c>
      <c r="D35" s="148">
        <v>142.30000000000001</v>
      </c>
      <c r="E35" s="149">
        <v>142.1</v>
      </c>
      <c r="F35" s="150">
        <v>141.80000000000001</v>
      </c>
      <c r="G35" s="2234">
        <v>147.89999999999998</v>
      </c>
      <c r="H35" s="2234">
        <v>147.6</v>
      </c>
      <c r="I35" s="2239">
        <v>150.1</v>
      </c>
      <c r="J35" s="2236">
        <v>151.30000000000001</v>
      </c>
      <c r="K35" s="150">
        <v>141.80000000000001</v>
      </c>
      <c r="L35" s="151">
        <v>146.69999999999999</v>
      </c>
    </row>
    <row r="36" spans="1:12" ht="18" customHeight="1" x14ac:dyDescent="0.25">
      <c r="A36" s="1023"/>
      <c r="B36" s="147"/>
      <c r="C36" s="148"/>
      <c r="D36" s="148"/>
      <c r="E36" s="149"/>
      <c r="F36" s="150"/>
      <c r="G36" s="2234"/>
      <c r="H36" s="2234"/>
      <c r="I36" s="2239"/>
      <c r="J36" s="2236"/>
      <c r="K36" s="150"/>
      <c r="L36" s="151"/>
    </row>
    <row r="37" spans="1:12" ht="18" customHeight="1" x14ac:dyDescent="0.25">
      <c r="A37" s="2240" t="s">
        <v>907</v>
      </c>
      <c r="B37" s="2241">
        <v>105.3</v>
      </c>
      <c r="C37" s="2242">
        <v>101.2</v>
      </c>
      <c r="D37" s="2242">
        <v>102</v>
      </c>
      <c r="E37" s="2243">
        <v>99.2</v>
      </c>
      <c r="F37" s="2244">
        <v>98.6</v>
      </c>
      <c r="G37" s="2245">
        <v>105.4</v>
      </c>
      <c r="H37" s="2245">
        <v>108.3</v>
      </c>
      <c r="I37" s="2246">
        <v>105.1</v>
      </c>
      <c r="J37" s="2247">
        <v>105.2</v>
      </c>
      <c r="K37" s="2244">
        <v>101.9</v>
      </c>
      <c r="L37" s="2245">
        <v>104.3</v>
      </c>
    </row>
    <row r="38" spans="1:12" ht="16.350000000000001" customHeight="1" x14ac:dyDescent="0.25">
      <c r="A38" s="856"/>
      <c r="B38" s="71"/>
      <c r="C38" s="71"/>
      <c r="D38" s="2248"/>
      <c r="E38" s="2248"/>
      <c r="F38" s="2249"/>
      <c r="G38" s="2249"/>
      <c r="H38" s="2249"/>
      <c r="I38" s="2249"/>
      <c r="J38" s="2249"/>
      <c r="K38" s="2249"/>
      <c r="L38" s="2249"/>
    </row>
    <row r="39" spans="1:12" ht="12" customHeight="1" x14ac:dyDescent="0.25">
      <c r="A39" s="2850" t="s">
        <v>908</v>
      </c>
      <c r="B39" s="2850" t="s">
        <v>15</v>
      </c>
      <c r="C39" s="2850" t="s">
        <v>15</v>
      </c>
      <c r="D39" s="2850" t="s">
        <v>15</v>
      </c>
      <c r="E39" s="2850" t="s">
        <v>15</v>
      </c>
      <c r="F39" s="2850" t="s">
        <v>15</v>
      </c>
      <c r="G39" s="2850" t="s">
        <v>15</v>
      </c>
      <c r="H39" s="2850" t="s">
        <v>15</v>
      </c>
      <c r="I39" s="2850" t="s">
        <v>15</v>
      </c>
      <c r="J39" s="2850" t="s">
        <v>15</v>
      </c>
      <c r="K39" s="2850" t="s">
        <v>15</v>
      </c>
      <c r="L39" s="2850" t="s">
        <v>15</v>
      </c>
    </row>
    <row r="40" spans="1:12" ht="12" customHeight="1" x14ac:dyDescent="0.25">
      <c r="A40" s="2850" t="s">
        <v>909</v>
      </c>
      <c r="B40" s="2850" t="s">
        <v>15</v>
      </c>
      <c r="C40" s="2850" t="s">
        <v>15</v>
      </c>
      <c r="D40" s="2850" t="s">
        <v>15</v>
      </c>
      <c r="E40" s="2850" t="s">
        <v>15</v>
      </c>
      <c r="F40" s="2850" t="s">
        <v>15</v>
      </c>
      <c r="G40" s="2850" t="s">
        <v>15</v>
      </c>
      <c r="H40" s="2850" t="s">
        <v>15</v>
      </c>
      <c r="I40" s="2850" t="s">
        <v>15</v>
      </c>
      <c r="J40" s="2850" t="s">
        <v>15</v>
      </c>
      <c r="K40" s="2850" t="s">
        <v>15</v>
      </c>
      <c r="L40" s="2850" t="s">
        <v>15</v>
      </c>
    </row>
    <row r="41" spans="1:12" ht="11.55" customHeight="1" x14ac:dyDescent="0.25">
      <c r="A41" s="2861" t="s">
        <v>910</v>
      </c>
      <c r="B41" s="2861" t="s">
        <v>15</v>
      </c>
      <c r="C41" s="2861" t="s">
        <v>15</v>
      </c>
      <c r="D41" s="2861" t="s">
        <v>15</v>
      </c>
      <c r="E41" s="2861" t="s">
        <v>15</v>
      </c>
      <c r="F41" s="2861" t="s">
        <v>15</v>
      </c>
      <c r="G41" s="2861" t="s">
        <v>15</v>
      </c>
      <c r="H41" s="2861" t="s">
        <v>15</v>
      </c>
      <c r="I41" s="2861" t="s">
        <v>15</v>
      </c>
      <c r="J41" s="2861" t="s">
        <v>15</v>
      </c>
      <c r="K41" s="2861" t="s">
        <v>15</v>
      </c>
      <c r="L41" s="2861" t="s">
        <v>15</v>
      </c>
    </row>
    <row r="42" spans="1:12" ht="12" customHeight="1" x14ac:dyDescent="0.25">
      <c r="A42" s="2850" t="s">
        <v>911</v>
      </c>
      <c r="B42" s="2850" t="s">
        <v>15</v>
      </c>
      <c r="C42" s="2850" t="s">
        <v>15</v>
      </c>
      <c r="D42" s="2850" t="s">
        <v>15</v>
      </c>
      <c r="E42" s="2850" t="s">
        <v>15</v>
      </c>
      <c r="F42" s="2850" t="s">
        <v>15</v>
      </c>
      <c r="G42" s="2850" t="s">
        <v>15</v>
      </c>
      <c r="H42" s="2850" t="s">
        <v>15</v>
      </c>
      <c r="I42" s="2850" t="s">
        <v>15</v>
      </c>
      <c r="J42" s="2850" t="s">
        <v>15</v>
      </c>
      <c r="K42" s="2850" t="s">
        <v>15</v>
      </c>
      <c r="L42" s="2850" t="s">
        <v>15</v>
      </c>
    </row>
    <row r="43" spans="1:12" ht="12" customHeight="1" x14ac:dyDescent="0.25">
      <c r="A43" s="2850" t="s">
        <v>912</v>
      </c>
      <c r="B43" s="2805" t="s">
        <v>15</v>
      </c>
      <c r="C43" s="2805" t="s">
        <v>15</v>
      </c>
      <c r="D43" s="2805" t="s">
        <v>15</v>
      </c>
      <c r="E43" s="2805" t="s">
        <v>15</v>
      </c>
      <c r="F43" s="2805" t="s">
        <v>15</v>
      </c>
      <c r="G43" s="2805" t="s">
        <v>15</v>
      </c>
      <c r="H43" s="2805" t="s">
        <v>15</v>
      </c>
      <c r="I43" s="2805" t="s">
        <v>15</v>
      </c>
      <c r="J43" s="2805" t="s">
        <v>15</v>
      </c>
      <c r="K43" s="2805" t="s">
        <v>15</v>
      </c>
      <c r="L43" s="2805" t="s">
        <v>15</v>
      </c>
    </row>
    <row r="44" spans="1:12" ht="12" customHeight="1" x14ac:dyDescent="0.25">
      <c r="A44" s="2850" t="s">
        <v>913</v>
      </c>
      <c r="B44" s="2805" t="s">
        <v>15</v>
      </c>
      <c r="C44" s="2805" t="s">
        <v>15</v>
      </c>
      <c r="D44" s="2805" t="s">
        <v>15</v>
      </c>
      <c r="E44" s="2805" t="s">
        <v>15</v>
      </c>
      <c r="F44" s="2805" t="s">
        <v>15</v>
      </c>
      <c r="G44" s="2805" t="s">
        <v>15</v>
      </c>
      <c r="H44" s="2805" t="s">
        <v>15</v>
      </c>
      <c r="I44" s="2805" t="s">
        <v>15</v>
      </c>
      <c r="J44" s="2805" t="s">
        <v>15</v>
      </c>
      <c r="K44" s="2805" t="s">
        <v>15</v>
      </c>
      <c r="L44" s="2805" t="s">
        <v>15</v>
      </c>
    </row>
    <row r="45" spans="1:12" ht="12" customHeight="1" x14ac:dyDescent="0.25">
      <c r="A45" s="2850" t="s">
        <v>914</v>
      </c>
      <c r="B45" s="2805" t="s">
        <v>15</v>
      </c>
      <c r="C45" s="2805" t="s">
        <v>15</v>
      </c>
      <c r="D45" s="2805" t="s">
        <v>15</v>
      </c>
      <c r="E45" s="2805" t="s">
        <v>15</v>
      </c>
      <c r="F45" s="2805" t="s">
        <v>15</v>
      </c>
      <c r="G45" s="2805" t="s">
        <v>15</v>
      </c>
      <c r="H45" s="2805" t="s">
        <v>15</v>
      </c>
      <c r="I45" s="2805" t="s">
        <v>15</v>
      </c>
      <c r="J45" s="2805" t="s">
        <v>15</v>
      </c>
      <c r="K45" s="2805" t="s">
        <v>15</v>
      </c>
      <c r="L45" s="2805" t="s">
        <v>15</v>
      </c>
    </row>
    <row r="46" spans="1:12" ht="12" customHeight="1" x14ac:dyDescent="0.25">
      <c r="A46" s="861"/>
      <c r="B46" s="861"/>
      <c r="C46" s="861"/>
      <c r="D46" s="861"/>
      <c r="E46" s="861"/>
      <c r="F46" s="861"/>
      <c r="G46" s="861"/>
      <c r="H46" s="861"/>
      <c r="I46" s="861"/>
      <c r="J46" s="861"/>
      <c r="K46" s="861"/>
      <c r="L46" s="861"/>
    </row>
  </sheetData>
  <mergeCells count="11">
    <mergeCell ref="A40:L40"/>
    <mergeCell ref="A2:L2"/>
    <mergeCell ref="B3:E3"/>
    <mergeCell ref="F3:I3"/>
    <mergeCell ref="K3:L3"/>
    <mergeCell ref="A39:L39"/>
    <mergeCell ref="A41:L41"/>
    <mergeCell ref="A42:L42"/>
    <mergeCell ref="A43:L43"/>
    <mergeCell ref="A44:L44"/>
    <mergeCell ref="A45:L45"/>
  </mergeCells>
  <hyperlinks>
    <hyperlink ref="A1" location="ToC!A2" display="Back to Table of Contents" xr:uid="{E58469F9-72DC-4448-8914-0DC6DA749176}"/>
  </hyperlinks>
  <pageMargins left="0.5" right="0.5" top="0.5" bottom="0.5" header="0.25" footer="0.25"/>
  <pageSetup scale="56" orientation="landscape" r:id="rId1"/>
  <headerFooter>
    <oddFooter>&amp;L&amp;G&amp;C&amp;"Scotia,Regular"&amp;9Supplementary Financial Information (SFI)&amp;R28&amp;"Scotia,Regular"&amp;7</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F21F-DA8F-42DC-B442-9D46DCA601D7}">
  <sheetPr>
    <pageSetUpPr fitToPage="1"/>
  </sheetPr>
  <dimension ref="A1:L44"/>
  <sheetViews>
    <sheetView showGridLines="0" zoomScaleNormal="100" workbookViewId="0"/>
  </sheetViews>
  <sheetFormatPr defaultColWidth="8.77734375" defaultRowHeight="13.2" x14ac:dyDescent="0.25"/>
  <cols>
    <col min="1" max="1" width="79.77734375" style="23" customWidth="1"/>
    <col min="2" max="4" width="11.21875" style="23" customWidth="1"/>
    <col min="5" max="12" width="12.5546875" style="23" customWidth="1"/>
    <col min="13" max="16384" width="8.77734375" style="23"/>
  </cols>
  <sheetData>
    <row r="1" spans="1:12" ht="19.95" customHeight="1" x14ac:dyDescent="0.25">
      <c r="A1" s="22" t="s">
        <v>12</v>
      </c>
    </row>
    <row r="2" spans="1:12" ht="25.35" customHeight="1" x14ac:dyDescent="0.25">
      <c r="A2" s="2823" t="s">
        <v>915</v>
      </c>
      <c r="B2" s="2823" t="s">
        <v>15</v>
      </c>
      <c r="C2" s="2823" t="s">
        <v>15</v>
      </c>
      <c r="D2" s="2823" t="s">
        <v>15</v>
      </c>
      <c r="E2" s="2823" t="s">
        <v>15</v>
      </c>
      <c r="F2" s="2823" t="s">
        <v>15</v>
      </c>
      <c r="G2" s="2823" t="s">
        <v>15</v>
      </c>
      <c r="H2" s="2823" t="s">
        <v>15</v>
      </c>
      <c r="I2" s="2823" t="s">
        <v>15</v>
      </c>
      <c r="J2" s="2823" t="s">
        <v>15</v>
      </c>
      <c r="K2" s="2823" t="s">
        <v>15</v>
      </c>
      <c r="L2" s="2823" t="s">
        <v>15</v>
      </c>
    </row>
    <row r="3" spans="1:12" ht="15" customHeight="1" x14ac:dyDescent="0.25">
      <c r="A3" s="2190"/>
      <c r="B3" s="2940"/>
      <c r="C3" s="2941"/>
      <c r="D3" s="2941"/>
      <c r="E3" s="2942"/>
      <c r="F3" s="2943"/>
      <c r="G3" s="2944"/>
      <c r="H3" s="2944"/>
      <c r="I3" s="2945"/>
      <c r="J3" s="2191"/>
      <c r="K3" s="2947" t="s">
        <v>163</v>
      </c>
      <c r="L3" s="2948" t="s">
        <v>15</v>
      </c>
    </row>
    <row r="4" spans="1:12" ht="15" customHeight="1" x14ac:dyDescent="0.25">
      <c r="A4" s="1051"/>
      <c r="B4" s="229" t="s">
        <v>165</v>
      </c>
      <c r="C4" s="230" t="s">
        <v>166</v>
      </c>
      <c r="D4" s="230" t="s">
        <v>167</v>
      </c>
      <c r="E4" s="231" t="s">
        <v>168</v>
      </c>
      <c r="F4" s="2250" t="s">
        <v>169</v>
      </c>
      <c r="G4" s="2251" t="s">
        <v>170</v>
      </c>
      <c r="H4" s="2251" t="s">
        <v>171</v>
      </c>
      <c r="I4" s="2252" t="s">
        <v>172</v>
      </c>
      <c r="J4" s="2253" t="s">
        <v>173</v>
      </c>
      <c r="K4" s="2254">
        <v>2025</v>
      </c>
      <c r="L4" s="2255">
        <v>2024</v>
      </c>
    </row>
    <row r="5" spans="1:12" ht="15" customHeight="1" x14ac:dyDescent="0.25">
      <c r="A5" s="2209" t="s">
        <v>916</v>
      </c>
      <c r="B5" s="2256"/>
      <c r="C5" s="2257"/>
      <c r="D5" s="2257"/>
      <c r="E5" s="2258"/>
      <c r="F5" s="2259"/>
      <c r="G5" s="2260"/>
      <c r="H5" s="2260"/>
      <c r="I5" s="2261"/>
      <c r="J5" s="2262"/>
      <c r="K5" s="2259"/>
      <c r="L5" s="2260"/>
    </row>
    <row r="6" spans="1:12" ht="15" customHeight="1" x14ac:dyDescent="0.25">
      <c r="A6" s="1051" t="s">
        <v>892</v>
      </c>
      <c r="B6" s="2119">
        <v>562</v>
      </c>
      <c r="C6" s="2120">
        <v>567</v>
      </c>
      <c r="D6" s="2120">
        <v>543</v>
      </c>
      <c r="E6" s="2121">
        <v>569</v>
      </c>
      <c r="F6" s="2122">
        <v>535</v>
      </c>
      <c r="G6" s="2120">
        <v>536</v>
      </c>
      <c r="H6" s="2120">
        <v>511</v>
      </c>
      <c r="I6" s="2121">
        <v>524</v>
      </c>
      <c r="J6" s="2123">
        <v>507</v>
      </c>
      <c r="K6" s="2122">
        <v>2241</v>
      </c>
      <c r="L6" s="2120">
        <v>2106</v>
      </c>
    </row>
    <row r="7" spans="1:12" ht="15" customHeight="1" x14ac:dyDescent="0.25">
      <c r="A7" s="343" t="s">
        <v>271</v>
      </c>
      <c r="B7" s="2119">
        <v>29</v>
      </c>
      <c r="C7" s="2120">
        <v>36</v>
      </c>
      <c r="D7" s="2120">
        <v>31</v>
      </c>
      <c r="E7" s="2121">
        <v>34</v>
      </c>
      <c r="F7" s="2122">
        <v>30</v>
      </c>
      <c r="G7" s="2120">
        <v>26</v>
      </c>
      <c r="H7" s="2120">
        <v>28</v>
      </c>
      <c r="I7" s="2121">
        <v>29</v>
      </c>
      <c r="J7" s="2123">
        <v>31</v>
      </c>
      <c r="K7" s="2122">
        <v>130</v>
      </c>
      <c r="L7" s="2120">
        <v>113</v>
      </c>
    </row>
    <row r="8" spans="1:12" ht="15" customHeight="1" x14ac:dyDescent="0.25">
      <c r="A8" s="343" t="s">
        <v>298</v>
      </c>
      <c r="B8" s="2119">
        <v>269</v>
      </c>
      <c r="C8" s="2120">
        <v>268</v>
      </c>
      <c r="D8" s="2120">
        <v>280</v>
      </c>
      <c r="E8" s="2121">
        <v>292</v>
      </c>
      <c r="F8" s="2122">
        <v>264</v>
      </c>
      <c r="G8" s="2120">
        <v>269</v>
      </c>
      <c r="H8" s="2120">
        <v>257</v>
      </c>
      <c r="I8" s="2121">
        <v>280</v>
      </c>
      <c r="J8" s="2123">
        <v>267</v>
      </c>
      <c r="K8" s="2122">
        <v>1109</v>
      </c>
      <c r="L8" s="2120">
        <v>1070</v>
      </c>
    </row>
    <row r="9" spans="1:12" ht="15" customHeight="1" x14ac:dyDescent="0.25">
      <c r="A9" s="343" t="s">
        <v>893</v>
      </c>
      <c r="B9" s="2119">
        <v>264</v>
      </c>
      <c r="C9" s="2120">
        <v>263</v>
      </c>
      <c r="D9" s="2120">
        <v>232</v>
      </c>
      <c r="E9" s="2121">
        <v>243</v>
      </c>
      <c r="F9" s="2122">
        <v>241</v>
      </c>
      <c r="G9" s="2120">
        <v>241</v>
      </c>
      <c r="H9" s="2120">
        <v>226</v>
      </c>
      <c r="I9" s="2121">
        <v>215</v>
      </c>
      <c r="J9" s="2123">
        <v>209</v>
      </c>
      <c r="K9" s="2122">
        <v>1002</v>
      </c>
      <c r="L9" s="2120">
        <v>923</v>
      </c>
    </row>
    <row r="10" spans="1:12" ht="15" customHeight="1" x14ac:dyDescent="0.25">
      <c r="A10" s="343" t="s">
        <v>299</v>
      </c>
      <c r="B10" s="2119">
        <v>70</v>
      </c>
      <c r="C10" s="2120">
        <v>68</v>
      </c>
      <c r="D10" s="2120">
        <v>59</v>
      </c>
      <c r="E10" s="2121">
        <v>67</v>
      </c>
      <c r="F10" s="2122">
        <v>45</v>
      </c>
      <c r="G10" s="2120">
        <v>50</v>
      </c>
      <c r="H10" s="2120">
        <v>40</v>
      </c>
      <c r="I10" s="2121">
        <v>43</v>
      </c>
      <c r="J10" s="2123">
        <v>36</v>
      </c>
      <c r="K10" s="2122">
        <v>264</v>
      </c>
      <c r="L10" s="2120">
        <v>178</v>
      </c>
    </row>
    <row r="11" spans="1:12" ht="15" customHeight="1" x14ac:dyDescent="0.25">
      <c r="A11" s="1023" t="s">
        <v>300</v>
      </c>
      <c r="B11" s="2119">
        <v>194</v>
      </c>
      <c r="C11" s="2120">
        <v>195</v>
      </c>
      <c r="D11" s="2120">
        <v>173</v>
      </c>
      <c r="E11" s="2121">
        <v>176</v>
      </c>
      <c r="F11" s="2122">
        <v>196</v>
      </c>
      <c r="G11" s="2120">
        <v>191</v>
      </c>
      <c r="H11" s="2120">
        <v>186</v>
      </c>
      <c r="I11" s="2121">
        <v>172</v>
      </c>
      <c r="J11" s="2123">
        <v>173</v>
      </c>
      <c r="K11" s="2122">
        <v>738</v>
      </c>
      <c r="L11" s="2120">
        <v>745</v>
      </c>
    </row>
    <row r="12" spans="1:12" ht="15" customHeight="1" x14ac:dyDescent="0.25">
      <c r="A12" s="343" t="s">
        <v>276</v>
      </c>
      <c r="B12" s="130">
        <v>0</v>
      </c>
      <c r="C12" s="131">
        <v>0</v>
      </c>
      <c r="D12" s="131">
        <v>0</v>
      </c>
      <c r="E12" s="2121">
        <v>1</v>
      </c>
      <c r="F12" s="131">
        <v>0</v>
      </c>
      <c r="G12" s="2120">
        <v>1</v>
      </c>
      <c r="H12" s="131">
        <v>0</v>
      </c>
      <c r="I12" s="2121">
        <v>1</v>
      </c>
      <c r="J12" s="2123">
        <v>1</v>
      </c>
      <c r="K12" s="2122">
        <v>1</v>
      </c>
      <c r="L12" s="2120">
        <v>2</v>
      </c>
    </row>
    <row r="13" spans="1:12" ht="15" customHeight="1" x14ac:dyDescent="0.25">
      <c r="A13" s="1023" t="s">
        <v>277</v>
      </c>
      <c r="B13" s="2119">
        <v>194</v>
      </c>
      <c r="C13" s="2120">
        <v>195</v>
      </c>
      <c r="D13" s="2120">
        <v>173</v>
      </c>
      <c r="E13" s="2121">
        <v>177</v>
      </c>
      <c r="F13" s="2122">
        <v>196</v>
      </c>
      <c r="G13" s="2120">
        <v>192</v>
      </c>
      <c r="H13" s="2120">
        <v>186</v>
      </c>
      <c r="I13" s="2121">
        <v>173</v>
      </c>
      <c r="J13" s="2123">
        <v>174</v>
      </c>
      <c r="K13" s="2122">
        <v>739</v>
      </c>
      <c r="L13" s="2120">
        <v>747</v>
      </c>
    </row>
    <row r="14" spans="1:12" ht="15" customHeight="1" x14ac:dyDescent="0.25">
      <c r="A14" s="1023" t="s">
        <v>307</v>
      </c>
      <c r="B14" s="130"/>
      <c r="C14" s="131"/>
      <c r="D14" s="131"/>
      <c r="E14" s="132"/>
      <c r="F14" s="2205"/>
      <c r="G14" s="2206"/>
      <c r="H14" s="2206"/>
      <c r="I14" s="2207"/>
      <c r="J14" s="2208"/>
      <c r="K14" s="2205"/>
      <c r="L14" s="2206"/>
    </row>
    <row r="15" spans="1:12" ht="15" customHeight="1" x14ac:dyDescent="0.25">
      <c r="A15" s="343" t="s">
        <v>896</v>
      </c>
      <c r="B15" s="2119">
        <v>29</v>
      </c>
      <c r="C15" s="2120">
        <v>31</v>
      </c>
      <c r="D15" s="2120">
        <v>29</v>
      </c>
      <c r="E15" s="2121">
        <v>27</v>
      </c>
      <c r="F15" s="2122">
        <v>31</v>
      </c>
      <c r="G15" s="2120">
        <v>29</v>
      </c>
      <c r="H15" s="2120">
        <v>28</v>
      </c>
      <c r="I15" s="2121">
        <v>23</v>
      </c>
      <c r="J15" s="2123">
        <v>30</v>
      </c>
      <c r="K15" s="2122">
        <v>116</v>
      </c>
      <c r="L15" s="2120">
        <v>111</v>
      </c>
    </row>
    <row r="16" spans="1:12" ht="15" customHeight="1" x14ac:dyDescent="0.25">
      <c r="A16" s="1023" t="s">
        <v>897</v>
      </c>
      <c r="B16" s="2119">
        <v>165</v>
      </c>
      <c r="C16" s="2120">
        <v>164</v>
      </c>
      <c r="D16" s="2120">
        <v>144</v>
      </c>
      <c r="E16" s="2121">
        <v>149</v>
      </c>
      <c r="F16" s="2122">
        <v>165</v>
      </c>
      <c r="G16" s="2120">
        <v>162</v>
      </c>
      <c r="H16" s="2120">
        <v>158</v>
      </c>
      <c r="I16" s="2121">
        <v>149</v>
      </c>
      <c r="J16" s="2123">
        <v>143</v>
      </c>
      <c r="K16" s="2122">
        <v>622</v>
      </c>
      <c r="L16" s="2120">
        <v>634</v>
      </c>
    </row>
    <row r="17" spans="1:12" ht="15" customHeight="1" x14ac:dyDescent="0.25">
      <c r="A17" s="1023" t="s">
        <v>917</v>
      </c>
      <c r="B17" s="2119">
        <v>165</v>
      </c>
      <c r="C17" s="2120">
        <v>169</v>
      </c>
      <c r="D17" s="2120">
        <v>138</v>
      </c>
      <c r="E17" s="2121">
        <v>143</v>
      </c>
      <c r="F17" s="2122">
        <v>168</v>
      </c>
      <c r="G17" s="2120">
        <v>164</v>
      </c>
      <c r="H17" s="2120">
        <v>161</v>
      </c>
      <c r="I17" s="2121">
        <v>155</v>
      </c>
      <c r="J17" s="2123">
        <v>145</v>
      </c>
      <c r="K17" s="2122">
        <v>622</v>
      </c>
      <c r="L17" s="2120">
        <v>658</v>
      </c>
    </row>
    <row r="18" spans="1:12" ht="15" customHeight="1" x14ac:dyDescent="0.25">
      <c r="A18" s="343" t="s">
        <v>901</v>
      </c>
      <c r="B18" s="130">
        <v>0</v>
      </c>
      <c r="C18" s="131">
        <v>-5</v>
      </c>
      <c r="D18" s="131">
        <v>6</v>
      </c>
      <c r="E18" s="132">
        <v>6</v>
      </c>
      <c r="F18" s="2205">
        <v>-3</v>
      </c>
      <c r="G18" s="2206">
        <v>-2</v>
      </c>
      <c r="H18" s="2206">
        <v>-3</v>
      </c>
      <c r="I18" s="2207">
        <v>-6</v>
      </c>
      <c r="J18" s="2208">
        <v>-2</v>
      </c>
      <c r="K18" s="2263">
        <v>0</v>
      </c>
      <c r="L18" s="2206">
        <v>-24</v>
      </c>
    </row>
    <row r="19" spans="1:12" ht="15" customHeight="1" x14ac:dyDescent="0.25">
      <c r="A19" s="1023" t="s">
        <v>918</v>
      </c>
      <c r="B19" s="130"/>
      <c r="C19" s="131"/>
      <c r="D19" s="131"/>
      <c r="E19" s="132"/>
      <c r="F19" s="2205"/>
      <c r="G19" s="2206"/>
      <c r="H19" s="2206"/>
      <c r="I19" s="2207"/>
      <c r="J19" s="2208"/>
      <c r="K19" s="2205"/>
      <c r="L19" s="2206"/>
    </row>
    <row r="20" spans="1:12" ht="15" customHeight="1" x14ac:dyDescent="0.25">
      <c r="A20" s="343" t="s">
        <v>896</v>
      </c>
      <c r="B20" s="2119">
        <v>29</v>
      </c>
      <c r="C20" s="2120">
        <v>31</v>
      </c>
      <c r="D20" s="2120">
        <v>29</v>
      </c>
      <c r="E20" s="2121">
        <v>27</v>
      </c>
      <c r="F20" s="2122">
        <v>31</v>
      </c>
      <c r="G20" s="2120">
        <v>29</v>
      </c>
      <c r="H20" s="2120">
        <v>28</v>
      </c>
      <c r="I20" s="2121">
        <v>23</v>
      </c>
      <c r="J20" s="2123">
        <v>30</v>
      </c>
      <c r="K20" s="2122">
        <v>116</v>
      </c>
      <c r="L20" s="2120">
        <v>111</v>
      </c>
    </row>
    <row r="21" spans="1:12" ht="15" customHeight="1" x14ac:dyDescent="0.25">
      <c r="A21" s="1023" t="s">
        <v>900</v>
      </c>
      <c r="B21" s="2119">
        <v>165</v>
      </c>
      <c r="C21" s="2120">
        <v>164</v>
      </c>
      <c r="D21" s="2120">
        <v>144</v>
      </c>
      <c r="E21" s="2121">
        <v>150</v>
      </c>
      <c r="F21" s="2122">
        <v>165</v>
      </c>
      <c r="G21" s="2120">
        <v>163</v>
      </c>
      <c r="H21" s="2120">
        <v>158</v>
      </c>
      <c r="I21" s="2121">
        <v>150</v>
      </c>
      <c r="J21" s="2123">
        <v>144</v>
      </c>
      <c r="K21" s="2122">
        <v>623</v>
      </c>
      <c r="L21" s="2120">
        <v>636</v>
      </c>
    </row>
    <row r="22" spans="1:12" ht="15" customHeight="1" x14ac:dyDescent="0.25">
      <c r="A22" s="1023" t="s">
        <v>917</v>
      </c>
      <c r="B22" s="2119">
        <v>165</v>
      </c>
      <c r="C22" s="2120">
        <v>169</v>
      </c>
      <c r="D22" s="2120">
        <v>138</v>
      </c>
      <c r="E22" s="2121">
        <v>143</v>
      </c>
      <c r="F22" s="2122">
        <v>169</v>
      </c>
      <c r="G22" s="2120">
        <v>165</v>
      </c>
      <c r="H22" s="2120">
        <v>161</v>
      </c>
      <c r="I22" s="2121">
        <v>155</v>
      </c>
      <c r="J22" s="2123">
        <v>145</v>
      </c>
      <c r="K22" s="2122">
        <v>623</v>
      </c>
      <c r="L22" s="2120">
        <v>659</v>
      </c>
    </row>
    <row r="23" spans="1:12" ht="15" customHeight="1" x14ac:dyDescent="0.25">
      <c r="A23" s="343" t="s">
        <v>901</v>
      </c>
      <c r="B23" s="137">
        <v>0</v>
      </c>
      <c r="C23" s="131">
        <v>-5</v>
      </c>
      <c r="D23" s="131">
        <v>6</v>
      </c>
      <c r="E23" s="132">
        <v>7</v>
      </c>
      <c r="F23" s="2205">
        <v>-4</v>
      </c>
      <c r="G23" s="2206">
        <v>-2</v>
      </c>
      <c r="H23" s="2206">
        <v>-3</v>
      </c>
      <c r="I23" s="2207">
        <v>-5</v>
      </c>
      <c r="J23" s="136">
        <v>-1</v>
      </c>
      <c r="K23" s="2205">
        <v>0</v>
      </c>
      <c r="L23" s="134">
        <v>-23</v>
      </c>
    </row>
    <row r="24" spans="1:12" ht="15" customHeight="1" x14ac:dyDescent="0.25">
      <c r="A24" s="2209" t="s">
        <v>919</v>
      </c>
      <c r="B24" s="2210"/>
      <c r="C24" s="2211"/>
      <c r="D24" s="2211"/>
      <c r="E24" s="2212"/>
      <c r="F24" s="2213"/>
      <c r="G24" s="704"/>
      <c r="H24" s="704"/>
      <c r="I24" s="2214"/>
      <c r="J24" s="2215"/>
      <c r="K24" s="2216"/>
      <c r="L24" s="2217"/>
    </row>
    <row r="25" spans="1:12" ht="15" customHeight="1" x14ac:dyDescent="0.25">
      <c r="A25" s="343" t="s">
        <v>920</v>
      </c>
      <c r="B25" s="146">
        <v>7.08</v>
      </c>
      <c r="C25" s="139">
        <v>6.91</v>
      </c>
      <c r="D25" s="139">
        <v>6.66</v>
      </c>
      <c r="E25" s="140">
        <v>6.81</v>
      </c>
      <c r="F25" s="2218">
        <v>6.99</v>
      </c>
      <c r="G25" s="2219">
        <v>7.19</v>
      </c>
      <c r="H25" s="2219">
        <v>7.15</v>
      </c>
      <c r="I25" s="2220">
        <v>6.98</v>
      </c>
      <c r="J25" s="2221">
        <v>6.91</v>
      </c>
      <c r="K25" s="2222">
        <v>6.87</v>
      </c>
      <c r="L25" s="2219">
        <v>7.07</v>
      </c>
    </row>
    <row r="26" spans="1:12" ht="15" customHeight="1" x14ac:dyDescent="0.25">
      <c r="A26" s="1023" t="s">
        <v>921</v>
      </c>
      <c r="B26" s="249"/>
      <c r="C26" s="250"/>
      <c r="D26" s="2224"/>
      <c r="E26" s="2225"/>
      <c r="F26" s="2226"/>
      <c r="G26" s="2227"/>
      <c r="H26" s="2227"/>
      <c r="I26" s="2228"/>
      <c r="J26" s="2229"/>
      <c r="K26" s="2230"/>
      <c r="L26" s="2227"/>
    </row>
    <row r="27" spans="1:12" ht="15" customHeight="1" x14ac:dyDescent="0.25">
      <c r="A27" s="179" t="s">
        <v>922</v>
      </c>
      <c r="B27" s="146">
        <v>0.76</v>
      </c>
      <c r="C27" s="139">
        <v>0.93</v>
      </c>
      <c r="D27" s="139">
        <v>0.83</v>
      </c>
      <c r="E27" s="140">
        <v>0.84</v>
      </c>
      <c r="F27" s="2218">
        <v>0.85</v>
      </c>
      <c r="G27" s="2219">
        <v>0.69</v>
      </c>
      <c r="H27" s="2219">
        <v>0.82</v>
      </c>
      <c r="I27" s="2264">
        <v>0.79</v>
      </c>
      <c r="J27" s="2221">
        <v>0.85</v>
      </c>
      <c r="K27" s="2222">
        <v>0.84</v>
      </c>
      <c r="L27" s="2219">
        <v>0.79</v>
      </c>
    </row>
    <row r="28" spans="1:12" ht="15" customHeight="1" x14ac:dyDescent="0.25">
      <c r="A28" s="179" t="s">
        <v>923</v>
      </c>
      <c r="B28" s="146">
        <v>0.92</v>
      </c>
      <c r="C28" s="139">
        <v>0.83</v>
      </c>
      <c r="D28" s="139">
        <v>0.74</v>
      </c>
      <c r="E28" s="140">
        <v>0.83</v>
      </c>
      <c r="F28" s="2218">
        <v>0.91</v>
      </c>
      <c r="G28" s="2219">
        <v>0.91</v>
      </c>
      <c r="H28" s="2219">
        <v>0.75</v>
      </c>
      <c r="I28" s="2264">
        <v>0.79</v>
      </c>
      <c r="J28" s="2221">
        <v>0.96</v>
      </c>
      <c r="K28" s="2222">
        <v>0.83</v>
      </c>
      <c r="L28" s="2219">
        <v>0.84</v>
      </c>
    </row>
    <row r="29" spans="1:12" ht="15" customHeight="1" x14ac:dyDescent="0.25">
      <c r="A29" s="179" t="s">
        <v>314</v>
      </c>
      <c r="B29" s="147">
        <v>47.68</v>
      </c>
      <c r="C29" s="148">
        <v>47.5</v>
      </c>
      <c r="D29" s="148">
        <v>51.5</v>
      </c>
      <c r="E29" s="149">
        <v>51.4</v>
      </c>
      <c r="F29" s="2233">
        <v>49.3</v>
      </c>
      <c r="G29" s="2234">
        <v>50</v>
      </c>
      <c r="H29" s="2234">
        <v>50.3</v>
      </c>
      <c r="I29" s="2239">
        <v>53.5</v>
      </c>
      <c r="J29" s="2236">
        <v>52.6</v>
      </c>
      <c r="K29" s="2237">
        <v>49.5</v>
      </c>
      <c r="L29" s="2234">
        <v>50.8</v>
      </c>
    </row>
    <row r="30" spans="1:12" ht="15" customHeight="1" x14ac:dyDescent="0.25">
      <c r="A30" s="2209" t="s">
        <v>906</v>
      </c>
      <c r="B30" s="2210"/>
      <c r="C30" s="2211"/>
      <c r="D30" s="2211"/>
      <c r="E30" s="2212"/>
      <c r="F30" s="2213"/>
      <c r="G30" s="704"/>
      <c r="H30" s="704"/>
      <c r="I30" s="2214"/>
      <c r="J30" s="2215"/>
      <c r="K30" s="2216"/>
      <c r="L30" s="2217"/>
    </row>
    <row r="31" spans="1:12" ht="15" customHeight="1" x14ac:dyDescent="0.25">
      <c r="A31" s="1051" t="s">
        <v>316</v>
      </c>
      <c r="B31" s="147">
        <v>6.2</v>
      </c>
      <c r="C31" s="148">
        <v>6.1</v>
      </c>
      <c r="D31" s="2265">
        <v>6.2</v>
      </c>
      <c r="E31" s="149">
        <v>6.1</v>
      </c>
      <c r="F31" s="2237">
        <v>5.8</v>
      </c>
      <c r="G31" s="2238">
        <v>5.8</v>
      </c>
      <c r="H31" s="2238">
        <v>5.7</v>
      </c>
      <c r="I31" s="2266">
        <v>5.6</v>
      </c>
      <c r="J31" s="2267">
        <v>5.5</v>
      </c>
      <c r="K31" s="2237">
        <v>6.1999999999999993</v>
      </c>
      <c r="L31" s="2238">
        <v>5.8</v>
      </c>
    </row>
    <row r="32" spans="1:12" ht="15" customHeight="1" x14ac:dyDescent="0.25">
      <c r="A32" s="343" t="s">
        <v>346</v>
      </c>
      <c r="B32" s="147">
        <v>2.7</v>
      </c>
      <c r="C32" s="148">
        <v>2.6</v>
      </c>
      <c r="D32" s="148">
        <v>2.7</v>
      </c>
      <c r="E32" s="149">
        <v>2.7</v>
      </c>
      <c r="F32" s="2237">
        <v>2.5</v>
      </c>
      <c r="G32" s="2238">
        <v>2.5</v>
      </c>
      <c r="H32" s="2238">
        <v>2.4</v>
      </c>
      <c r="I32" s="2266">
        <v>2.4</v>
      </c>
      <c r="J32" s="2267">
        <v>2.5</v>
      </c>
      <c r="K32" s="2237">
        <v>2.7</v>
      </c>
      <c r="L32" s="2238">
        <v>2.5</v>
      </c>
    </row>
    <row r="33" spans="1:12" ht="15" customHeight="1" x14ac:dyDescent="0.25">
      <c r="A33" s="343" t="s">
        <v>347</v>
      </c>
      <c r="B33" s="147">
        <v>0.9</v>
      </c>
      <c r="C33" s="148">
        <v>0.9</v>
      </c>
      <c r="D33" s="148">
        <v>1</v>
      </c>
      <c r="E33" s="149">
        <v>1</v>
      </c>
      <c r="F33" s="2237">
        <v>0.9</v>
      </c>
      <c r="G33" s="2238">
        <v>0.9</v>
      </c>
      <c r="H33" s="2238">
        <v>0.9</v>
      </c>
      <c r="I33" s="2266">
        <v>0.9</v>
      </c>
      <c r="J33" s="2267">
        <v>0.9</v>
      </c>
      <c r="K33" s="2237">
        <v>0.9</v>
      </c>
      <c r="L33" s="2238">
        <v>0.9</v>
      </c>
    </row>
    <row r="34" spans="1:12" ht="15" customHeight="1" x14ac:dyDescent="0.25">
      <c r="A34" s="343" t="s">
        <v>319</v>
      </c>
      <c r="B34" s="147">
        <v>6</v>
      </c>
      <c r="C34" s="148">
        <v>6</v>
      </c>
      <c r="D34" s="148">
        <v>6</v>
      </c>
      <c r="E34" s="149">
        <v>6.1</v>
      </c>
      <c r="F34" s="2237">
        <v>6</v>
      </c>
      <c r="G34" s="2238">
        <v>5.9</v>
      </c>
      <c r="H34" s="2238">
        <v>5.9</v>
      </c>
      <c r="I34" s="2266">
        <v>5.9</v>
      </c>
      <c r="J34" s="2267">
        <v>5.6</v>
      </c>
      <c r="K34" s="2237">
        <v>6</v>
      </c>
      <c r="L34" s="2238">
        <v>5.8000000000000007</v>
      </c>
    </row>
    <row r="35" spans="1:12" ht="15" customHeight="1" x14ac:dyDescent="0.25">
      <c r="A35" s="1023" t="s">
        <v>348</v>
      </c>
      <c r="B35" s="147">
        <v>15.8</v>
      </c>
      <c r="C35" s="148">
        <v>15.6</v>
      </c>
      <c r="D35" s="148">
        <v>15.9</v>
      </c>
      <c r="E35" s="149">
        <v>15.9</v>
      </c>
      <c r="F35" s="154">
        <v>15.2</v>
      </c>
      <c r="G35" s="2238">
        <v>15.1</v>
      </c>
      <c r="H35" s="2238">
        <v>14.9</v>
      </c>
      <c r="I35" s="2266">
        <v>14.8</v>
      </c>
      <c r="J35" s="2267">
        <v>14.5</v>
      </c>
      <c r="K35" s="154">
        <v>15.8</v>
      </c>
      <c r="L35" s="148">
        <v>15.000000000000002</v>
      </c>
    </row>
    <row r="36" spans="1:12" ht="15" customHeight="1" x14ac:dyDescent="0.25">
      <c r="A36" s="1023"/>
      <c r="B36" s="147"/>
      <c r="C36" s="148"/>
      <c r="D36" s="148"/>
      <c r="E36" s="149"/>
      <c r="F36" s="154"/>
      <c r="G36" s="2238"/>
      <c r="H36" s="2238"/>
      <c r="I36" s="2266"/>
      <c r="J36" s="2267"/>
      <c r="K36" s="154"/>
      <c r="L36" s="148"/>
    </row>
    <row r="37" spans="1:12" ht="15" customHeight="1" x14ac:dyDescent="0.25">
      <c r="A37" s="2268" t="s">
        <v>325</v>
      </c>
      <c r="B37" s="2269">
        <v>22.1</v>
      </c>
      <c r="C37" s="2270">
        <v>22</v>
      </c>
      <c r="D37" s="2270">
        <v>21.7</v>
      </c>
      <c r="E37" s="2271">
        <v>20.8</v>
      </c>
      <c r="F37" s="2272">
        <v>20.100000000000001</v>
      </c>
      <c r="G37" s="2273">
        <v>20.3</v>
      </c>
      <c r="H37" s="2273">
        <v>20.100000000000001</v>
      </c>
      <c r="I37" s="2274">
        <v>19.8</v>
      </c>
      <c r="J37" s="2275">
        <v>20.3</v>
      </c>
      <c r="K37" s="2272">
        <v>21.6</v>
      </c>
      <c r="L37" s="2273">
        <v>20.100000000000001</v>
      </c>
    </row>
    <row r="38" spans="1:12" ht="12" customHeight="1" x14ac:dyDescent="0.25">
      <c r="A38" s="2276"/>
      <c r="B38" s="2276"/>
      <c r="C38" s="2276"/>
      <c r="D38" s="2276"/>
      <c r="E38" s="2276"/>
      <c r="F38" s="2276"/>
      <c r="G38" s="2276"/>
      <c r="H38" s="2276"/>
      <c r="I38" s="2276"/>
      <c r="J38" s="2276"/>
      <c r="K38" s="2276"/>
      <c r="L38" s="2276"/>
    </row>
    <row r="39" spans="1:12" ht="12" customHeight="1" x14ac:dyDescent="0.25">
      <c r="A39" s="2850" t="s">
        <v>353</v>
      </c>
      <c r="B39" s="2913" t="s">
        <v>15</v>
      </c>
      <c r="C39" s="2913" t="s">
        <v>15</v>
      </c>
      <c r="D39" s="2913" t="s">
        <v>15</v>
      </c>
      <c r="E39" s="2913" t="s">
        <v>15</v>
      </c>
      <c r="F39" s="2913" t="s">
        <v>15</v>
      </c>
      <c r="G39" s="2913" t="s">
        <v>15</v>
      </c>
      <c r="H39" s="2913" t="s">
        <v>15</v>
      </c>
      <c r="I39" s="2913" t="s">
        <v>15</v>
      </c>
      <c r="J39" s="2913" t="s">
        <v>15</v>
      </c>
      <c r="K39" s="2913" t="s">
        <v>15</v>
      </c>
      <c r="L39" s="2913" t="s">
        <v>15</v>
      </c>
    </row>
    <row r="40" spans="1:12" ht="23.55" customHeight="1" x14ac:dyDescent="0.25">
      <c r="A40" s="2861" t="s">
        <v>924</v>
      </c>
      <c r="B40" s="2816" t="s">
        <v>15</v>
      </c>
      <c r="C40" s="2816" t="s">
        <v>15</v>
      </c>
      <c r="D40" s="2816" t="s">
        <v>15</v>
      </c>
      <c r="E40" s="2816" t="s">
        <v>15</v>
      </c>
      <c r="F40" s="2816" t="s">
        <v>15</v>
      </c>
      <c r="G40" s="2816" t="s">
        <v>15</v>
      </c>
      <c r="H40" s="2816" t="s">
        <v>15</v>
      </c>
      <c r="I40" s="2816" t="s">
        <v>15</v>
      </c>
      <c r="J40" s="2816" t="s">
        <v>15</v>
      </c>
      <c r="K40" s="2816" t="s">
        <v>15</v>
      </c>
      <c r="L40" s="2816" t="s">
        <v>15</v>
      </c>
    </row>
    <row r="41" spans="1:12" ht="12" customHeight="1" x14ac:dyDescent="0.25">
      <c r="A41" s="2850" t="s">
        <v>925</v>
      </c>
      <c r="B41" s="2913" t="s">
        <v>15</v>
      </c>
      <c r="C41" s="2913" t="s">
        <v>15</v>
      </c>
      <c r="D41" s="2913" t="s">
        <v>15</v>
      </c>
      <c r="E41" s="2913" t="s">
        <v>15</v>
      </c>
      <c r="F41" s="2913" t="s">
        <v>15</v>
      </c>
      <c r="G41" s="2913" t="s">
        <v>15</v>
      </c>
      <c r="H41" s="2913" t="s">
        <v>15</v>
      </c>
      <c r="I41" s="2913" t="s">
        <v>15</v>
      </c>
      <c r="J41" s="2913" t="s">
        <v>15</v>
      </c>
      <c r="K41" s="2913" t="s">
        <v>15</v>
      </c>
      <c r="L41" s="2913" t="s">
        <v>15</v>
      </c>
    </row>
    <row r="42" spans="1:12" ht="12" customHeight="1" x14ac:dyDescent="0.25">
      <c r="A42" s="2850" t="s">
        <v>926</v>
      </c>
      <c r="B42" s="2946" t="s">
        <v>15</v>
      </c>
      <c r="C42" s="2946" t="s">
        <v>15</v>
      </c>
      <c r="D42" s="2946" t="s">
        <v>15</v>
      </c>
      <c r="E42" s="2946" t="s">
        <v>15</v>
      </c>
      <c r="F42" s="2946" t="s">
        <v>15</v>
      </c>
      <c r="G42" s="2946" t="s">
        <v>15</v>
      </c>
      <c r="H42" s="2946" t="s">
        <v>15</v>
      </c>
      <c r="I42" s="2946" t="s">
        <v>15</v>
      </c>
      <c r="J42" s="2946" t="s">
        <v>15</v>
      </c>
      <c r="K42" s="2946" t="s">
        <v>15</v>
      </c>
      <c r="L42" s="2946" t="s">
        <v>15</v>
      </c>
    </row>
    <row r="43" spans="1:12" ht="12" customHeight="1" x14ac:dyDescent="0.25">
      <c r="A43" s="2850" t="s">
        <v>377</v>
      </c>
      <c r="B43" s="2946" t="s">
        <v>15</v>
      </c>
      <c r="C43" s="2946" t="s">
        <v>15</v>
      </c>
      <c r="D43" s="2946" t="s">
        <v>15</v>
      </c>
      <c r="E43" s="2946" t="s">
        <v>15</v>
      </c>
      <c r="F43" s="2946" t="s">
        <v>15</v>
      </c>
      <c r="G43" s="2946" t="s">
        <v>15</v>
      </c>
      <c r="H43" s="2946" t="s">
        <v>15</v>
      </c>
      <c r="I43" s="2946" t="s">
        <v>15</v>
      </c>
      <c r="J43" s="2946" t="s">
        <v>15</v>
      </c>
      <c r="K43" s="2946" t="s">
        <v>15</v>
      </c>
      <c r="L43" s="2946" t="s">
        <v>15</v>
      </c>
    </row>
    <row r="44" spans="1:12" ht="12" customHeight="1" x14ac:dyDescent="0.25">
      <c r="A44" s="861" t="s">
        <v>378</v>
      </c>
      <c r="B44" s="1751"/>
      <c r="C44" s="1751"/>
      <c r="D44" s="1751"/>
      <c r="E44" s="1751"/>
      <c r="F44" s="1751"/>
      <c r="G44" s="1751"/>
      <c r="H44" s="1751"/>
      <c r="I44" s="1751"/>
      <c r="J44" s="1751"/>
      <c r="K44" s="1751"/>
      <c r="L44" s="1751"/>
    </row>
  </sheetData>
  <mergeCells count="9">
    <mergeCell ref="A41:L41"/>
    <mergeCell ref="A42:L42"/>
    <mergeCell ref="A43:L43"/>
    <mergeCell ref="A2:L2"/>
    <mergeCell ref="B3:E3"/>
    <mergeCell ref="F3:I3"/>
    <mergeCell ref="K3:L3"/>
    <mergeCell ref="A39:L39"/>
    <mergeCell ref="A40:L40"/>
  </mergeCells>
  <hyperlinks>
    <hyperlink ref="A1" location="ToC!A2" display="Back to Table of Contents" xr:uid="{0F39C6A7-0ACC-4C9E-BA57-044BFCC4348E}"/>
  </hyperlinks>
  <pageMargins left="0.5" right="0.5" top="0.5" bottom="0.5" header="0.25" footer="0.25"/>
  <pageSetup scale="59" orientation="landscape" r:id="rId1"/>
  <headerFooter>
    <oddFooter>&amp;L&amp;G&amp;C&amp;"Scotia,Regular"&amp;9Supplementary Financial Information (SFI)&amp;R29&amp;"Scotia,Regular"&amp;7</oddFoot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0DB0-47BC-4246-AA26-2A31A562C6BF}">
  <sheetPr>
    <pageSetUpPr fitToPage="1"/>
  </sheetPr>
  <dimension ref="A1:L44"/>
  <sheetViews>
    <sheetView showGridLines="0" zoomScaleNormal="100" workbookViewId="0"/>
  </sheetViews>
  <sheetFormatPr defaultColWidth="8.77734375" defaultRowHeight="13.2" x14ac:dyDescent="0.25"/>
  <cols>
    <col min="1" max="1" width="79.21875" style="23" customWidth="1"/>
    <col min="2" max="12" width="12.5546875" style="23" customWidth="1"/>
    <col min="13" max="16384" width="8.77734375" style="23"/>
  </cols>
  <sheetData>
    <row r="1" spans="1:12" ht="19.95" customHeight="1" x14ac:dyDescent="0.25">
      <c r="A1" s="22" t="s">
        <v>12</v>
      </c>
    </row>
    <row r="2" spans="1:12" ht="25.35" customHeight="1" x14ac:dyDescent="0.25">
      <c r="A2" s="2823" t="s">
        <v>927</v>
      </c>
      <c r="B2" s="2823" t="s">
        <v>15</v>
      </c>
      <c r="C2" s="2823" t="s">
        <v>15</v>
      </c>
      <c r="D2" s="2823" t="s">
        <v>15</v>
      </c>
      <c r="E2" s="2823" t="s">
        <v>15</v>
      </c>
      <c r="F2" s="2823" t="s">
        <v>15</v>
      </c>
      <c r="G2" s="2823" t="s">
        <v>15</v>
      </c>
      <c r="H2" s="2823" t="s">
        <v>15</v>
      </c>
      <c r="I2" s="2823" t="s">
        <v>15</v>
      </c>
      <c r="J2" s="2823" t="s">
        <v>15</v>
      </c>
      <c r="K2" s="2823" t="s">
        <v>15</v>
      </c>
      <c r="L2" s="2823" t="s">
        <v>15</v>
      </c>
    </row>
    <row r="3" spans="1:12" ht="15" customHeight="1" x14ac:dyDescent="0.25">
      <c r="A3" s="2190"/>
      <c r="B3" s="2940"/>
      <c r="C3" s="2941"/>
      <c r="D3" s="2941"/>
      <c r="E3" s="2942"/>
      <c r="F3" s="2943"/>
      <c r="G3" s="2944"/>
      <c r="H3" s="2944"/>
      <c r="I3" s="2945"/>
      <c r="J3" s="2191"/>
      <c r="K3" s="2824" t="s">
        <v>163</v>
      </c>
      <c r="L3" s="2825" t="s">
        <v>15</v>
      </c>
    </row>
    <row r="4" spans="1:12" ht="15" customHeight="1" x14ac:dyDescent="0.25">
      <c r="A4" s="343"/>
      <c r="B4" s="229" t="s">
        <v>165</v>
      </c>
      <c r="C4" s="230" t="s">
        <v>166</v>
      </c>
      <c r="D4" s="230" t="s">
        <v>167</v>
      </c>
      <c r="E4" s="231" t="s">
        <v>168</v>
      </c>
      <c r="F4" s="2250" t="s">
        <v>169</v>
      </c>
      <c r="G4" s="2251" t="s">
        <v>170</v>
      </c>
      <c r="H4" s="2251" t="s">
        <v>171</v>
      </c>
      <c r="I4" s="2252" t="s">
        <v>172</v>
      </c>
      <c r="J4" s="2253" t="s">
        <v>173</v>
      </c>
      <c r="K4" s="2254">
        <v>2025</v>
      </c>
      <c r="L4" s="2255">
        <v>2024</v>
      </c>
    </row>
    <row r="5" spans="1:12" ht="15" customHeight="1" x14ac:dyDescent="0.25">
      <c r="A5" s="2209" t="s">
        <v>928</v>
      </c>
      <c r="B5" s="2256"/>
      <c r="C5" s="2257"/>
      <c r="D5" s="2257"/>
      <c r="E5" s="2258"/>
      <c r="F5" s="2259"/>
      <c r="G5" s="2260"/>
      <c r="H5" s="2260"/>
      <c r="I5" s="2261"/>
      <c r="J5" s="2262"/>
      <c r="K5" s="2259"/>
      <c r="L5" s="2260"/>
    </row>
    <row r="6" spans="1:12" ht="15" customHeight="1" x14ac:dyDescent="0.25">
      <c r="A6" s="1051" t="s">
        <v>892</v>
      </c>
      <c r="B6" s="2119">
        <v>103</v>
      </c>
      <c r="C6" s="2120">
        <v>112</v>
      </c>
      <c r="D6" s="2120">
        <v>106</v>
      </c>
      <c r="E6" s="2121">
        <v>108</v>
      </c>
      <c r="F6" s="2122">
        <v>99</v>
      </c>
      <c r="G6" s="2120">
        <v>112</v>
      </c>
      <c r="H6" s="2120">
        <v>99</v>
      </c>
      <c r="I6" s="2121">
        <v>98</v>
      </c>
      <c r="J6" s="2123">
        <v>98</v>
      </c>
      <c r="K6" s="2122">
        <v>429</v>
      </c>
      <c r="L6" s="2120">
        <v>408</v>
      </c>
    </row>
    <row r="7" spans="1:12" ht="15" customHeight="1" x14ac:dyDescent="0.25">
      <c r="A7" s="343" t="s">
        <v>271</v>
      </c>
      <c r="B7" s="2119">
        <v>19</v>
      </c>
      <c r="C7" s="2120">
        <v>18</v>
      </c>
      <c r="D7" s="2120">
        <v>15</v>
      </c>
      <c r="E7" s="2121">
        <v>14</v>
      </c>
      <c r="F7" s="2122">
        <v>14</v>
      </c>
      <c r="G7" s="2120">
        <v>8</v>
      </c>
      <c r="H7" s="2120">
        <v>6</v>
      </c>
      <c r="I7" s="2121">
        <v>9</v>
      </c>
      <c r="J7" s="2123">
        <v>5</v>
      </c>
      <c r="K7" s="2122">
        <v>66</v>
      </c>
      <c r="L7" s="2120">
        <v>37</v>
      </c>
    </row>
    <row r="8" spans="1:12" ht="15" customHeight="1" x14ac:dyDescent="0.25">
      <c r="A8" s="343" t="s">
        <v>298</v>
      </c>
      <c r="B8" s="2119">
        <v>78</v>
      </c>
      <c r="C8" s="2120">
        <v>78</v>
      </c>
      <c r="D8" s="2120">
        <v>76</v>
      </c>
      <c r="E8" s="2121">
        <v>83</v>
      </c>
      <c r="F8" s="2122">
        <v>72</v>
      </c>
      <c r="G8" s="2120">
        <v>77</v>
      </c>
      <c r="H8" s="2120">
        <v>76</v>
      </c>
      <c r="I8" s="2121">
        <v>78</v>
      </c>
      <c r="J8" s="2123">
        <v>75</v>
      </c>
      <c r="K8" s="2122">
        <v>315</v>
      </c>
      <c r="L8" s="2120">
        <v>303</v>
      </c>
    </row>
    <row r="9" spans="1:12" ht="15" customHeight="1" x14ac:dyDescent="0.25">
      <c r="A9" s="343" t="s">
        <v>893</v>
      </c>
      <c r="B9" s="2119">
        <v>6</v>
      </c>
      <c r="C9" s="2120">
        <v>16</v>
      </c>
      <c r="D9" s="2120">
        <v>15</v>
      </c>
      <c r="E9" s="2121">
        <v>11</v>
      </c>
      <c r="F9" s="2122">
        <v>13</v>
      </c>
      <c r="G9" s="2120">
        <v>27</v>
      </c>
      <c r="H9" s="2120">
        <v>17</v>
      </c>
      <c r="I9" s="2121">
        <v>11</v>
      </c>
      <c r="J9" s="2123">
        <v>18</v>
      </c>
      <c r="K9" s="2122">
        <v>48</v>
      </c>
      <c r="L9" s="2120">
        <v>68</v>
      </c>
    </row>
    <row r="10" spans="1:12" ht="15" customHeight="1" x14ac:dyDescent="0.25">
      <c r="A10" s="343" t="s">
        <v>299</v>
      </c>
      <c r="B10" s="2119">
        <v>4</v>
      </c>
      <c r="C10" s="2120">
        <v>7</v>
      </c>
      <c r="D10" s="2120">
        <v>5</v>
      </c>
      <c r="E10" s="2121">
        <v>2</v>
      </c>
      <c r="F10" s="2122">
        <v>6</v>
      </c>
      <c r="G10" s="2120">
        <v>7</v>
      </c>
      <c r="H10" s="2120">
        <v>6</v>
      </c>
      <c r="I10" s="2121">
        <v>0</v>
      </c>
      <c r="J10" s="2123">
        <v>3</v>
      </c>
      <c r="K10" s="2122">
        <v>18</v>
      </c>
      <c r="L10" s="2120">
        <v>19</v>
      </c>
    </row>
    <row r="11" spans="1:12" ht="15" customHeight="1" x14ac:dyDescent="0.25">
      <c r="A11" s="1023" t="s">
        <v>300</v>
      </c>
      <c r="B11" s="2119">
        <v>2</v>
      </c>
      <c r="C11" s="2120">
        <v>9</v>
      </c>
      <c r="D11" s="2120">
        <v>10</v>
      </c>
      <c r="E11" s="2121">
        <v>9</v>
      </c>
      <c r="F11" s="2122">
        <v>7</v>
      </c>
      <c r="G11" s="2120">
        <v>20</v>
      </c>
      <c r="H11" s="2120">
        <v>11</v>
      </c>
      <c r="I11" s="2121">
        <v>11</v>
      </c>
      <c r="J11" s="2123">
        <v>15</v>
      </c>
      <c r="K11" s="2122">
        <v>30</v>
      </c>
      <c r="L11" s="2120">
        <v>49</v>
      </c>
    </row>
    <row r="12" spans="1:12" ht="15" customHeight="1" x14ac:dyDescent="0.25">
      <c r="A12" s="343" t="s">
        <v>276</v>
      </c>
      <c r="B12" s="130">
        <v>0</v>
      </c>
      <c r="C12" s="131">
        <v>0</v>
      </c>
      <c r="D12" s="131">
        <v>0</v>
      </c>
      <c r="E12" s="132">
        <v>0</v>
      </c>
      <c r="F12" s="2205">
        <v>0</v>
      </c>
      <c r="G12" s="2206">
        <v>0</v>
      </c>
      <c r="H12" s="2206">
        <v>0</v>
      </c>
      <c r="I12" s="2207">
        <v>0</v>
      </c>
      <c r="J12" s="2208">
        <v>0</v>
      </c>
      <c r="K12" s="2205">
        <v>0</v>
      </c>
      <c r="L12" s="2206">
        <v>0</v>
      </c>
    </row>
    <row r="13" spans="1:12" ht="15" customHeight="1" x14ac:dyDescent="0.25">
      <c r="A13" s="1023" t="s">
        <v>277</v>
      </c>
      <c r="B13" s="2119">
        <v>2</v>
      </c>
      <c r="C13" s="2120">
        <v>9</v>
      </c>
      <c r="D13" s="2120">
        <v>10</v>
      </c>
      <c r="E13" s="2121">
        <v>9</v>
      </c>
      <c r="F13" s="2122">
        <v>7</v>
      </c>
      <c r="G13" s="2120">
        <v>20</v>
      </c>
      <c r="H13" s="2120">
        <v>11</v>
      </c>
      <c r="I13" s="2121">
        <v>11</v>
      </c>
      <c r="J13" s="2123">
        <v>15</v>
      </c>
      <c r="K13" s="2122">
        <v>30</v>
      </c>
      <c r="L13" s="2120">
        <v>49</v>
      </c>
    </row>
    <row r="14" spans="1:12" ht="15" customHeight="1" x14ac:dyDescent="0.25">
      <c r="A14" s="1023" t="s">
        <v>307</v>
      </c>
      <c r="B14" s="2119"/>
      <c r="C14" s="2120"/>
      <c r="D14" s="2120"/>
      <c r="E14" s="2121"/>
      <c r="F14" s="2122"/>
      <c r="G14" s="2120"/>
      <c r="H14" s="2120"/>
      <c r="I14" s="2121"/>
      <c r="J14" s="2123"/>
      <c r="K14" s="2122"/>
      <c r="L14" s="2120"/>
    </row>
    <row r="15" spans="1:12" ht="15" customHeight="1" x14ac:dyDescent="0.25">
      <c r="A15" s="343" t="s">
        <v>896</v>
      </c>
      <c r="B15" s="130">
        <v>0</v>
      </c>
      <c r="C15" s="131">
        <v>0</v>
      </c>
      <c r="D15" s="131">
        <v>0</v>
      </c>
      <c r="E15" s="132">
        <v>0</v>
      </c>
      <c r="F15" s="2205">
        <v>0</v>
      </c>
      <c r="G15" s="2206">
        <v>0</v>
      </c>
      <c r="H15" s="2206">
        <v>0</v>
      </c>
      <c r="I15" s="2207">
        <v>0</v>
      </c>
      <c r="J15" s="2208">
        <v>0</v>
      </c>
      <c r="K15" s="2205">
        <v>0</v>
      </c>
      <c r="L15" s="2206">
        <v>0</v>
      </c>
    </row>
    <row r="16" spans="1:12" ht="15" customHeight="1" x14ac:dyDescent="0.25">
      <c r="A16" s="1023" t="s">
        <v>897</v>
      </c>
      <c r="B16" s="2119">
        <v>2</v>
      </c>
      <c r="C16" s="2120">
        <v>9</v>
      </c>
      <c r="D16" s="2120">
        <v>10</v>
      </c>
      <c r="E16" s="2121">
        <v>9</v>
      </c>
      <c r="F16" s="2122">
        <v>7</v>
      </c>
      <c r="G16" s="2120">
        <v>20</v>
      </c>
      <c r="H16" s="2120">
        <v>11</v>
      </c>
      <c r="I16" s="2121">
        <v>11</v>
      </c>
      <c r="J16" s="2123">
        <v>15</v>
      </c>
      <c r="K16" s="2122">
        <v>30</v>
      </c>
      <c r="L16" s="2120">
        <v>49</v>
      </c>
    </row>
    <row r="17" spans="1:12" ht="15" customHeight="1" x14ac:dyDescent="0.25">
      <c r="A17" s="1023" t="s">
        <v>917</v>
      </c>
      <c r="B17" s="2119">
        <v>2</v>
      </c>
      <c r="C17" s="2120">
        <v>9</v>
      </c>
      <c r="D17" s="2120">
        <v>9</v>
      </c>
      <c r="E17" s="2121">
        <v>8</v>
      </c>
      <c r="F17" s="2122">
        <v>6</v>
      </c>
      <c r="G17" s="2120">
        <v>20</v>
      </c>
      <c r="H17" s="2120">
        <v>12</v>
      </c>
      <c r="I17" s="2121">
        <v>10</v>
      </c>
      <c r="J17" s="2123">
        <v>15</v>
      </c>
      <c r="K17" s="2122">
        <v>30</v>
      </c>
      <c r="L17" s="2120">
        <v>48</v>
      </c>
    </row>
    <row r="18" spans="1:12" ht="15" customHeight="1" x14ac:dyDescent="0.25">
      <c r="A18" s="343" t="s">
        <v>901</v>
      </c>
      <c r="B18" s="130">
        <v>0</v>
      </c>
      <c r="C18" s="131">
        <v>0</v>
      </c>
      <c r="D18" s="131">
        <v>1</v>
      </c>
      <c r="E18" s="132">
        <v>1</v>
      </c>
      <c r="F18" s="2205">
        <v>1</v>
      </c>
      <c r="G18" s="2206">
        <v>0</v>
      </c>
      <c r="H18" s="2206">
        <v>-1</v>
      </c>
      <c r="I18" s="2207">
        <v>1</v>
      </c>
      <c r="J18" s="2208">
        <v>0</v>
      </c>
      <c r="K18" s="2205">
        <v>0</v>
      </c>
      <c r="L18" s="2206">
        <v>1</v>
      </c>
    </row>
    <row r="19" spans="1:12" ht="15" customHeight="1" x14ac:dyDescent="0.25">
      <c r="A19" s="1023" t="s">
        <v>918</v>
      </c>
      <c r="B19" s="130"/>
      <c r="C19" s="131"/>
      <c r="D19" s="131"/>
      <c r="E19" s="132"/>
      <c r="F19" s="2205"/>
      <c r="G19" s="2206"/>
      <c r="H19" s="2206"/>
      <c r="I19" s="2207"/>
      <c r="J19" s="2208"/>
      <c r="K19" s="2205"/>
      <c r="L19" s="2206"/>
    </row>
    <row r="20" spans="1:12" ht="15" customHeight="1" x14ac:dyDescent="0.25">
      <c r="A20" s="343" t="s">
        <v>896</v>
      </c>
      <c r="B20" s="130">
        <v>0</v>
      </c>
      <c r="C20" s="131">
        <v>0</v>
      </c>
      <c r="D20" s="131">
        <v>0</v>
      </c>
      <c r="E20" s="132">
        <v>0</v>
      </c>
      <c r="F20" s="2205">
        <v>0</v>
      </c>
      <c r="G20" s="2206">
        <v>0</v>
      </c>
      <c r="H20" s="2206">
        <v>0</v>
      </c>
      <c r="I20" s="2207">
        <v>0</v>
      </c>
      <c r="J20" s="2208">
        <v>0</v>
      </c>
      <c r="K20" s="2205">
        <v>0</v>
      </c>
      <c r="L20" s="2206">
        <v>0</v>
      </c>
    </row>
    <row r="21" spans="1:12" ht="15" customHeight="1" x14ac:dyDescent="0.25">
      <c r="A21" s="1023" t="s">
        <v>900</v>
      </c>
      <c r="B21" s="2119">
        <v>2</v>
      </c>
      <c r="C21" s="2120">
        <v>9</v>
      </c>
      <c r="D21" s="2120">
        <v>10</v>
      </c>
      <c r="E21" s="2121">
        <v>9</v>
      </c>
      <c r="F21" s="2122">
        <v>7</v>
      </c>
      <c r="G21" s="2120">
        <v>20</v>
      </c>
      <c r="H21" s="2120">
        <v>11</v>
      </c>
      <c r="I21" s="2121">
        <v>11</v>
      </c>
      <c r="J21" s="2123">
        <v>15</v>
      </c>
      <c r="K21" s="2122">
        <v>30</v>
      </c>
      <c r="L21" s="2120">
        <v>49</v>
      </c>
    </row>
    <row r="22" spans="1:12" ht="15" customHeight="1" x14ac:dyDescent="0.25">
      <c r="A22" s="1023" t="s">
        <v>917</v>
      </c>
      <c r="B22" s="2119">
        <v>2</v>
      </c>
      <c r="C22" s="2120">
        <v>9</v>
      </c>
      <c r="D22" s="2120">
        <v>9</v>
      </c>
      <c r="E22" s="2121">
        <v>9</v>
      </c>
      <c r="F22" s="2122">
        <v>6</v>
      </c>
      <c r="G22" s="2120">
        <v>20</v>
      </c>
      <c r="H22" s="2120">
        <v>12</v>
      </c>
      <c r="I22" s="2121">
        <v>10</v>
      </c>
      <c r="J22" s="2123">
        <v>16</v>
      </c>
      <c r="K22" s="2122">
        <v>30</v>
      </c>
      <c r="L22" s="2120">
        <v>50</v>
      </c>
    </row>
    <row r="23" spans="1:12" ht="15" customHeight="1" x14ac:dyDescent="0.25">
      <c r="A23" s="343" t="s">
        <v>901</v>
      </c>
      <c r="B23" s="130">
        <v>0</v>
      </c>
      <c r="C23" s="131">
        <v>0</v>
      </c>
      <c r="D23" s="131">
        <v>1</v>
      </c>
      <c r="E23" s="132">
        <v>0</v>
      </c>
      <c r="F23" s="2122">
        <v>1</v>
      </c>
      <c r="G23" s="2206">
        <v>0</v>
      </c>
      <c r="H23" s="2206">
        <v>-1</v>
      </c>
      <c r="I23" s="2207">
        <v>1</v>
      </c>
      <c r="J23" s="136">
        <v>-1</v>
      </c>
      <c r="K23" s="2205">
        <v>0</v>
      </c>
      <c r="L23" s="134">
        <v>-1</v>
      </c>
    </row>
    <row r="24" spans="1:12" ht="15" customHeight="1" x14ac:dyDescent="0.25">
      <c r="A24" s="2209" t="s">
        <v>919</v>
      </c>
      <c r="B24" s="2210"/>
      <c r="C24" s="2211"/>
      <c r="D24" s="2211"/>
      <c r="E24" s="2212"/>
      <c r="F24" s="2213"/>
      <c r="G24" s="704"/>
      <c r="H24" s="704"/>
      <c r="I24" s="2214"/>
      <c r="J24" s="2215"/>
      <c r="K24" s="2216"/>
      <c r="L24" s="2217"/>
    </row>
    <row r="25" spans="1:12" ht="15" customHeight="1" x14ac:dyDescent="0.25">
      <c r="A25" s="343" t="s">
        <v>920</v>
      </c>
      <c r="B25" s="146">
        <v>3.18</v>
      </c>
      <c r="C25" s="139">
        <v>3.21</v>
      </c>
      <c r="D25" s="139">
        <v>3.14</v>
      </c>
      <c r="E25" s="140">
        <v>3.08</v>
      </c>
      <c r="F25" s="2218">
        <v>3.16</v>
      </c>
      <c r="G25" s="2219">
        <v>3.08</v>
      </c>
      <c r="H25" s="2219">
        <v>3.2</v>
      </c>
      <c r="I25" s="2220">
        <v>3.12</v>
      </c>
      <c r="J25" s="2221">
        <v>3.18</v>
      </c>
      <c r="K25" s="2222">
        <v>3.15</v>
      </c>
      <c r="L25" s="2219">
        <v>3.14</v>
      </c>
    </row>
    <row r="26" spans="1:12" ht="15" customHeight="1" x14ac:dyDescent="0.25">
      <c r="A26" s="1023" t="s">
        <v>921</v>
      </c>
      <c r="B26" s="249"/>
      <c r="C26" s="250"/>
      <c r="D26" s="2224"/>
      <c r="E26" s="2225"/>
      <c r="F26" s="2226"/>
      <c r="G26" s="2227"/>
      <c r="H26" s="2227"/>
      <c r="I26" s="2228"/>
      <c r="J26" s="2229"/>
      <c r="K26" s="2230"/>
      <c r="L26" s="2227"/>
    </row>
    <row r="27" spans="1:12" ht="15" customHeight="1" x14ac:dyDescent="0.25">
      <c r="A27" s="179" t="s">
        <v>922</v>
      </c>
      <c r="B27" s="146">
        <v>0.8</v>
      </c>
      <c r="C27" s="139">
        <v>0.77</v>
      </c>
      <c r="D27" s="139">
        <v>0.64</v>
      </c>
      <c r="E27" s="140">
        <v>0.59</v>
      </c>
      <c r="F27" s="2218">
        <v>0.59</v>
      </c>
      <c r="G27" s="2219">
        <v>0.36</v>
      </c>
      <c r="H27" s="2219">
        <v>0.34</v>
      </c>
      <c r="I27" s="2264">
        <v>0.42</v>
      </c>
      <c r="J27" s="2221">
        <v>0.19</v>
      </c>
      <c r="K27" s="2222">
        <v>0.7</v>
      </c>
      <c r="L27" s="2219">
        <v>0.43</v>
      </c>
    </row>
    <row r="28" spans="1:12" ht="15" customHeight="1" x14ac:dyDescent="0.25">
      <c r="A28" s="179" t="s">
        <v>923</v>
      </c>
      <c r="B28" s="146">
        <v>0.82</v>
      </c>
      <c r="C28" s="139">
        <v>0.66</v>
      </c>
      <c r="D28" s="139">
        <v>0.67</v>
      </c>
      <c r="E28" s="140">
        <v>1.44</v>
      </c>
      <c r="F28" s="2218">
        <v>0.93</v>
      </c>
      <c r="G28" s="2219">
        <v>0.68</v>
      </c>
      <c r="H28" s="2219">
        <v>0.63</v>
      </c>
      <c r="I28" s="2264">
        <v>1.02</v>
      </c>
      <c r="J28" s="2221">
        <v>0.57999999999999996</v>
      </c>
      <c r="K28" s="2222">
        <v>0.9</v>
      </c>
      <c r="L28" s="2219">
        <v>0.82</v>
      </c>
    </row>
    <row r="29" spans="1:12" ht="15" customHeight="1" x14ac:dyDescent="0.25">
      <c r="A29" s="179" t="s">
        <v>314</v>
      </c>
      <c r="B29" s="147">
        <v>76.2</v>
      </c>
      <c r="C29" s="148">
        <v>69.7</v>
      </c>
      <c r="D29" s="148">
        <v>72.099999999999994</v>
      </c>
      <c r="E29" s="149">
        <v>76.900000000000006</v>
      </c>
      <c r="F29" s="2233">
        <v>73.7</v>
      </c>
      <c r="G29" s="2234">
        <v>69.099999999999994</v>
      </c>
      <c r="H29" s="2234">
        <v>77</v>
      </c>
      <c r="I29" s="2239">
        <v>79.599999999999994</v>
      </c>
      <c r="J29" s="2236">
        <v>76.599999999999994</v>
      </c>
      <c r="K29" s="2237">
        <v>73.7</v>
      </c>
      <c r="L29" s="2234">
        <v>74.7</v>
      </c>
    </row>
    <row r="30" spans="1:12" ht="15" customHeight="1" x14ac:dyDescent="0.25">
      <c r="A30" s="2209" t="s">
        <v>906</v>
      </c>
      <c r="B30" s="2210"/>
      <c r="C30" s="2211"/>
      <c r="D30" s="2211"/>
      <c r="E30" s="2212"/>
      <c r="F30" s="2213"/>
      <c r="G30" s="704"/>
      <c r="H30" s="704"/>
      <c r="I30" s="2214"/>
      <c r="J30" s="2215"/>
      <c r="K30" s="2216"/>
      <c r="L30" s="2217"/>
    </row>
    <row r="31" spans="1:12" ht="15" customHeight="1" x14ac:dyDescent="0.25">
      <c r="A31" s="1051" t="s">
        <v>316</v>
      </c>
      <c r="B31" s="147">
        <v>3.3</v>
      </c>
      <c r="C31" s="148">
        <v>3.1999999999999997</v>
      </c>
      <c r="D31" s="148">
        <v>3.3</v>
      </c>
      <c r="E31" s="149">
        <v>3.3</v>
      </c>
      <c r="F31" s="2237">
        <v>3.2</v>
      </c>
      <c r="G31" s="2238">
        <v>3.2</v>
      </c>
      <c r="H31" s="2238">
        <v>3.1</v>
      </c>
      <c r="I31" s="2266">
        <v>3.1</v>
      </c>
      <c r="J31" s="2267">
        <v>3.1</v>
      </c>
      <c r="K31" s="2237">
        <v>3.3</v>
      </c>
      <c r="L31" s="2238">
        <v>3.1</v>
      </c>
    </row>
    <row r="32" spans="1:12" ht="15" customHeight="1" x14ac:dyDescent="0.25">
      <c r="A32" s="343" t="s">
        <v>346</v>
      </c>
      <c r="B32" s="147">
        <v>1</v>
      </c>
      <c r="C32" s="148">
        <v>1</v>
      </c>
      <c r="D32" s="148">
        <v>1</v>
      </c>
      <c r="E32" s="149">
        <v>1</v>
      </c>
      <c r="F32" s="2237">
        <v>0.9</v>
      </c>
      <c r="G32" s="2238">
        <v>0.9</v>
      </c>
      <c r="H32" s="2238">
        <v>0.9</v>
      </c>
      <c r="I32" s="2266">
        <v>0.8</v>
      </c>
      <c r="J32" s="2267">
        <v>0.8</v>
      </c>
      <c r="K32" s="2237">
        <v>1</v>
      </c>
      <c r="L32" s="2238">
        <v>0.9</v>
      </c>
    </row>
    <row r="33" spans="1:12" ht="15" customHeight="1" x14ac:dyDescent="0.25">
      <c r="A33" s="343" t="s">
        <v>347</v>
      </c>
      <c r="B33" s="147">
        <v>0.7</v>
      </c>
      <c r="C33" s="148">
        <v>0.7</v>
      </c>
      <c r="D33" s="148">
        <v>0.7</v>
      </c>
      <c r="E33" s="149">
        <v>0.7</v>
      </c>
      <c r="F33" s="2237">
        <v>0.7</v>
      </c>
      <c r="G33" s="2238">
        <v>0.6</v>
      </c>
      <c r="H33" s="2238">
        <v>0.6</v>
      </c>
      <c r="I33" s="2266">
        <v>0.6</v>
      </c>
      <c r="J33" s="2267">
        <v>0.6</v>
      </c>
      <c r="K33" s="2237">
        <v>0.7</v>
      </c>
      <c r="L33" s="2238">
        <v>0.6</v>
      </c>
    </row>
    <row r="34" spans="1:12" ht="15" customHeight="1" x14ac:dyDescent="0.25">
      <c r="A34" s="343" t="s">
        <v>319</v>
      </c>
      <c r="B34" s="147">
        <v>4.0999999999999996</v>
      </c>
      <c r="C34" s="148">
        <v>4.4000000000000004</v>
      </c>
      <c r="D34" s="148">
        <v>4.8</v>
      </c>
      <c r="E34" s="149">
        <v>4.5999999999999996</v>
      </c>
      <c r="F34" s="2237">
        <v>4.2</v>
      </c>
      <c r="G34" s="2238">
        <v>4.2</v>
      </c>
      <c r="H34" s="2238">
        <v>4.2</v>
      </c>
      <c r="I34" s="2266">
        <v>4.0999999999999996</v>
      </c>
      <c r="J34" s="2267">
        <v>4.2</v>
      </c>
      <c r="K34" s="2237">
        <v>4.5</v>
      </c>
      <c r="L34" s="2238">
        <v>4.2</v>
      </c>
    </row>
    <row r="35" spans="1:12" ht="15" customHeight="1" x14ac:dyDescent="0.25">
      <c r="A35" s="1023" t="s">
        <v>348</v>
      </c>
      <c r="B35" s="147">
        <v>9.1</v>
      </c>
      <c r="C35" s="148">
        <v>9.3000000000000007</v>
      </c>
      <c r="D35" s="148">
        <v>9.8000000000000007</v>
      </c>
      <c r="E35" s="149">
        <v>9.6</v>
      </c>
      <c r="F35" s="154">
        <v>9</v>
      </c>
      <c r="G35" s="2238">
        <v>8.9</v>
      </c>
      <c r="H35" s="2238">
        <v>8.8000000000000007</v>
      </c>
      <c r="I35" s="2266">
        <v>8.6</v>
      </c>
      <c r="J35" s="2267">
        <v>8.6999999999999993</v>
      </c>
      <c r="K35" s="154">
        <v>9.5</v>
      </c>
      <c r="L35" s="148">
        <v>8.8000000000000007</v>
      </c>
    </row>
    <row r="36" spans="1:12" ht="15" customHeight="1" x14ac:dyDescent="0.25">
      <c r="A36" s="1023"/>
      <c r="B36" s="147"/>
      <c r="C36" s="148"/>
      <c r="D36" s="148"/>
      <c r="E36" s="149"/>
      <c r="F36" s="154"/>
      <c r="G36" s="2238"/>
      <c r="H36" s="2238"/>
      <c r="I36" s="2266"/>
      <c r="J36" s="2267"/>
      <c r="K36" s="154"/>
      <c r="L36" s="148"/>
    </row>
    <row r="37" spans="1:12" ht="15" customHeight="1" x14ac:dyDescent="0.25">
      <c r="A37" s="2268" t="s">
        <v>325</v>
      </c>
      <c r="B37" s="2269">
        <v>6.7</v>
      </c>
      <c r="C37" s="2270">
        <v>6.5</v>
      </c>
      <c r="D37" s="2270">
        <v>6.8</v>
      </c>
      <c r="E37" s="2271">
        <v>6.8</v>
      </c>
      <c r="F37" s="2272">
        <v>6</v>
      </c>
      <c r="G37" s="2273">
        <v>6.1</v>
      </c>
      <c r="H37" s="2273">
        <v>5.7</v>
      </c>
      <c r="I37" s="2274">
        <v>5.5</v>
      </c>
      <c r="J37" s="2275">
        <v>5.6</v>
      </c>
      <c r="K37" s="2272">
        <v>6.7</v>
      </c>
      <c r="L37" s="2273">
        <v>5.8</v>
      </c>
    </row>
    <row r="38" spans="1:12" ht="12" customHeight="1" x14ac:dyDescent="0.25">
      <c r="A38" s="2276"/>
      <c r="B38" s="2276"/>
      <c r="C38" s="2276"/>
      <c r="D38" s="2276"/>
      <c r="E38" s="2276"/>
      <c r="F38" s="2276"/>
      <c r="G38" s="2276"/>
      <c r="H38" s="2276"/>
      <c r="I38" s="2276"/>
      <c r="J38" s="2276"/>
      <c r="K38" s="2276"/>
      <c r="L38" s="2276"/>
    </row>
    <row r="39" spans="1:12" ht="12" customHeight="1" x14ac:dyDescent="0.25">
      <c r="A39" s="2850" t="s">
        <v>353</v>
      </c>
      <c r="B39" s="2913" t="s">
        <v>15</v>
      </c>
      <c r="C39" s="2913" t="s">
        <v>15</v>
      </c>
      <c r="D39" s="2913" t="s">
        <v>15</v>
      </c>
      <c r="E39" s="2913" t="s">
        <v>15</v>
      </c>
      <c r="F39" s="2913" t="s">
        <v>15</v>
      </c>
      <c r="G39" s="2913" t="s">
        <v>15</v>
      </c>
      <c r="H39" s="2913" t="s">
        <v>15</v>
      </c>
      <c r="I39" s="2913" t="s">
        <v>15</v>
      </c>
      <c r="J39" s="2913" t="s">
        <v>15</v>
      </c>
      <c r="K39" s="2913" t="s">
        <v>15</v>
      </c>
      <c r="L39" s="2913" t="s">
        <v>15</v>
      </c>
    </row>
    <row r="40" spans="1:12" ht="23.55" customHeight="1" x14ac:dyDescent="0.25">
      <c r="A40" s="2861" t="s">
        <v>924</v>
      </c>
      <c r="B40" s="2816" t="s">
        <v>15</v>
      </c>
      <c r="C40" s="2816" t="s">
        <v>15</v>
      </c>
      <c r="D40" s="2816" t="s">
        <v>15</v>
      </c>
      <c r="E40" s="2816" t="s">
        <v>15</v>
      </c>
      <c r="F40" s="2816" t="s">
        <v>15</v>
      </c>
      <c r="G40" s="2816" t="s">
        <v>15</v>
      </c>
      <c r="H40" s="2816" t="s">
        <v>15</v>
      </c>
      <c r="I40" s="2816" t="s">
        <v>15</v>
      </c>
      <c r="J40" s="2816" t="s">
        <v>15</v>
      </c>
      <c r="K40" s="2816" t="s">
        <v>15</v>
      </c>
      <c r="L40" s="2816" t="s">
        <v>15</v>
      </c>
    </row>
    <row r="41" spans="1:12" ht="12" customHeight="1" x14ac:dyDescent="0.25">
      <c r="A41" s="2850" t="s">
        <v>925</v>
      </c>
      <c r="B41" s="2913" t="s">
        <v>15</v>
      </c>
      <c r="C41" s="2913" t="s">
        <v>15</v>
      </c>
      <c r="D41" s="2913" t="s">
        <v>15</v>
      </c>
      <c r="E41" s="2913" t="s">
        <v>15</v>
      </c>
      <c r="F41" s="2913" t="s">
        <v>15</v>
      </c>
      <c r="G41" s="2913" t="s">
        <v>15</v>
      </c>
      <c r="H41" s="2913" t="s">
        <v>15</v>
      </c>
      <c r="I41" s="2913" t="s">
        <v>15</v>
      </c>
      <c r="J41" s="2913" t="s">
        <v>15</v>
      </c>
      <c r="K41" s="2913" t="s">
        <v>15</v>
      </c>
      <c r="L41" s="2913" t="s">
        <v>15</v>
      </c>
    </row>
    <row r="42" spans="1:12" ht="12" customHeight="1" x14ac:dyDescent="0.25">
      <c r="A42" s="2850" t="s">
        <v>926</v>
      </c>
      <c r="B42" s="2946" t="s">
        <v>15</v>
      </c>
      <c r="C42" s="2946" t="s">
        <v>15</v>
      </c>
      <c r="D42" s="2946" t="s">
        <v>15</v>
      </c>
      <c r="E42" s="2946" t="s">
        <v>15</v>
      </c>
      <c r="F42" s="2946" t="s">
        <v>15</v>
      </c>
      <c r="G42" s="2946" t="s">
        <v>15</v>
      </c>
      <c r="H42" s="2946" t="s">
        <v>15</v>
      </c>
      <c r="I42" s="2946" t="s">
        <v>15</v>
      </c>
      <c r="J42" s="2946" t="s">
        <v>15</v>
      </c>
      <c r="K42" s="2946" t="s">
        <v>15</v>
      </c>
      <c r="L42" s="2946" t="s">
        <v>15</v>
      </c>
    </row>
    <row r="43" spans="1:12" ht="12" customHeight="1" x14ac:dyDescent="0.25">
      <c r="A43" s="2850" t="s">
        <v>377</v>
      </c>
      <c r="B43" s="2946" t="s">
        <v>15</v>
      </c>
      <c r="C43" s="2946" t="s">
        <v>15</v>
      </c>
      <c r="D43" s="2946" t="s">
        <v>15</v>
      </c>
      <c r="E43" s="2946" t="s">
        <v>15</v>
      </c>
      <c r="F43" s="2946" t="s">
        <v>15</v>
      </c>
      <c r="G43" s="2946" t="s">
        <v>15</v>
      </c>
      <c r="H43" s="2946" t="s">
        <v>15</v>
      </c>
      <c r="I43" s="2946" t="s">
        <v>15</v>
      </c>
      <c r="J43" s="2946" t="s">
        <v>15</v>
      </c>
      <c r="K43" s="2946" t="s">
        <v>15</v>
      </c>
      <c r="L43" s="2946" t="s">
        <v>15</v>
      </c>
    </row>
    <row r="44" spans="1:12" ht="12" customHeight="1" x14ac:dyDescent="0.25">
      <c r="A44" s="861" t="s">
        <v>378</v>
      </c>
      <c r="B44" s="1751"/>
      <c r="C44" s="1751"/>
      <c r="D44" s="1751"/>
      <c r="E44" s="1751"/>
      <c r="F44" s="1751"/>
      <c r="G44" s="1751"/>
      <c r="H44" s="1751"/>
      <c r="I44" s="1751"/>
      <c r="J44" s="1751"/>
      <c r="K44" s="1751"/>
      <c r="L44" s="1751"/>
    </row>
  </sheetData>
  <mergeCells count="9">
    <mergeCell ref="A41:L41"/>
    <mergeCell ref="A42:L42"/>
    <mergeCell ref="A43:L43"/>
    <mergeCell ref="A2:L2"/>
    <mergeCell ref="B3:E3"/>
    <mergeCell ref="F3:I3"/>
    <mergeCell ref="K3:L3"/>
    <mergeCell ref="A39:L39"/>
    <mergeCell ref="A40:L40"/>
  </mergeCells>
  <hyperlinks>
    <hyperlink ref="A1" location="ToC!A2" display="Back to Table of Contents" xr:uid="{B9563861-74E1-4E7A-96FB-ABC9552185DD}"/>
  </hyperlinks>
  <pageMargins left="0.5" right="0.5" top="0.5" bottom="0.5" header="0.25" footer="0.25"/>
  <pageSetup scale="58" orientation="landscape" r:id="rId1"/>
  <headerFooter>
    <oddFooter>&amp;L&amp;G&amp;C&amp;"Scotia,Regular"&amp;9Supplementary Financial Information (SFI)&amp;R30&amp;"Scotia,Regular"&amp;7</oddFooter>
  </headerFooter>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F129-86BA-400B-AADF-1F06E0F2B758}">
  <sheetPr>
    <pageSetUpPr fitToPage="1"/>
  </sheetPr>
  <dimension ref="A1:L60"/>
  <sheetViews>
    <sheetView showGridLines="0" zoomScaleNormal="100" workbookViewId="0"/>
  </sheetViews>
  <sheetFormatPr defaultColWidth="8.77734375" defaultRowHeight="13.2" x14ac:dyDescent="0.25"/>
  <cols>
    <col min="1" max="1" width="78.21875" style="23" customWidth="1"/>
    <col min="2" max="12" width="13.5546875" style="23" customWidth="1"/>
    <col min="13" max="16384" width="8.77734375" style="23"/>
  </cols>
  <sheetData>
    <row r="1" spans="1:12" ht="19.95" customHeight="1" x14ac:dyDescent="0.25">
      <c r="A1" s="22" t="s">
        <v>12</v>
      </c>
    </row>
    <row r="2" spans="1:12" ht="24.6" customHeight="1" x14ac:dyDescent="0.25">
      <c r="A2" s="2851" t="s">
        <v>929</v>
      </c>
      <c r="B2" s="2851" t="s">
        <v>15</v>
      </c>
      <c r="C2" s="2851" t="s">
        <v>15</v>
      </c>
      <c r="D2" s="2851" t="s">
        <v>15</v>
      </c>
      <c r="E2" s="2851" t="s">
        <v>15</v>
      </c>
      <c r="F2" s="2851" t="s">
        <v>15</v>
      </c>
      <c r="G2" s="2851" t="s">
        <v>15</v>
      </c>
      <c r="H2" s="2851" t="s">
        <v>15</v>
      </c>
      <c r="I2" s="2851" t="s">
        <v>15</v>
      </c>
      <c r="J2" s="2851" t="s">
        <v>15</v>
      </c>
      <c r="K2" s="2851" t="s">
        <v>15</v>
      </c>
      <c r="L2" s="2851" t="s">
        <v>15</v>
      </c>
    </row>
    <row r="3" spans="1:12" ht="13.35" customHeight="1" x14ac:dyDescent="0.25">
      <c r="A3" s="2277"/>
      <c r="B3" s="2278"/>
      <c r="C3" s="2279"/>
      <c r="D3" s="2279"/>
      <c r="E3" s="2280"/>
      <c r="F3" s="777"/>
      <c r="G3" s="778"/>
      <c r="H3" s="778"/>
      <c r="I3" s="779"/>
      <c r="J3" s="609"/>
      <c r="K3" s="2949" t="s">
        <v>163</v>
      </c>
      <c r="L3" s="2950" t="s">
        <v>15</v>
      </c>
    </row>
    <row r="4" spans="1:12" ht="19.05" customHeight="1" x14ac:dyDescent="0.25">
      <c r="A4" s="2281" t="s">
        <v>930</v>
      </c>
      <c r="B4" s="2282" t="s">
        <v>165</v>
      </c>
      <c r="C4" s="565" t="s">
        <v>166</v>
      </c>
      <c r="D4" s="565" t="s">
        <v>167</v>
      </c>
      <c r="E4" s="566" t="s">
        <v>168</v>
      </c>
      <c r="F4" s="2283" t="s">
        <v>169</v>
      </c>
      <c r="G4" s="565" t="s">
        <v>170</v>
      </c>
      <c r="H4" s="565" t="s">
        <v>171</v>
      </c>
      <c r="I4" s="566" t="s">
        <v>172</v>
      </c>
      <c r="J4" s="2284" t="s">
        <v>173</v>
      </c>
      <c r="K4" s="2285">
        <v>2025</v>
      </c>
      <c r="L4" s="2286">
        <v>2024</v>
      </c>
    </row>
    <row r="5" spans="1:12" ht="12.6" customHeight="1" x14ac:dyDescent="0.25">
      <c r="A5" s="2287" t="s">
        <v>931</v>
      </c>
      <c r="B5" s="2288"/>
      <c r="C5" s="2289"/>
      <c r="D5" s="2289"/>
      <c r="E5" s="2290"/>
      <c r="F5" s="2289"/>
      <c r="G5" s="2289"/>
      <c r="H5" s="2289"/>
      <c r="I5" s="2290"/>
      <c r="J5" s="2291"/>
      <c r="K5" s="2292"/>
      <c r="L5" s="2293"/>
    </row>
    <row r="6" spans="1:12" ht="14.55" customHeight="1" x14ac:dyDescent="0.25">
      <c r="A6" s="2294" t="s">
        <v>932</v>
      </c>
      <c r="B6" s="2119">
        <v>5333</v>
      </c>
      <c r="C6" s="2120">
        <v>5241</v>
      </c>
      <c r="D6" s="2120">
        <v>5011</v>
      </c>
      <c r="E6" s="2121">
        <v>4882</v>
      </c>
      <c r="F6" s="2122">
        <v>4629</v>
      </c>
      <c r="G6" s="2120">
        <v>4569</v>
      </c>
      <c r="H6" s="2120">
        <v>4395</v>
      </c>
      <c r="I6" s="2121">
        <v>4490</v>
      </c>
      <c r="J6" s="2123">
        <v>4397</v>
      </c>
      <c r="K6" s="2122">
        <v>20467</v>
      </c>
      <c r="L6" s="2120">
        <v>18083</v>
      </c>
    </row>
    <row r="7" spans="1:12" ht="14.55" customHeight="1" x14ac:dyDescent="0.25">
      <c r="A7" s="2295" t="s">
        <v>933</v>
      </c>
      <c r="B7" s="2119">
        <v>4075</v>
      </c>
      <c r="C7" s="2120">
        <v>3843</v>
      </c>
      <c r="D7" s="2120">
        <v>3678</v>
      </c>
      <c r="E7" s="2121">
        <v>4055</v>
      </c>
      <c r="F7" s="2122">
        <v>3463</v>
      </c>
      <c r="G7" s="2120">
        <v>3344</v>
      </c>
      <c r="H7" s="2120">
        <v>3505</v>
      </c>
      <c r="I7" s="2121">
        <v>3510</v>
      </c>
      <c r="J7" s="2123">
        <v>3467</v>
      </c>
      <c r="K7" s="2122">
        <v>15651</v>
      </c>
      <c r="L7" s="2120">
        <v>13822</v>
      </c>
    </row>
    <row r="8" spans="1:12" ht="14.55" customHeight="1" x14ac:dyDescent="0.25">
      <c r="A8" s="2296" t="s">
        <v>270</v>
      </c>
      <c r="B8" s="2119">
        <v>9408</v>
      </c>
      <c r="C8" s="2120">
        <v>9084</v>
      </c>
      <c r="D8" s="2120">
        <v>8689</v>
      </c>
      <c r="E8" s="2121">
        <v>8937</v>
      </c>
      <c r="F8" s="2122">
        <v>8092</v>
      </c>
      <c r="G8" s="2120">
        <v>7913</v>
      </c>
      <c r="H8" s="2120">
        <v>7900</v>
      </c>
      <c r="I8" s="2121">
        <v>8000</v>
      </c>
      <c r="J8" s="2123">
        <v>7864</v>
      </c>
      <c r="K8" s="2122">
        <v>36118</v>
      </c>
      <c r="L8" s="2120">
        <v>31905</v>
      </c>
    </row>
    <row r="9" spans="1:12" ht="14.55" customHeight="1" x14ac:dyDescent="0.25">
      <c r="A9" s="2295" t="s">
        <v>271</v>
      </c>
      <c r="B9" s="2119">
        <v>1005</v>
      </c>
      <c r="C9" s="2120">
        <v>937</v>
      </c>
      <c r="D9" s="2120">
        <v>1280</v>
      </c>
      <c r="E9" s="2121">
        <v>1019</v>
      </c>
      <c r="F9" s="2122">
        <v>874</v>
      </c>
      <c r="G9" s="2120">
        <v>854</v>
      </c>
      <c r="H9" s="2120">
        <v>811</v>
      </c>
      <c r="I9" s="2121">
        <v>770</v>
      </c>
      <c r="J9" s="2123">
        <v>1103</v>
      </c>
      <c r="K9" s="2122">
        <v>4241</v>
      </c>
      <c r="L9" s="2120">
        <v>3309</v>
      </c>
    </row>
    <row r="10" spans="1:12" ht="14.55" customHeight="1" x14ac:dyDescent="0.25">
      <c r="A10" s="2295" t="s">
        <v>298</v>
      </c>
      <c r="B10" s="2119">
        <v>5579</v>
      </c>
      <c r="C10" s="2120">
        <v>4849</v>
      </c>
      <c r="D10" s="2120">
        <v>4864</v>
      </c>
      <c r="E10" s="2121">
        <v>6217</v>
      </c>
      <c r="F10" s="2122">
        <v>5027</v>
      </c>
      <c r="G10" s="2120">
        <v>4674</v>
      </c>
      <c r="H10" s="2120">
        <v>4427</v>
      </c>
      <c r="I10" s="2121">
        <v>4454</v>
      </c>
      <c r="J10" s="2123">
        <v>5251</v>
      </c>
      <c r="K10" s="2122">
        <v>21509</v>
      </c>
      <c r="L10" s="2120">
        <v>18582</v>
      </c>
    </row>
    <row r="11" spans="1:12" ht="14.55" customHeight="1" x14ac:dyDescent="0.25">
      <c r="A11" s="2295" t="s">
        <v>893</v>
      </c>
      <c r="B11" s="2119">
        <v>2824</v>
      </c>
      <c r="C11" s="2120">
        <v>3298</v>
      </c>
      <c r="D11" s="2120">
        <v>2545</v>
      </c>
      <c r="E11" s="2121">
        <v>1701</v>
      </c>
      <c r="F11" s="2122">
        <v>2191</v>
      </c>
      <c r="G11" s="2120">
        <v>2385</v>
      </c>
      <c r="H11" s="2120">
        <v>2662</v>
      </c>
      <c r="I11" s="2121">
        <v>2776</v>
      </c>
      <c r="J11" s="2123">
        <v>1510</v>
      </c>
      <c r="K11" s="2122">
        <v>10368</v>
      </c>
      <c r="L11" s="2120">
        <v>10014</v>
      </c>
    </row>
    <row r="12" spans="1:12" ht="14.55" customHeight="1" x14ac:dyDescent="0.25">
      <c r="A12" s="2295" t="s">
        <v>934</v>
      </c>
      <c r="B12" s="2119">
        <v>639</v>
      </c>
      <c r="C12" s="2120">
        <v>805</v>
      </c>
      <c r="D12" s="2120">
        <v>528</v>
      </c>
      <c r="E12" s="2121">
        <v>723</v>
      </c>
      <c r="F12" s="2122">
        <v>503</v>
      </c>
      <c r="G12" s="2120">
        <v>463</v>
      </c>
      <c r="H12" s="2120">
        <v>547</v>
      </c>
      <c r="I12" s="2121">
        <v>548</v>
      </c>
      <c r="J12" s="2123">
        <v>143</v>
      </c>
      <c r="K12" s="2122">
        <v>2695</v>
      </c>
      <c r="L12" s="2120">
        <v>2061</v>
      </c>
    </row>
    <row r="13" spans="1:12" ht="14.55" customHeight="1" x14ac:dyDescent="0.25">
      <c r="A13" s="2296" t="s">
        <v>885</v>
      </c>
      <c r="B13" s="2119">
        <v>2185</v>
      </c>
      <c r="C13" s="2120">
        <v>2493</v>
      </c>
      <c r="D13" s="2120">
        <v>2017</v>
      </c>
      <c r="E13" s="2121">
        <v>978</v>
      </c>
      <c r="F13" s="2122">
        <v>1688</v>
      </c>
      <c r="G13" s="2120">
        <v>1922</v>
      </c>
      <c r="H13" s="2120">
        <v>2115</v>
      </c>
      <c r="I13" s="2121">
        <v>2228</v>
      </c>
      <c r="J13" s="2123">
        <v>1367</v>
      </c>
      <c r="K13" s="2122">
        <v>7673</v>
      </c>
      <c r="L13" s="2120">
        <v>7953</v>
      </c>
    </row>
    <row r="14" spans="1:12" ht="14.55" customHeight="1" x14ac:dyDescent="0.3">
      <c r="A14" s="2297" t="s">
        <v>935</v>
      </c>
      <c r="B14" s="2298">
        <v>-21</v>
      </c>
      <c r="C14" s="2120">
        <v>73</v>
      </c>
      <c r="D14" s="2120">
        <v>55</v>
      </c>
      <c r="E14" s="2299">
        <v>-149</v>
      </c>
      <c r="F14" s="2122">
        <v>51</v>
      </c>
      <c r="G14" s="2120">
        <v>51</v>
      </c>
      <c r="H14" s="2120">
        <v>41</v>
      </c>
      <c r="I14" s="2121">
        <v>40</v>
      </c>
      <c r="J14" s="2123">
        <v>41</v>
      </c>
      <c r="K14" s="134">
        <v>-42</v>
      </c>
      <c r="L14" s="2120">
        <v>183</v>
      </c>
    </row>
    <row r="15" spans="1:12" ht="14.55" customHeight="1" x14ac:dyDescent="0.25">
      <c r="A15" s="2300" t="s">
        <v>887</v>
      </c>
      <c r="B15" s="2119">
        <v>2206</v>
      </c>
      <c r="C15" s="2120">
        <v>2420</v>
      </c>
      <c r="D15" s="2120">
        <v>1962</v>
      </c>
      <c r="E15" s="2121">
        <v>1127</v>
      </c>
      <c r="F15" s="2122">
        <v>1637</v>
      </c>
      <c r="G15" s="2120">
        <v>1871</v>
      </c>
      <c r="H15" s="2120">
        <v>2074</v>
      </c>
      <c r="I15" s="2121">
        <v>2188</v>
      </c>
      <c r="J15" s="2123">
        <v>1326</v>
      </c>
      <c r="K15" s="2122">
        <v>7715</v>
      </c>
      <c r="L15" s="2120">
        <v>7770</v>
      </c>
    </row>
    <row r="16" spans="1:12" ht="16.5" customHeight="1" x14ac:dyDescent="0.3">
      <c r="A16" s="2301" t="s">
        <v>936</v>
      </c>
      <c r="B16" s="2302"/>
      <c r="C16" s="2303"/>
      <c r="D16" s="2303"/>
      <c r="E16" s="2299"/>
      <c r="F16" s="2304"/>
      <c r="G16" s="2305"/>
      <c r="H16" s="2305"/>
      <c r="I16" s="2306"/>
      <c r="J16" s="2307"/>
      <c r="K16" s="2292"/>
      <c r="L16" s="333"/>
    </row>
    <row r="17" spans="1:12" ht="14.55" customHeight="1" x14ac:dyDescent="0.25">
      <c r="A17" s="2295" t="s">
        <v>937</v>
      </c>
      <c r="B17" s="2119">
        <v>9372</v>
      </c>
      <c r="C17" s="2120">
        <v>9092</v>
      </c>
      <c r="D17" s="2120">
        <v>8707</v>
      </c>
      <c r="E17" s="2121">
        <v>8937</v>
      </c>
      <c r="F17" s="2122">
        <v>8092</v>
      </c>
      <c r="G17" s="2120">
        <v>8056</v>
      </c>
      <c r="H17" s="2120">
        <v>7900</v>
      </c>
      <c r="I17" s="2121">
        <v>8000</v>
      </c>
      <c r="J17" s="2123">
        <v>7497</v>
      </c>
      <c r="K17" s="2122">
        <v>36108</v>
      </c>
      <c r="L17" s="2120">
        <v>32048</v>
      </c>
    </row>
    <row r="18" spans="1:12" ht="14.55" customHeight="1" x14ac:dyDescent="0.25">
      <c r="A18" s="2295" t="s">
        <v>298</v>
      </c>
      <c r="B18" s="2119">
        <v>5059</v>
      </c>
      <c r="C18" s="2120">
        <v>4855</v>
      </c>
      <c r="D18" s="2120">
        <v>4821</v>
      </c>
      <c r="E18" s="2121">
        <v>4837</v>
      </c>
      <c r="F18" s="2122">
        <v>4515</v>
      </c>
      <c r="G18" s="2120">
        <v>4488</v>
      </c>
      <c r="H18" s="2120">
        <v>4409</v>
      </c>
      <c r="I18" s="2121">
        <v>4436</v>
      </c>
      <c r="J18" s="2123">
        <v>4445</v>
      </c>
      <c r="K18" s="2122">
        <v>19572</v>
      </c>
      <c r="L18" s="2120">
        <v>17848</v>
      </c>
    </row>
    <row r="19" spans="1:12" ht="14.55" customHeight="1" x14ac:dyDescent="0.25">
      <c r="A19" s="2295" t="s">
        <v>893</v>
      </c>
      <c r="B19" s="2119">
        <v>3308</v>
      </c>
      <c r="C19" s="2120">
        <v>3300</v>
      </c>
      <c r="D19" s="2120">
        <v>2606</v>
      </c>
      <c r="E19" s="2121">
        <v>3081</v>
      </c>
      <c r="F19" s="2122">
        <v>2703</v>
      </c>
      <c r="G19" s="2120">
        <v>2714</v>
      </c>
      <c r="H19" s="2120">
        <v>2680</v>
      </c>
      <c r="I19" s="2121">
        <v>2794</v>
      </c>
      <c r="J19" s="2123">
        <v>1949</v>
      </c>
      <c r="K19" s="2122">
        <v>12295</v>
      </c>
      <c r="L19" s="2120">
        <v>10891</v>
      </c>
    </row>
    <row r="20" spans="1:12" ht="14.55" customHeight="1" x14ac:dyDescent="0.25">
      <c r="A20" s="2295" t="s">
        <v>934</v>
      </c>
      <c r="B20" s="2119">
        <v>771</v>
      </c>
      <c r="C20" s="2120">
        <v>816</v>
      </c>
      <c r="D20" s="2120">
        <v>549</v>
      </c>
      <c r="E20" s="2121">
        <v>734</v>
      </c>
      <c r="F20" s="2122">
        <v>585</v>
      </c>
      <c r="G20" s="2120">
        <v>513</v>
      </c>
      <c r="H20" s="2120">
        <v>552</v>
      </c>
      <c r="I20" s="2121">
        <v>553</v>
      </c>
      <c r="J20" s="2123">
        <v>293</v>
      </c>
      <c r="K20" s="2122">
        <v>2870</v>
      </c>
      <c r="L20" s="2120">
        <v>2203</v>
      </c>
    </row>
    <row r="21" spans="1:12" ht="14.55" customHeight="1" x14ac:dyDescent="0.25">
      <c r="A21" s="2296" t="s">
        <v>885</v>
      </c>
      <c r="B21" s="2119">
        <v>2537</v>
      </c>
      <c r="C21" s="2120">
        <v>2484</v>
      </c>
      <c r="D21" s="2120">
        <v>2057</v>
      </c>
      <c r="E21" s="2121">
        <v>2347</v>
      </c>
      <c r="F21" s="2122">
        <v>2117</v>
      </c>
      <c r="G21" s="2120">
        <v>2200</v>
      </c>
      <c r="H21" s="2120">
        <v>2127</v>
      </c>
      <c r="I21" s="2121">
        <v>2241</v>
      </c>
      <c r="J21" s="2123">
        <v>1656</v>
      </c>
      <c r="K21" s="2122">
        <v>9425</v>
      </c>
      <c r="L21" s="2120">
        <v>8685</v>
      </c>
    </row>
    <row r="22" spans="1:12" ht="14.55" customHeight="1" x14ac:dyDescent="0.25">
      <c r="A22" s="2297" t="s">
        <v>935</v>
      </c>
      <c r="B22" s="2119">
        <v>32</v>
      </c>
      <c r="C22" s="2120">
        <v>36</v>
      </c>
      <c r="D22" s="2120">
        <v>39</v>
      </c>
      <c r="E22" s="2121">
        <v>42</v>
      </c>
      <c r="F22" s="2122">
        <v>51</v>
      </c>
      <c r="G22" s="2120">
        <v>53</v>
      </c>
      <c r="H22" s="2120">
        <v>41</v>
      </c>
      <c r="I22" s="2121">
        <v>40</v>
      </c>
      <c r="J22" s="2123">
        <v>44</v>
      </c>
      <c r="K22" s="2122">
        <v>149</v>
      </c>
      <c r="L22" s="2120">
        <v>185</v>
      </c>
    </row>
    <row r="23" spans="1:12" ht="14.55" customHeight="1" x14ac:dyDescent="0.25">
      <c r="A23" s="2308" t="s">
        <v>887</v>
      </c>
      <c r="B23" s="2119">
        <v>2505</v>
      </c>
      <c r="C23" s="2120">
        <v>2448</v>
      </c>
      <c r="D23" s="2120">
        <v>2018</v>
      </c>
      <c r="E23" s="2121">
        <v>2305</v>
      </c>
      <c r="F23" s="2122">
        <v>2066</v>
      </c>
      <c r="G23" s="2120">
        <v>2147</v>
      </c>
      <c r="H23" s="2120">
        <v>2086</v>
      </c>
      <c r="I23" s="2121">
        <v>2201</v>
      </c>
      <c r="J23" s="2123">
        <v>1612</v>
      </c>
      <c r="K23" s="2122">
        <v>9276</v>
      </c>
      <c r="L23" s="2120">
        <v>8500</v>
      </c>
    </row>
    <row r="24" spans="1:12" ht="12.6" customHeight="1" x14ac:dyDescent="0.3">
      <c r="A24" s="2309" t="s">
        <v>304</v>
      </c>
      <c r="B24" s="2310"/>
      <c r="C24" s="2311"/>
      <c r="D24" s="2311"/>
      <c r="E24" s="2312"/>
      <c r="F24" s="2313"/>
      <c r="G24" s="2314"/>
      <c r="H24" s="2314"/>
      <c r="I24" s="2315"/>
      <c r="J24" s="2316"/>
      <c r="K24" s="2317"/>
      <c r="L24" s="2318"/>
    </row>
    <row r="25" spans="1:12" ht="16.5" customHeight="1" x14ac:dyDescent="0.25">
      <c r="A25" s="2295" t="s">
        <v>938</v>
      </c>
      <c r="B25" s="2319">
        <v>2.3527056380824711</v>
      </c>
      <c r="C25" s="2320">
        <v>2.3112642266121899</v>
      </c>
      <c r="D25" s="2320">
        <v>2.25</v>
      </c>
      <c r="E25" s="2321">
        <v>2.1620663590180387</v>
      </c>
      <c r="F25" s="2322">
        <v>2.0739635591569643</v>
      </c>
      <c r="G25" s="2320">
        <v>2.0670105926206546</v>
      </c>
      <c r="H25" s="2320">
        <v>2.0911363675806411</v>
      </c>
      <c r="I25" s="2321">
        <v>2.11</v>
      </c>
      <c r="J25" s="2323">
        <v>2.08</v>
      </c>
      <c r="K25" s="2322">
        <v>2.2703069327257945</v>
      </c>
      <c r="L25" s="2320">
        <v>2.09</v>
      </c>
    </row>
    <row r="26" spans="1:12" ht="12.6" customHeight="1" x14ac:dyDescent="0.25">
      <c r="A26" s="2324" t="s">
        <v>307</v>
      </c>
      <c r="B26" s="2319"/>
      <c r="C26" s="2320"/>
      <c r="D26" s="2320"/>
      <c r="E26" s="2321"/>
      <c r="F26" s="2322"/>
      <c r="G26" s="2320"/>
      <c r="H26" s="2320"/>
      <c r="I26" s="2321"/>
      <c r="J26" s="2323"/>
      <c r="K26" s="2322"/>
      <c r="L26" s="2320"/>
    </row>
    <row r="27" spans="1:12" ht="16.5" customHeight="1" x14ac:dyDescent="0.25">
      <c r="A27" s="2325" t="s">
        <v>939</v>
      </c>
      <c r="B27" s="1625">
        <v>11.1</v>
      </c>
      <c r="C27" s="2326">
        <v>12.3</v>
      </c>
      <c r="D27" s="2326">
        <v>10.200000000000001</v>
      </c>
      <c r="E27" s="2327">
        <v>5.5</v>
      </c>
      <c r="F27" s="1627">
        <v>8.5</v>
      </c>
      <c r="G27" s="2326">
        <v>10.100000000000001</v>
      </c>
      <c r="H27" s="2326">
        <v>11.799999999999999</v>
      </c>
      <c r="I27" s="2327">
        <v>12.4</v>
      </c>
      <c r="J27" s="2328">
        <v>7.3000000000000007</v>
      </c>
      <c r="K27" s="1627">
        <v>9.8000000000000007</v>
      </c>
      <c r="L27" s="2326">
        <v>10.700000000000001</v>
      </c>
    </row>
    <row r="28" spans="1:12" ht="16.5" customHeight="1" x14ac:dyDescent="0.25">
      <c r="A28" s="2325" t="s">
        <v>940</v>
      </c>
      <c r="B28" s="2319">
        <v>0.53</v>
      </c>
      <c r="C28" s="2320">
        <v>0.5</v>
      </c>
      <c r="D28" s="2320">
        <v>0.71000000000000008</v>
      </c>
      <c r="E28" s="2321">
        <v>0.54</v>
      </c>
      <c r="F28" s="2322">
        <v>0.47000000000000003</v>
      </c>
      <c r="G28" s="2320">
        <v>0.45999999999999996</v>
      </c>
      <c r="H28" s="2320">
        <v>0.44999999999999996</v>
      </c>
      <c r="I28" s="2321">
        <v>0.41000000000000003</v>
      </c>
      <c r="J28" s="2323">
        <v>0.59</v>
      </c>
      <c r="K28" s="2322">
        <v>0.57000000000000006</v>
      </c>
      <c r="L28" s="2320">
        <v>0.44999999999999996</v>
      </c>
    </row>
    <row r="29" spans="1:12" ht="16.5" customHeight="1" x14ac:dyDescent="0.25">
      <c r="A29" s="2325" t="s">
        <v>941</v>
      </c>
      <c r="B29" s="2319">
        <v>0.5</v>
      </c>
      <c r="C29" s="2320">
        <v>0.47000000000000003</v>
      </c>
      <c r="D29" s="2320">
        <v>0.51</v>
      </c>
      <c r="E29" s="2321">
        <v>0.47000000000000003</v>
      </c>
      <c r="F29" s="2322">
        <v>0.47000000000000003</v>
      </c>
      <c r="G29" s="2320">
        <v>0.41000000000000003</v>
      </c>
      <c r="H29" s="2320">
        <v>0.43</v>
      </c>
      <c r="I29" s="2321">
        <v>0.41000000000000003</v>
      </c>
      <c r="J29" s="2323">
        <v>0.35000000000000003</v>
      </c>
      <c r="K29" s="2322">
        <v>0.49</v>
      </c>
      <c r="L29" s="2320">
        <v>0.43</v>
      </c>
    </row>
    <row r="30" spans="1:12" ht="16.5" customHeight="1" x14ac:dyDescent="0.25">
      <c r="A30" s="2325" t="s">
        <v>942</v>
      </c>
      <c r="B30" s="1625">
        <v>59.300595238095234</v>
      </c>
      <c r="C30" s="2326">
        <v>53.379568472038756</v>
      </c>
      <c r="D30" s="2326">
        <v>55.978823800207152</v>
      </c>
      <c r="E30" s="2327">
        <v>69.564730894036032</v>
      </c>
      <c r="F30" s="1627">
        <v>62.123084527928818</v>
      </c>
      <c r="G30" s="2326">
        <v>59.067357512953365</v>
      </c>
      <c r="H30" s="2326">
        <v>56.037974683544299</v>
      </c>
      <c r="I30" s="2327">
        <v>55.674999999999997</v>
      </c>
      <c r="J30" s="2328">
        <v>66.772634791454735</v>
      </c>
      <c r="K30" s="1627">
        <v>59.552023921590347</v>
      </c>
      <c r="L30" s="2326">
        <v>58.241654913023034</v>
      </c>
    </row>
    <row r="31" spans="1:12" ht="16.5" customHeight="1" x14ac:dyDescent="0.25">
      <c r="A31" s="2325" t="s">
        <v>943</v>
      </c>
      <c r="B31" s="1625">
        <v>22.627478753541077</v>
      </c>
      <c r="C31" s="2326">
        <v>24.408732565191023</v>
      </c>
      <c r="D31" s="2326">
        <v>20.746561886051079</v>
      </c>
      <c r="E31" s="2327">
        <v>42.504409171075835</v>
      </c>
      <c r="F31" s="1627">
        <v>22.957553628480145</v>
      </c>
      <c r="G31" s="2326">
        <v>19.412997903563941</v>
      </c>
      <c r="H31" s="2326">
        <v>20.548459804658151</v>
      </c>
      <c r="I31" s="2327">
        <v>19.740634005763688</v>
      </c>
      <c r="J31" s="2328">
        <v>9.4701986754966878</v>
      </c>
      <c r="K31" s="1627">
        <v>25.993441358024693</v>
      </c>
      <c r="L31" s="2326">
        <v>20.581186339125225</v>
      </c>
    </row>
    <row r="32" spans="1:12" ht="12.6" customHeight="1" x14ac:dyDescent="0.25">
      <c r="A32" s="2324" t="s">
        <v>944</v>
      </c>
      <c r="B32" s="2319"/>
      <c r="C32" s="2320"/>
      <c r="D32" s="2320"/>
      <c r="E32" s="2321"/>
      <c r="F32" s="2322"/>
      <c r="G32" s="2320"/>
      <c r="H32" s="2320"/>
      <c r="I32" s="2321"/>
      <c r="J32" s="2323"/>
      <c r="K32" s="2322"/>
      <c r="L32" s="2320"/>
    </row>
    <row r="33" spans="1:12" ht="14.55" customHeight="1" x14ac:dyDescent="0.25">
      <c r="A33" s="2325" t="s">
        <v>313</v>
      </c>
      <c r="B33" s="1625">
        <v>12.7</v>
      </c>
      <c r="C33" s="2326">
        <v>12.5</v>
      </c>
      <c r="D33" s="2326">
        <v>10.500000000000002</v>
      </c>
      <c r="E33" s="2327">
        <v>12</v>
      </c>
      <c r="F33" s="1627">
        <v>11</v>
      </c>
      <c r="G33" s="2326">
        <v>11.700000000000001</v>
      </c>
      <c r="H33" s="2326">
        <v>11.799999999999999</v>
      </c>
      <c r="I33" s="2327">
        <v>12.5</v>
      </c>
      <c r="J33" s="2328">
        <v>9.1</v>
      </c>
      <c r="K33" s="1627">
        <v>11.899999999999999</v>
      </c>
      <c r="L33" s="2326">
        <v>11.700000000000001</v>
      </c>
    </row>
    <row r="34" spans="1:12" ht="14.55" customHeight="1" x14ac:dyDescent="0.25">
      <c r="A34" s="2325" t="s">
        <v>314</v>
      </c>
      <c r="B34" s="1625">
        <v>53.979940247545876</v>
      </c>
      <c r="C34" s="2326">
        <v>53.398592168939729</v>
      </c>
      <c r="D34" s="2326">
        <v>55.36924313770529</v>
      </c>
      <c r="E34" s="2327">
        <v>54.123307597627836</v>
      </c>
      <c r="F34" s="1627">
        <v>55.795847750865057</v>
      </c>
      <c r="G34" s="2326">
        <v>55.710029791459782</v>
      </c>
      <c r="H34" s="2326">
        <v>55.810126582278485</v>
      </c>
      <c r="I34" s="2327">
        <v>55.45</v>
      </c>
      <c r="J34" s="2328">
        <v>59.290382819794587</v>
      </c>
      <c r="K34" s="1627">
        <v>54.204054503157195</v>
      </c>
      <c r="L34" s="2326">
        <v>55.691462805791318</v>
      </c>
    </row>
    <row r="35" spans="1:12" ht="12.6" customHeight="1" x14ac:dyDescent="0.3">
      <c r="A35" s="2329" t="s">
        <v>423</v>
      </c>
      <c r="B35" s="2310"/>
      <c r="C35" s="2311"/>
      <c r="D35" s="2311"/>
      <c r="E35" s="2312"/>
      <c r="F35" s="2313"/>
      <c r="G35" s="2314"/>
      <c r="H35" s="2314"/>
      <c r="I35" s="2315"/>
      <c r="J35" s="2316"/>
      <c r="K35" s="2317"/>
      <c r="L35" s="2318"/>
    </row>
    <row r="36" spans="1:12" ht="14.55" customHeight="1" x14ac:dyDescent="0.25">
      <c r="A36" s="2330" t="s">
        <v>945</v>
      </c>
      <c r="B36" s="1625">
        <v>753.8420000000001</v>
      </c>
      <c r="C36" s="2326">
        <v>747.3</v>
      </c>
      <c r="D36" s="2326">
        <v>749.97500000000002</v>
      </c>
      <c r="E36" s="2327">
        <v>754.71800000000007</v>
      </c>
      <c r="F36" s="1627">
        <v>745.71100000000001</v>
      </c>
      <c r="G36" s="2326">
        <v>748.87699999999995</v>
      </c>
      <c r="H36" s="2326">
        <v>744.83900000000006</v>
      </c>
      <c r="I36" s="2327">
        <v>752.23699999999997</v>
      </c>
      <c r="J36" s="2328">
        <v>757.32100000000003</v>
      </c>
      <c r="K36" s="1627">
        <v>751.42099999999994</v>
      </c>
      <c r="L36" s="2326">
        <v>747.89400000000001</v>
      </c>
    </row>
    <row r="37" spans="1:12" ht="14.55" customHeight="1" x14ac:dyDescent="0.25">
      <c r="A37" s="2331" t="s">
        <v>194</v>
      </c>
      <c r="B37" s="1625">
        <v>946.05600000000004</v>
      </c>
      <c r="C37" s="2326">
        <v>931.28400000000011</v>
      </c>
      <c r="D37" s="2326">
        <v>950.27300000000002</v>
      </c>
      <c r="E37" s="2327">
        <v>949.71100000000001</v>
      </c>
      <c r="F37" s="1627">
        <v>929.072</v>
      </c>
      <c r="G37" s="2326">
        <v>938.60300000000007</v>
      </c>
      <c r="H37" s="2326">
        <v>933.58</v>
      </c>
      <c r="I37" s="2327">
        <v>937.37799999999993</v>
      </c>
      <c r="J37" s="2328">
        <v>939.20999999999992</v>
      </c>
      <c r="K37" s="1627">
        <v>944.28200000000004</v>
      </c>
      <c r="L37" s="2326">
        <v>934.62299999999993</v>
      </c>
    </row>
    <row r="38" spans="1:12" ht="14.55" customHeight="1" x14ac:dyDescent="0.3">
      <c r="A38" s="2329" t="s">
        <v>946</v>
      </c>
      <c r="B38" s="2332"/>
      <c r="C38" s="2333"/>
      <c r="D38" s="2333"/>
      <c r="E38" s="2334"/>
      <c r="F38" s="2332"/>
      <c r="G38" s="2335"/>
      <c r="H38" s="2335"/>
      <c r="I38" s="2336"/>
      <c r="J38" s="2284"/>
      <c r="K38" s="2285"/>
      <c r="L38" s="2286"/>
    </row>
    <row r="39" spans="1:12" ht="14.55" customHeight="1" x14ac:dyDescent="0.25">
      <c r="A39" s="2337" t="s">
        <v>947</v>
      </c>
      <c r="B39" s="2119">
        <v>253</v>
      </c>
      <c r="C39" s="2120">
        <v>252</v>
      </c>
      <c r="D39" s="2120">
        <v>259</v>
      </c>
      <c r="E39" s="2121">
        <v>291</v>
      </c>
      <c r="F39" s="2120">
        <v>294</v>
      </c>
      <c r="G39" s="2120">
        <v>293</v>
      </c>
      <c r="H39" s="2120">
        <v>299</v>
      </c>
      <c r="I39" s="2121">
        <v>283</v>
      </c>
      <c r="J39" s="2123">
        <v>269</v>
      </c>
      <c r="K39" s="2122">
        <v>1055</v>
      </c>
      <c r="L39" s="2120">
        <v>1169</v>
      </c>
    </row>
    <row r="40" spans="1:12" ht="14.55" customHeight="1" x14ac:dyDescent="0.25">
      <c r="A40" s="2295" t="s">
        <v>948</v>
      </c>
      <c r="B40" s="2119">
        <v>142</v>
      </c>
      <c r="C40" s="2120">
        <v>150</v>
      </c>
      <c r="D40" s="2120">
        <v>132</v>
      </c>
      <c r="E40" s="2121">
        <v>144</v>
      </c>
      <c r="F40" s="2120">
        <v>140</v>
      </c>
      <c r="G40" s="2120">
        <v>158</v>
      </c>
      <c r="H40" s="2120">
        <v>148</v>
      </c>
      <c r="I40" s="2121">
        <v>150</v>
      </c>
      <c r="J40" s="2123">
        <v>139</v>
      </c>
      <c r="K40" s="2122">
        <v>568</v>
      </c>
      <c r="L40" s="2120">
        <v>596</v>
      </c>
    </row>
    <row r="41" spans="1:12" ht="14.55" customHeight="1" x14ac:dyDescent="0.25">
      <c r="A41" s="2296" t="s">
        <v>949</v>
      </c>
      <c r="B41" s="2119">
        <v>395</v>
      </c>
      <c r="C41" s="2120">
        <v>402</v>
      </c>
      <c r="D41" s="2120">
        <v>391</v>
      </c>
      <c r="E41" s="2121">
        <v>435</v>
      </c>
      <c r="F41" s="2120">
        <v>434</v>
      </c>
      <c r="G41" s="2120">
        <v>451</v>
      </c>
      <c r="H41" s="2120">
        <v>447</v>
      </c>
      <c r="I41" s="2121">
        <v>433</v>
      </c>
      <c r="J41" s="2123">
        <v>408</v>
      </c>
      <c r="K41" s="2122">
        <v>1623</v>
      </c>
      <c r="L41" s="2120">
        <v>1765</v>
      </c>
    </row>
    <row r="42" spans="1:12" ht="14.55" customHeight="1" x14ac:dyDescent="0.25">
      <c r="A42" s="2295" t="s">
        <v>271</v>
      </c>
      <c r="B42" s="2119">
        <v>108</v>
      </c>
      <c r="C42" s="2120">
        <v>104</v>
      </c>
      <c r="D42" s="2120">
        <v>118</v>
      </c>
      <c r="E42" s="2121">
        <v>143</v>
      </c>
      <c r="F42" s="2120">
        <v>156</v>
      </c>
      <c r="G42" s="2120">
        <v>198</v>
      </c>
      <c r="H42" s="2120">
        <v>196</v>
      </c>
      <c r="I42" s="2121">
        <v>192</v>
      </c>
      <c r="J42" s="2123">
        <v>153</v>
      </c>
      <c r="K42" s="2122">
        <v>473</v>
      </c>
      <c r="L42" s="2120">
        <v>742</v>
      </c>
    </row>
    <row r="43" spans="1:12" ht="14.55" customHeight="1" x14ac:dyDescent="0.25">
      <c r="A43" s="2295" t="s">
        <v>298</v>
      </c>
      <c r="B43" s="2119">
        <v>249</v>
      </c>
      <c r="C43" s="2120">
        <v>240</v>
      </c>
      <c r="D43" s="2120">
        <v>246</v>
      </c>
      <c r="E43" s="2121">
        <v>274</v>
      </c>
      <c r="F43" s="2120">
        <v>269</v>
      </c>
      <c r="G43" s="2120">
        <v>275</v>
      </c>
      <c r="H43" s="2120">
        <v>284</v>
      </c>
      <c r="I43" s="2121">
        <v>285</v>
      </c>
      <c r="J43" s="2123">
        <v>276</v>
      </c>
      <c r="K43" s="2122">
        <v>1009</v>
      </c>
      <c r="L43" s="2120">
        <v>1113</v>
      </c>
    </row>
    <row r="44" spans="1:12" ht="14.55" customHeight="1" x14ac:dyDescent="0.3">
      <c r="A44" s="2295" t="s">
        <v>893</v>
      </c>
      <c r="B44" s="2119">
        <v>38</v>
      </c>
      <c r="C44" s="2120">
        <v>58</v>
      </c>
      <c r="D44" s="2120">
        <v>27</v>
      </c>
      <c r="E44" s="2121">
        <v>18</v>
      </c>
      <c r="F44" s="2120">
        <v>9</v>
      </c>
      <c r="G44" s="2305">
        <v>-22</v>
      </c>
      <c r="H44" s="2305">
        <v>-33</v>
      </c>
      <c r="I44" s="2306">
        <v>-44</v>
      </c>
      <c r="J44" s="2307">
        <v>-21</v>
      </c>
      <c r="K44" s="2120">
        <v>141</v>
      </c>
      <c r="L44" s="134">
        <v>-90</v>
      </c>
    </row>
    <row r="45" spans="1:12" ht="14.55" customHeight="1" x14ac:dyDescent="0.3">
      <c r="A45" s="2295" t="s">
        <v>950</v>
      </c>
      <c r="B45" s="2119">
        <v>17</v>
      </c>
      <c r="C45" s="2120">
        <v>24</v>
      </c>
      <c r="D45" s="2120">
        <v>12</v>
      </c>
      <c r="E45" s="2121">
        <v>3</v>
      </c>
      <c r="F45" s="2120">
        <v>8</v>
      </c>
      <c r="G45" s="2305">
        <v>-12</v>
      </c>
      <c r="H45" s="2305">
        <v>-10</v>
      </c>
      <c r="I45" s="2306">
        <v>-15</v>
      </c>
      <c r="J45" s="2307">
        <v>-8</v>
      </c>
      <c r="K45" s="2120">
        <v>56</v>
      </c>
      <c r="L45" s="134">
        <v>-29</v>
      </c>
    </row>
    <row r="46" spans="1:12" ht="14.55" customHeight="1" x14ac:dyDescent="0.3">
      <c r="A46" s="2296" t="s">
        <v>300</v>
      </c>
      <c r="B46" s="2119">
        <v>21</v>
      </c>
      <c r="C46" s="2120">
        <v>34</v>
      </c>
      <c r="D46" s="2120">
        <v>15</v>
      </c>
      <c r="E46" s="2121">
        <v>15</v>
      </c>
      <c r="F46" s="2120">
        <v>1</v>
      </c>
      <c r="G46" s="2305">
        <v>-10</v>
      </c>
      <c r="H46" s="2305">
        <v>-23</v>
      </c>
      <c r="I46" s="2306">
        <v>-29</v>
      </c>
      <c r="J46" s="2307">
        <v>-13</v>
      </c>
      <c r="K46" s="2120">
        <v>85</v>
      </c>
      <c r="L46" s="134">
        <v>-61</v>
      </c>
    </row>
    <row r="47" spans="1:12" ht="14.55" customHeight="1" x14ac:dyDescent="0.3">
      <c r="A47" s="2296" t="s">
        <v>951</v>
      </c>
      <c r="B47" s="2119">
        <v>21</v>
      </c>
      <c r="C47" s="2120">
        <v>34</v>
      </c>
      <c r="D47" s="2120">
        <v>15</v>
      </c>
      <c r="E47" s="2121">
        <v>15</v>
      </c>
      <c r="F47" s="2120">
        <v>2</v>
      </c>
      <c r="G47" s="2305">
        <v>-9</v>
      </c>
      <c r="H47" s="2305">
        <v>-22</v>
      </c>
      <c r="I47" s="2306">
        <v>-29</v>
      </c>
      <c r="J47" s="2307">
        <v>-13</v>
      </c>
      <c r="K47" s="2120">
        <v>85</v>
      </c>
      <c r="L47" s="134">
        <v>-58</v>
      </c>
    </row>
    <row r="48" spans="1:12" ht="14.55" customHeight="1" x14ac:dyDescent="0.3">
      <c r="A48" s="2297" t="s">
        <v>341</v>
      </c>
      <c r="B48" s="2119">
        <v>8</v>
      </c>
      <c r="C48" s="2120">
        <v>7</v>
      </c>
      <c r="D48" s="2120">
        <v>1</v>
      </c>
      <c r="E48" s="2299">
        <v>-5</v>
      </c>
      <c r="F48" s="2305">
        <v>-4</v>
      </c>
      <c r="G48" s="2305">
        <v>-15</v>
      </c>
      <c r="H48" s="2305">
        <v>-15</v>
      </c>
      <c r="I48" s="2306">
        <v>-15</v>
      </c>
      <c r="J48" s="2307">
        <v>-10</v>
      </c>
      <c r="K48" s="2120">
        <v>11</v>
      </c>
      <c r="L48" s="134">
        <v>-49</v>
      </c>
    </row>
    <row r="49" spans="1:12" ht="14.55" customHeight="1" x14ac:dyDescent="0.3">
      <c r="A49" s="2338" t="s">
        <v>952</v>
      </c>
      <c r="B49" s="2119">
        <v>8</v>
      </c>
      <c r="C49" s="2120">
        <v>7</v>
      </c>
      <c r="D49" s="2120">
        <v>1</v>
      </c>
      <c r="E49" s="2299">
        <v>-5</v>
      </c>
      <c r="F49" s="2305">
        <v>-4</v>
      </c>
      <c r="G49" s="2305">
        <v>-15</v>
      </c>
      <c r="H49" s="2305">
        <v>-15</v>
      </c>
      <c r="I49" s="2306">
        <v>-15</v>
      </c>
      <c r="J49" s="2307">
        <v>-10</v>
      </c>
      <c r="K49" s="2120">
        <v>11</v>
      </c>
      <c r="L49" s="134">
        <v>-49</v>
      </c>
    </row>
    <row r="50" spans="1:12" ht="14.55" customHeight="1" x14ac:dyDescent="0.3">
      <c r="A50" s="2338" t="s">
        <v>879</v>
      </c>
      <c r="B50" s="2119">
        <v>13</v>
      </c>
      <c r="C50" s="2120">
        <v>27</v>
      </c>
      <c r="D50" s="2120">
        <v>14</v>
      </c>
      <c r="E50" s="2121">
        <v>20</v>
      </c>
      <c r="F50" s="2120">
        <v>5</v>
      </c>
      <c r="G50" s="2305">
        <v>5</v>
      </c>
      <c r="H50" s="2305">
        <v>-8</v>
      </c>
      <c r="I50" s="2306">
        <v>-14</v>
      </c>
      <c r="J50" s="2307">
        <v>-3</v>
      </c>
      <c r="K50" s="2120">
        <v>74</v>
      </c>
      <c r="L50" s="134">
        <v>-12</v>
      </c>
    </row>
    <row r="51" spans="1:12" ht="14.55" customHeight="1" x14ac:dyDescent="0.3">
      <c r="A51" s="2339" t="s">
        <v>953</v>
      </c>
      <c r="B51" s="2119">
        <v>13</v>
      </c>
      <c r="C51" s="2120">
        <v>27</v>
      </c>
      <c r="D51" s="2120">
        <v>14</v>
      </c>
      <c r="E51" s="2121">
        <v>20</v>
      </c>
      <c r="F51" s="2120">
        <v>6</v>
      </c>
      <c r="G51" s="2305">
        <v>6</v>
      </c>
      <c r="H51" s="2305">
        <v>-7</v>
      </c>
      <c r="I51" s="2306">
        <v>-14</v>
      </c>
      <c r="J51" s="2307">
        <v>-3</v>
      </c>
      <c r="K51" s="2120">
        <v>74</v>
      </c>
      <c r="L51" s="134">
        <v>-9</v>
      </c>
    </row>
    <row r="52" spans="1:12" ht="14.55" customHeight="1" x14ac:dyDescent="0.3">
      <c r="A52" s="2329" t="s">
        <v>423</v>
      </c>
      <c r="B52" s="2340"/>
      <c r="C52" s="2341"/>
      <c r="D52" s="2341"/>
      <c r="E52" s="2342"/>
      <c r="F52" s="2343"/>
      <c r="G52" s="2344"/>
      <c r="H52" s="2344"/>
      <c r="I52" s="2345"/>
      <c r="J52" s="2284"/>
      <c r="K52" s="2285"/>
      <c r="L52" s="2286"/>
    </row>
    <row r="53" spans="1:12" ht="14.55" customHeight="1" x14ac:dyDescent="0.25">
      <c r="A53" s="2330" t="s">
        <v>427</v>
      </c>
      <c r="B53" s="1625">
        <v>17.899999999999999</v>
      </c>
      <c r="C53" s="2326">
        <v>17.200000000000003</v>
      </c>
      <c r="D53" s="2326">
        <v>17.5</v>
      </c>
      <c r="E53" s="2327">
        <v>17.599999999999998</v>
      </c>
      <c r="F53" s="1627">
        <v>17.399999999999999</v>
      </c>
      <c r="G53" s="2326">
        <v>18.5</v>
      </c>
      <c r="H53" s="2326">
        <v>18.899999999999999</v>
      </c>
      <c r="I53" s="2327">
        <v>18.7</v>
      </c>
      <c r="J53" s="2328">
        <v>18.399999999999999</v>
      </c>
      <c r="K53" s="1627">
        <v>17.600000000000001</v>
      </c>
      <c r="L53" s="2326">
        <v>18.399999999999999</v>
      </c>
    </row>
    <row r="54" spans="1:12" ht="14.55" customHeight="1" x14ac:dyDescent="0.25">
      <c r="A54" s="2331" t="s">
        <v>194</v>
      </c>
      <c r="B54" s="1625">
        <v>18.3</v>
      </c>
      <c r="C54" s="2326">
        <v>17.5</v>
      </c>
      <c r="D54" s="2326">
        <v>17.5</v>
      </c>
      <c r="E54" s="2327">
        <v>17.100000000000001</v>
      </c>
      <c r="F54" s="1627">
        <v>16.399999999999999</v>
      </c>
      <c r="G54" s="2326">
        <v>17.5</v>
      </c>
      <c r="H54" s="2326">
        <v>17.399999999999999</v>
      </c>
      <c r="I54" s="2327">
        <v>16.899999999999999</v>
      </c>
      <c r="J54" s="2328">
        <v>16.7</v>
      </c>
      <c r="K54" s="1627">
        <v>17.600000000000001</v>
      </c>
      <c r="L54" s="2326">
        <v>17.100000000000001</v>
      </c>
    </row>
    <row r="55" spans="1:12" ht="13.35" customHeight="1" x14ac:dyDescent="0.25">
      <c r="A55" s="2346"/>
      <c r="B55" s="2346"/>
      <c r="C55" s="2346"/>
      <c r="D55" s="2346"/>
      <c r="E55" s="2346"/>
      <c r="F55" s="2346"/>
      <c r="G55" s="2346"/>
      <c r="H55" s="2346"/>
      <c r="I55" s="2346"/>
      <c r="J55" s="2347"/>
      <c r="K55" s="2347"/>
      <c r="L55" s="2347"/>
    </row>
    <row r="56" spans="1:12" ht="29.25" customHeight="1" x14ac:dyDescent="0.25">
      <c r="A56" s="2801" t="s">
        <v>954</v>
      </c>
      <c r="B56" s="2803" t="s">
        <v>15</v>
      </c>
      <c r="C56" s="2803" t="s">
        <v>15</v>
      </c>
      <c r="D56" s="2803" t="s">
        <v>15</v>
      </c>
      <c r="E56" s="2803" t="s">
        <v>15</v>
      </c>
      <c r="F56" s="2803" t="s">
        <v>15</v>
      </c>
      <c r="G56" s="2803" t="s">
        <v>15</v>
      </c>
      <c r="H56" s="2803" t="s">
        <v>15</v>
      </c>
      <c r="I56" s="2803" t="s">
        <v>15</v>
      </c>
      <c r="J56" s="2803" t="s">
        <v>15</v>
      </c>
      <c r="K56" s="2803" t="s">
        <v>15</v>
      </c>
      <c r="L56" s="2803" t="s">
        <v>15</v>
      </c>
    </row>
    <row r="57" spans="1:12" ht="10.35" customHeight="1" x14ac:dyDescent="0.25">
      <c r="A57" s="2802" t="s">
        <v>955</v>
      </c>
      <c r="B57" s="2946" t="s">
        <v>15</v>
      </c>
      <c r="C57" s="2946" t="s">
        <v>15</v>
      </c>
      <c r="D57" s="2946" t="s">
        <v>15</v>
      </c>
      <c r="E57" s="2946" t="s">
        <v>15</v>
      </c>
      <c r="F57" s="2946" t="s">
        <v>15</v>
      </c>
      <c r="G57" s="2946" t="s">
        <v>15</v>
      </c>
      <c r="H57" s="2946" t="s">
        <v>15</v>
      </c>
      <c r="I57" s="2946" t="s">
        <v>15</v>
      </c>
      <c r="J57" s="2946" t="s">
        <v>15</v>
      </c>
      <c r="K57" s="2946" t="s">
        <v>15</v>
      </c>
      <c r="L57" s="2946" t="s">
        <v>15</v>
      </c>
    </row>
    <row r="58" spans="1:12" ht="10.35" customHeight="1" x14ac:dyDescent="0.25">
      <c r="A58" s="2802" t="s">
        <v>956</v>
      </c>
      <c r="B58" s="2946" t="s">
        <v>15</v>
      </c>
      <c r="C58" s="2946" t="s">
        <v>15</v>
      </c>
      <c r="D58" s="2946" t="s">
        <v>15</v>
      </c>
      <c r="E58" s="2946" t="s">
        <v>15</v>
      </c>
      <c r="F58" s="2946" t="s">
        <v>15</v>
      </c>
      <c r="G58" s="2946" t="s">
        <v>15</v>
      </c>
      <c r="H58" s="2946" t="s">
        <v>15</v>
      </c>
      <c r="I58" s="2946" t="s">
        <v>15</v>
      </c>
      <c r="J58" s="2946" t="s">
        <v>15</v>
      </c>
      <c r="K58" s="2946" t="s">
        <v>15</v>
      </c>
      <c r="L58" s="2946" t="s">
        <v>15</v>
      </c>
    </row>
    <row r="59" spans="1:12" ht="10.35" customHeight="1" x14ac:dyDescent="0.25">
      <c r="A59" s="74" t="s">
        <v>957</v>
      </c>
      <c r="B59" s="75"/>
      <c r="C59" s="75"/>
      <c r="D59" s="75"/>
      <c r="E59" s="75"/>
      <c r="F59" s="75"/>
      <c r="G59" s="75"/>
      <c r="H59" s="75"/>
      <c r="I59" s="75"/>
      <c r="J59" s="75"/>
      <c r="K59" s="75"/>
      <c r="L59" s="75"/>
    </row>
    <row r="60" spans="1:12" ht="10.35" customHeight="1" x14ac:dyDescent="0.25">
      <c r="A60" s="74" t="s">
        <v>958</v>
      </c>
      <c r="B60" s="75"/>
      <c r="C60" s="75"/>
      <c r="D60" s="75"/>
      <c r="E60" s="75"/>
      <c r="F60" s="75"/>
      <c r="G60" s="75"/>
      <c r="H60" s="75"/>
      <c r="I60" s="75"/>
      <c r="J60" s="75"/>
      <c r="K60" s="75"/>
      <c r="L60" s="75"/>
    </row>
  </sheetData>
  <mergeCells count="5">
    <mergeCell ref="A2:L2"/>
    <mergeCell ref="K3:L3"/>
    <mergeCell ref="A56:L56"/>
    <mergeCell ref="A57:L57"/>
    <mergeCell ref="A58:L58"/>
  </mergeCells>
  <hyperlinks>
    <hyperlink ref="A1" location="ToC!A2" display="Back to Table of Contents" xr:uid="{38B38FAB-207C-48A7-904A-245CFE697786}"/>
  </hyperlinks>
  <pageMargins left="0.5" right="0.5" top="0.5" bottom="0.5" header="0.25" footer="0.25"/>
  <pageSetup scale="56" orientation="landscape" r:id="rId1"/>
  <headerFooter>
    <oddFooter>&amp;L&amp;G&amp;C&amp;"Scotia,Regular"&amp;9Supplementary Financial Information (SFI)&amp;R31&amp;"Scotia,Regular"&amp;7</oddFoot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1729-A6C0-499E-BDE2-61C64494CADC}">
  <sheetPr>
    <pageSetUpPr fitToPage="1"/>
  </sheetPr>
  <dimension ref="A1:L48"/>
  <sheetViews>
    <sheetView showGridLines="0" zoomScaleNormal="100" workbookViewId="0"/>
  </sheetViews>
  <sheetFormatPr defaultColWidth="8.77734375" defaultRowHeight="13.2" x14ac:dyDescent="0.25"/>
  <cols>
    <col min="1" max="1" width="77.77734375" style="23" customWidth="1"/>
    <col min="2" max="12" width="12.77734375" style="23" customWidth="1"/>
    <col min="13" max="16384" width="8.77734375" style="23"/>
  </cols>
  <sheetData>
    <row r="1" spans="1:12" ht="19.95" customHeight="1" x14ac:dyDescent="0.25">
      <c r="A1" s="22" t="s">
        <v>12</v>
      </c>
    </row>
    <row r="2" spans="1:12" ht="25.35" customHeight="1" x14ac:dyDescent="0.25">
      <c r="A2" s="2839" t="s">
        <v>959</v>
      </c>
      <c r="B2" s="2840" t="s">
        <v>15</v>
      </c>
      <c r="C2" s="2840" t="s">
        <v>15</v>
      </c>
      <c r="D2" s="2840" t="s">
        <v>15</v>
      </c>
      <c r="E2" s="2840" t="s">
        <v>15</v>
      </c>
      <c r="F2" s="2840" t="s">
        <v>15</v>
      </c>
      <c r="G2" s="2840" t="s">
        <v>15</v>
      </c>
      <c r="H2" s="2840" t="s">
        <v>15</v>
      </c>
      <c r="I2" s="2840" t="s">
        <v>15</v>
      </c>
      <c r="J2" s="2840" t="s">
        <v>15</v>
      </c>
      <c r="K2" s="2840" t="s">
        <v>15</v>
      </c>
      <c r="L2" s="2840" t="s">
        <v>15</v>
      </c>
    </row>
    <row r="3" spans="1:12" ht="14.55" customHeight="1" x14ac:dyDescent="0.25">
      <c r="A3" s="2348"/>
      <c r="B3" s="2951"/>
      <c r="C3" s="2952" t="s">
        <v>15</v>
      </c>
      <c r="D3" s="2952" t="s">
        <v>15</v>
      </c>
      <c r="E3" s="2953" t="s">
        <v>15</v>
      </c>
      <c r="F3" s="2954"/>
      <c r="G3" s="2955" t="s">
        <v>15</v>
      </c>
      <c r="H3" s="2955" t="s">
        <v>15</v>
      </c>
      <c r="I3" s="2956" t="s">
        <v>15</v>
      </c>
      <c r="J3" s="2349"/>
      <c r="K3" s="2954" t="s">
        <v>163</v>
      </c>
      <c r="L3" s="2955" t="s">
        <v>15</v>
      </c>
    </row>
    <row r="4" spans="1:12" ht="16.5" customHeight="1" x14ac:dyDescent="0.25">
      <c r="A4" s="603" t="s">
        <v>960</v>
      </c>
      <c r="B4" s="564" t="s">
        <v>165</v>
      </c>
      <c r="C4" s="565" t="s">
        <v>166</v>
      </c>
      <c r="D4" s="565" t="s">
        <v>167</v>
      </c>
      <c r="E4" s="566" t="s">
        <v>168</v>
      </c>
      <c r="F4" s="2350" t="s">
        <v>169</v>
      </c>
      <c r="G4" s="2351" t="s">
        <v>170</v>
      </c>
      <c r="H4" s="2351" t="s">
        <v>171</v>
      </c>
      <c r="I4" s="2352" t="s">
        <v>172</v>
      </c>
      <c r="J4" s="2353" t="s">
        <v>173</v>
      </c>
      <c r="K4" s="2354" t="s">
        <v>174</v>
      </c>
      <c r="L4" s="2355">
        <v>2024</v>
      </c>
    </row>
    <row r="5" spans="1:12" ht="15" customHeight="1" x14ac:dyDescent="0.25">
      <c r="A5" s="2356" t="s">
        <v>931</v>
      </c>
      <c r="B5" s="2357"/>
      <c r="C5" s="2358"/>
      <c r="D5" s="2358"/>
      <c r="E5" s="2359"/>
      <c r="F5" s="2360"/>
      <c r="G5" s="2361"/>
      <c r="H5" s="2361"/>
      <c r="I5" s="2362"/>
      <c r="J5" s="2363"/>
      <c r="K5" s="2364"/>
      <c r="L5" s="2365"/>
    </row>
    <row r="6" spans="1:12" ht="15" customHeight="1" x14ac:dyDescent="0.25">
      <c r="A6" s="2366" t="s">
        <v>339</v>
      </c>
      <c r="B6" s="2367">
        <v>2024</v>
      </c>
      <c r="C6" s="2368">
        <v>1997</v>
      </c>
      <c r="D6" s="2368">
        <v>1924</v>
      </c>
      <c r="E6" s="2369">
        <v>1882</v>
      </c>
      <c r="F6" s="2370">
        <v>1857</v>
      </c>
      <c r="G6" s="2368">
        <v>1937</v>
      </c>
      <c r="H6" s="2368">
        <v>1959</v>
      </c>
      <c r="I6" s="2369">
        <v>1961</v>
      </c>
      <c r="J6" s="2371">
        <v>1860</v>
      </c>
      <c r="K6" s="2370">
        <v>7827</v>
      </c>
      <c r="L6" s="2368">
        <v>7714</v>
      </c>
    </row>
    <row r="7" spans="1:12" ht="15" customHeight="1" x14ac:dyDescent="0.25">
      <c r="A7" s="2372" t="s">
        <v>292</v>
      </c>
      <c r="B7" s="2373">
        <v>642</v>
      </c>
      <c r="C7" s="2368">
        <v>614</v>
      </c>
      <c r="D7" s="2368">
        <v>654</v>
      </c>
      <c r="E7" s="2369">
        <v>722</v>
      </c>
      <c r="F7" s="2370">
        <v>577</v>
      </c>
      <c r="G7" s="2368">
        <v>595</v>
      </c>
      <c r="H7" s="2368">
        <v>563</v>
      </c>
      <c r="I7" s="2369">
        <v>689</v>
      </c>
      <c r="J7" s="2371">
        <v>496</v>
      </c>
      <c r="K7" s="2370">
        <v>2632</v>
      </c>
      <c r="L7" s="2368">
        <v>2424</v>
      </c>
    </row>
    <row r="8" spans="1:12" ht="15" customHeight="1" x14ac:dyDescent="0.25">
      <c r="A8" s="2374" t="s">
        <v>296</v>
      </c>
      <c r="B8" s="2373">
        <v>2666</v>
      </c>
      <c r="C8" s="2368">
        <v>2611</v>
      </c>
      <c r="D8" s="2368">
        <v>2578</v>
      </c>
      <c r="E8" s="2369">
        <v>2604</v>
      </c>
      <c r="F8" s="2370">
        <v>2434</v>
      </c>
      <c r="G8" s="2368">
        <v>2532</v>
      </c>
      <c r="H8" s="2368">
        <v>2522</v>
      </c>
      <c r="I8" s="2369">
        <v>2650</v>
      </c>
      <c r="J8" s="2371">
        <v>2356</v>
      </c>
      <c r="K8" s="2370">
        <v>10459</v>
      </c>
      <c r="L8" s="2368">
        <v>10138</v>
      </c>
    </row>
    <row r="9" spans="1:12" ht="15" customHeight="1" x14ac:dyDescent="0.25">
      <c r="A9" s="2372" t="s">
        <v>271</v>
      </c>
      <c r="B9" s="2373">
        <v>487</v>
      </c>
      <c r="C9" s="2368">
        <v>458</v>
      </c>
      <c r="D9" s="2368">
        <v>432</v>
      </c>
      <c r="E9" s="2369">
        <v>459</v>
      </c>
      <c r="F9" s="2370">
        <v>400</v>
      </c>
      <c r="G9" s="2368">
        <v>391</v>
      </c>
      <c r="H9" s="2368">
        <v>370</v>
      </c>
      <c r="I9" s="2369">
        <v>382</v>
      </c>
      <c r="J9" s="2371">
        <v>359</v>
      </c>
      <c r="K9" s="2370">
        <v>1836</v>
      </c>
      <c r="L9" s="2368">
        <v>1543</v>
      </c>
    </row>
    <row r="10" spans="1:12" ht="15" customHeight="1" x14ac:dyDescent="0.25">
      <c r="A10" s="2372" t="s">
        <v>298</v>
      </c>
      <c r="B10" s="2373">
        <v>1334</v>
      </c>
      <c r="C10" s="2368">
        <v>1277</v>
      </c>
      <c r="D10" s="2368">
        <v>1285</v>
      </c>
      <c r="E10" s="2369">
        <v>1287</v>
      </c>
      <c r="F10" s="2370">
        <v>1229</v>
      </c>
      <c r="G10" s="2368">
        <v>1281</v>
      </c>
      <c r="H10" s="2368">
        <v>1270</v>
      </c>
      <c r="I10" s="2369">
        <v>1304</v>
      </c>
      <c r="J10" s="2371">
        <v>1262</v>
      </c>
      <c r="K10" s="2370">
        <v>5183</v>
      </c>
      <c r="L10" s="2368">
        <v>5084</v>
      </c>
    </row>
    <row r="11" spans="1:12" ht="15" customHeight="1" x14ac:dyDescent="0.25">
      <c r="A11" s="2372" t="s">
        <v>893</v>
      </c>
      <c r="B11" s="2373">
        <v>845</v>
      </c>
      <c r="C11" s="2368">
        <v>876</v>
      </c>
      <c r="D11" s="2368">
        <v>861</v>
      </c>
      <c r="E11" s="2369">
        <v>858</v>
      </c>
      <c r="F11" s="2370">
        <v>805</v>
      </c>
      <c r="G11" s="2368">
        <v>860</v>
      </c>
      <c r="H11" s="2368">
        <v>882</v>
      </c>
      <c r="I11" s="2369">
        <v>964</v>
      </c>
      <c r="J11" s="2371">
        <v>735</v>
      </c>
      <c r="K11" s="2370">
        <v>3440</v>
      </c>
      <c r="L11" s="2368">
        <v>3511</v>
      </c>
    </row>
    <row r="12" spans="1:12" ht="15" customHeight="1" x14ac:dyDescent="0.25">
      <c r="A12" s="2372" t="s">
        <v>299</v>
      </c>
      <c r="B12" s="2373">
        <v>185</v>
      </c>
      <c r="C12" s="2368">
        <v>196</v>
      </c>
      <c r="D12" s="2368">
        <v>161</v>
      </c>
      <c r="E12" s="2369">
        <v>187</v>
      </c>
      <c r="F12" s="2370">
        <v>161</v>
      </c>
      <c r="G12" s="2368">
        <v>183</v>
      </c>
      <c r="H12" s="2368">
        <v>195</v>
      </c>
      <c r="I12" s="2369">
        <v>199</v>
      </c>
      <c r="J12" s="2371">
        <v>170</v>
      </c>
      <c r="K12" s="2370">
        <v>729</v>
      </c>
      <c r="L12" s="2368">
        <v>738</v>
      </c>
    </row>
    <row r="13" spans="1:12" ht="15" customHeight="1" x14ac:dyDescent="0.25">
      <c r="A13" s="2374" t="s">
        <v>885</v>
      </c>
      <c r="B13" s="2373">
        <v>660</v>
      </c>
      <c r="C13" s="2368">
        <v>680</v>
      </c>
      <c r="D13" s="2368">
        <v>700</v>
      </c>
      <c r="E13" s="2369">
        <v>671</v>
      </c>
      <c r="F13" s="2370">
        <v>644</v>
      </c>
      <c r="G13" s="2368">
        <v>677</v>
      </c>
      <c r="H13" s="2368">
        <v>687</v>
      </c>
      <c r="I13" s="2369">
        <v>765</v>
      </c>
      <c r="J13" s="2371">
        <v>565</v>
      </c>
      <c r="K13" s="2370">
        <v>2711</v>
      </c>
      <c r="L13" s="2368">
        <v>2773</v>
      </c>
    </row>
    <row r="14" spans="1:12" ht="15" customHeight="1" x14ac:dyDescent="0.25">
      <c r="A14" s="2374" t="s">
        <v>935</v>
      </c>
      <c r="B14" s="2373">
        <v>37</v>
      </c>
      <c r="C14" s="2368">
        <v>34</v>
      </c>
      <c r="D14" s="2368">
        <v>37</v>
      </c>
      <c r="E14" s="2369">
        <v>40</v>
      </c>
      <c r="F14" s="2370">
        <v>48</v>
      </c>
      <c r="G14" s="2368">
        <v>51</v>
      </c>
      <c r="H14" s="2368">
        <v>39</v>
      </c>
      <c r="I14" s="2369">
        <v>38</v>
      </c>
      <c r="J14" s="2371">
        <v>42</v>
      </c>
      <c r="K14" s="2370">
        <v>148</v>
      </c>
      <c r="L14" s="2368">
        <v>176</v>
      </c>
    </row>
    <row r="15" spans="1:12" ht="15" customHeight="1" x14ac:dyDescent="0.25">
      <c r="A15" s="2375" t="s">
        <v>887</v>
      </c>
      <c r="B15" s="2373">
        <v>623</v>
      </c>
      <c r="C15" s="2368">
        <v>646</v>
      </c>
      <c r="D15" s="2368">
        <v>663</v>
      </c>
      <c r="E15" s="2369">
        <v>631</v>
      </c>
      <c r="F15" s="2370">
        <v>596</v>
      </c>
      <c r="G15" s="2368">
        <v>626</v>
      </c>
      <c r="H15" s="2368">
        <v>648</v>
      </c>
      <c r="I15" s="2369">
        <v>727</v>
      </c>
      <c r="J15" s="2371">
        <v>523</v>
      </c>
      <c r="K15" s="2370">
        <v>2563</v>
      </c>
      <c r="L15" s="2368">
        <v>2597</v>
      </c>
    </row>
    <row r="16" spans="1:12" ht="15" customHeight="1" x14ac:dyDescent="0.25">
      <c r="A16" s="2356" t="s">
        <v>936</v>
      </c>
      <c r="B16" s="2376"/>
      <c r="C16" s="2368"/>
      <c r="D16" s="2368"/>
      <c r="E16" s="2369"/>
      <c r="F16" s="2370"/>
      <c r="G16" s="2368"/>
      <c r="H16" s="2368"/>
      <c r="I16" s="2369"/>
      <c r="J16" s="2371"/>
      <c r="K16" s="2370"/>
      <c r="L16" s="2368"/>
    </row>
    <row r="17" spans="1:12" ht="15" customHeight="1" x14ac:dyDescent="0.25">
      <c r="A17" s="2372" t="s">
        <v>892</v>
      </c>
      <c r="B17" s="2373">
        <v>2666</v>
      </c>
      <c r="C17" s="2368">
        <v>2611</v>
      </c>
      <c r="D17" s="2368">
        <v>2578</v>
      </c>
      <c r="E17" s="2369">
        <v>2604</v>
      </c>
      <c r="F17" s="2370">
        <v>2434</v>
      </c>
      <c r="G17" s="2368">
        <v>2532</v>
      </c>
      <c r="H17" s="2368">
        <v>2522</v>
      </c>
      <c r="I17" s="2369">
        <v>2650</v>
      </c>
      <c r="J17" s="2371">
        <v>2356</v>
      </c>
      <c r="K17" s="2370">
        <v>10459</v>
      </c>
      <c r="L17" s="2368">
        <v>10138</v>
      </c>
    </row>
    <row r="18" spans="1:12" ht="15" customHeight="1" x14ac:dyDescent="0.25">
      <c r="A18" s="2372" t="s">
        <v>298</v>
      </c>
      <c r="B18" s="2373">
        <v>1328</v>
      </c>
      <c r="C18" s="2368">
        <v>1270</v>
      </c>
      <c r="D18" s="2368">
        <v>1278</v>
      </c>
      <c r="E18" s="2369">
        <v>1280</v>
      </c>
      <c r="F18" s="2370">
        <v>1221</v>
      </c>
      <c r="G18" s="2368">
        <v>1275</v>
      </c>
      <c r="H18" s="2368">
        <v>1263</v>
      </c>
      <c r="I18" s="2369">
        <v>1297</v>
      </c>
      <c r="J18" s="2371">
        <v>1253</v>
      </c>
      <c r="K18" s="2370">
        <v>5156</v>
      </c>
      <c r="L18" s="2368">
        <v>5056</v>
      </c>
    </row>
    <row r="19" spans="1:12" ht="15" customHeight="1" x14ac:dyDescent="0.25">
      <c r="A19" s="2372" t="s">
        <v>893</v>
      </c>
      <c r="B19" s="2373">
        <v>851</v>
      </c>
      <c r="C19" s="2368">
        <v>883</v>
      </c>
      <c r="D19" s="2368">
        <v>868</v>
      </c>
      <c r="E19" s="2369">
        <v>865</v>
      </c>
      <c r="F19" s="2370">
        <v>813</v>
      </c>
      <c r="G19" s="2368">
        <v>866</v>
      </c>
      <c r="H19" s="2368">
        <v>889</v>
      </c>
      <c r="I19" s="2369">
        <v>971</v>
      </c>
      <c r="J19" s="2371">
        <v>744</v>
      </c>
      <c r="K19" s="2370">
        <v>3467</v>
      </c>
      <c r="L19" s="2368">
        <v>3539</v>
      </c>
    </row>
    <row r="20" spans="1:12" ht="15" customHeight="1" x14ac:dyDescent="0.25">
      <c r="A20" s="2372" t="s">
        <v>299</v>
      </c>
      <c r="B20" s="2373">
        <v>187</v>
      </c>
      <c r="C20" s="2368">
        <v>198</v>
      </c>
      <c r="D20" s="2368">
        <v>163</v>
      </c>
      <c r="E20" s="2369">
        <v>188</v>
      </c>
      <c r="F20" s="2370">
        <v>164</v>
      </c>
      <c r="G20" s="2368">
        <v>185</v>
      </c>
      <c r="H20" s="2368">
        <v>197</v>
      </c>
      <c r="I20" s="2369">
        <v>200</v>
      </c>
      <c r="J20" s="2371">
        <v>171</v>
      </c>
      <c r="K20" s="2370">
        <v>736</v>
      </c>
      <c r="L20" s="2368">
        <v>746</v>
      </c>
    </row>
    <row r="21" spans="1:12" ht="15" customHeight="1" x14ac:dyDescent="0.25">
      <c r="A21" s="2374" t="s">
        <v>885</v>
      </c>
      <c r="B21" s="2373">
        <v>664</v>
      </c>
      <c r="C21" s="2368">
        <v>685</v>
      </c>
      <c r="D21" s="2368">
        <v>705</v>
      </c>
      <c r="E21" s="2369">
        <v>677</v>
      </c>
      <c r="F21" s="2370">
        <v>649</v>
      </c>
      <c r="G21" s="2368">
        <v>681</v>
      </c>
      <c r="H21" s="2368">
        <v>692</v>
      </c>
      <c r="I21" s="2369">
        <v>771</v>
      </c>
      <c r="J21" s="2371">
        <v>573</v>
      </c>
      <c r="K21" s="2370">
        <v>2731</v>
      </c>
      <c r="L21" s="2368">
        <v>2793</v>
      </c>
    </row>
    <row r="22" spans="1:12" ht="15" customHeight="1" x14ac:dyDescent="0.25">
      <c r="A22" s="2374" t="s">
        <v>935</v>
      </c>
      <c r="B22" s="2373">
        <v>37</v>
      </c>
      <c r="C22" s="2368">
        <v>34</v>
      </c>
      <c r="D22" s="2368">
        <v>37</v>
      </c>
      <c r="E22" s="2369">
        <v>40</v>
      </c>
      <c r="F22" s="2370">
        <v>48</v>
      </c>
      <c r="G22" s="2368">
        <v>51</v>
      </c>
      <c r="H22" s="2368">
        <v>39</v>
      </c>
      <c r="I22" s="2369">
        <v>38</v>
      </c>
      <c r="J22" s="2371">
        <v>42</v>
      </c>
      <c r="K22" s="2370">
        <v>148</v>
      </c>
      <c r="L22" s="2368">
        <v>176</v>
      </c>
    </row>
    <row r="23" spans="1:12" ht="15" customHeight="1" x14ac:dyDescent="0.25">
      <c r="A23" s="2377" t="s">
        <v>887</v>
      </c>
      <c r="B23" s="2373">
        <v>627</v>
      </c>
      <c r="C23" s="2368">
        <v>651</v>
      </c>
      <c r="D23" s="2368">
        <v>668</v>
      </c>
      <c r="E23" s="2369">
        <v>637</v>
      </c>
      <c r="F23" s="2370">
        <v>601</v>
      </c>
      <c r="G23" s="2368">
        <v>630</v>
      </c>
      <c r="H23" s="2368">
        <v>653</v>
      </c>
      <c r="I23" s="2369">
        <v>733</v>
      </c>
      <c r="J23" s="2378">
        <v>531</v>
      </c>
      <c r="K23" s="2370">
        <v>2583</v>
      </c>
      <c r="L23" s="2368">
        <v>2617</v>
      </c>
    </row>
    <row r="24" spans="1:12" ht="15" customHeight="1" x14ac:dyDescent="0.25">
      <c r="A24" s="603" t="s">
        <v>304</v>
      </c>
      <c r="B24" s="604"/>
      <c r="C24" s="605"/>
      <c r="D24" s="605"/>
      <c r="E24" s="606"/>
      <c r="F24" s="607"/>
      <c r="G24" s="605"/>
      <c r="H24" s="605"/>
      <c r="I24" s="608"/>
      <c r="J24" s="2379"/>
      <c r="K24" s="2380"/>
      <c r="L24" s="2381"/>
    </row>
    <row r="25" spans="1:12" ht="15" customHeight="1" x14ac:dyDescent="0.25">
      <c r="A25" s="612" t="s">
        <v>961</v>
      </c>
      <c r="B25" s="2382">
        <v>4.53E-2</v>
      </c>
      <c r="C25" s="2383">
        <v>4.5100000000000001E-2</v>
      </c>
      <c r="D25" s="2383">
        <v>4.4299999999999999E-2</v>
      </c>
      <c r="E25" s="2384">
        <v>4.2700000000000002E-2</v>
      </c>
      <c r="F25" s="2385">
        <v>4.2599999999999999E-2</v>
      </c>
      <c r="G25" s="2383">
        <v>4.2799999999999998E-2</v>
      </c>
      <c r="H25" s="2383">
        <v>4.3200000000000002E-2</v>
      </c>
      <c r="I25" s="2384">
        <v>4.24E-2</v>
      </c>
      <c r="J25" s="2386">
        <v>4.0599999999999997E-2</v>
      </c>
      <c r="K25" s="2387">
        <v>4.4299999999999999E-2</v>
      </c>
      <c r="L25" s="2388">
        <v>4.2700000000000002E-2</v>
      </c>
    </row>
    <row r="26" spans="1:12" ht="15" customHeight="1" x14ac:dyDescent="0.3">
      <c r="A26" s="598" t="s">
        <v>307</v>
      </c>
      <c r="B26" s="2389"/>
      <c r="C26" s="2390"/>
      <c r="D26" s="2390"/>
      <c r="E26" s="2391"/>
      <c r="F26" s="2392"/>
      <c r="G26" s="2393"/>
      <c r="H26" s="2393"/>
      <c r="I26" s="2394"/>
      <c r="J26" s="2395"/>
      <c r="K26" s="2364"/>
      <c r="L26" s="2365"/>
    </row>
    <row r="27" spans="1:12" ht="15" customHeight="1" x14ac:dyDescent="0.3">
      <c r="A27" s="633" t="s">
        <v>366</v>
      </c>
      <c r="B27" s="2396">
        <v>0.14799999999999999</v>
      </c>
      <c r="C27" s="2397">
        <v>0.154</v>
      </c>
      <c r="D27" s="2397">
        <v>0.16200000000000001</v>
      </c>
      <c r="E27" s="2398">
        <v>0.155</v>
      </c>
      <c r="F27" s="2399">
        <v>0.14499999999999999</v>
      </c>
      <c r="G27" s="2400">
        <v>0.151</v>
      </c>
      <c r="H27" s="2400">
        <v>0.161</v>
      </c>
      <c r="I27" s="2401">
        <v>0.17100000000000001</v>
      </c>
      <c r="J27" s="2402">
        <v>0.13200000000000001</v>
      </c>
      <c r="K27" s="2403">
        <v>0.155</v>
      </c>
      <c r="L27" s="2404">
        <v>0.157</v>
      </c>
    </row>
    <row r="28" spans="1:12" ht="15" customHeight="1" x14ac:dyDescent="0.3">
      <c r="A28" s="633" t="s">
        <v>962</v>
      </c>
      <c r="B28" s="2405">
        <v>1.32E-2</v>
      </c>
      <c r="C28" s="2406">
        <v>1.26E-2</v>
      </c>
      <c r="D28" s="2406">
        <v>1.2E-2</v>
      </c>
      <c r="E28" s="2407">
        <v>1.24E-2</v>
      </c>
      <c r="F28" s="2408">
        <v>1.0999999999999999E-2</v>
      </c>
      <c r="G28" s="2409">
        <v>1.03E-2</v>
      </c>
      <c r="H28" s="2409">
        <v>1.01E-2</v>
      </c>
      <c r="I28" s="2410">
        <v>0.01</v>
      </c>
      <c r="J28" s="2411">
        <v>9.2999999999999992E-3</v>
      </c>
      <c r="K28" s="2412">
        <v>1.2500000000000001E-2</v>
      </c>
      <c r="L28" s="2413">
        <v>1.04E-2</v>
      </c>
    </row>
    <row r="29" spans="1:12" ht="15" customHeight="1" x14ac:dyDescent="0.3">
      <c r="A29" s="633" t="s">
        <v>963</v>
      </c>
      <c r="B29" s="2405">
        <v>1.23E-2</v>
      </c>
      <c r="C29" s="2406">
        <v>1.17E-2</v>
      </c>
      <c r="D29" s="2406">
        <v>1.0999999999999999E-2</v>
      </c>
      <c r="E29" s="2407">
        <v>1.06E-2</v>
      </c>
      <c r="F29" s="2408">
        <v>1.12E-2</v>
      </c>
      <c r="G29" s="2409">
        <v>1.0800000000000001E-2</v>
      </c>
      <c r="H29" s="2409">
        <v>0.01</v>
      </c>
      <c r="I29" s="2410">
        <v>1.04E-2</v>
      </c>
      <c r="J29" s="2411">
        <v>9.2999999999999992E-3</v>
      </c>
      <c r="K29" s="2412">
        <v>1.14E-2</v>
      </c>
      <c r="L29" s="2413">
        <v>1.06E-2</v>
      </c>
    </row>
    <row r="30" spans="1:12" ht="15" customHeight="1" x14ac:dyDescent="0.3">
      <c r="A30" s="633" t="s">
        <v>311</v>
      </c>
      <c r="B30" s="2396">
        <v>0.5</v>
      </c>
      <c r="C30" s="2397">
        <v>0.49</v>
      </c>
      <c r="D30" s="2397">
        <v>0.498</v>
      </c>
      <c r="E30" s="2398">
        <v>0.49399999999999999</v>
      </c>
      <c r="F30" s="2399">
        <v>0.505</v>
      </c>
      <c r="G30" s="2400">
        <v>0.50600000000000001</v>
      </c>
      <c r="H30" s="2400">
        <v>0.504</v>
      </c>
      <c r="I30" s="2401">
        <v>0.49199999999999999</v>
      </c>
      <c r="J30" s="2402">
        <v>0.53600000000000003</v>
      </c>
      <c r="K30" s="2403">
        <v>0.496</v>
      </c>
      <c r="L30" s="2404">
        <v>0.502</v>
      </c>
    </row>
    <row r="31" spans="1:12" ht="15" customHeight="1" x14ac:dyDescent="0.3">
      <c r="A31" s="633" t="s">
        <v>964</v>
      </c>
      <c r="B31" s="2396">
        <v>0.218</v>
      </c>
      <c r="C31" s="2397">
        <v>0.223</v>
      </c>
      <c r="D31" s="2397">
        <v>0.186</v>
      </c>
      <c r="E31" s="2398">
        <v>0.217</v>
      </c>
      <c r="F31" s="2399">
        <v>0.19900000000000001</v>
      </c>
      <c r="G31" s="2400">
        <v>0.21299999999999999</v>
      </c>
      <c r="H31" s="2400">
        <v>0.221</v>
      </c>
      <c r="I31" s="2401">
        <v>0.20699999999999999</v>
      </c>
      <c r="J31" s="2402">
        <v>0.23200000000000001</v>
      </c>
      <c r="K31" s="2403">
        <v>0.21099999999999999</v>
      </c>
      <c r="L31" s="2404">
        <v>0.21</v>
      </c>
    </row>
    <row r="32" spans="1:12" ht="15" customHeight="1" x14ac:dyDescent="0.3">
      <c r="A32" s="598" t="s">
        <v>370</v>
      </c>
      <c r="B32" s="2389"/>
      <c r="C32" s="2390"/>
      <c r="D32" s="2390"/>
      <c r="E32" s="2391"/>
      <c r="F32" s="2392"/>
      <c r="G32" s="2393"/>
      <c r="H32" s="2393"/>
      <c r="I32" s="2394"/>
      <c r="J32" s="2414"/>
      <c r="K32" s="2364"/>
      <c r="L32" s="2365"/>
    </row>
    <row r="33" spans="1:12" ht="15" customHeight="1" x14ac:dyDescent="0.3">
      <c r="A33" s="2415" t="s">
        <v>313</v>
      </c>
      <c r="B33" s="2396">
        <v>0.14899999999999999</v>
      </c>
      <c r="C33" s="2397">
        <v>0.156</v>
      </c>
      <c r="D33" s="2397">
        <v>0.16400000000000001</v>
      </c>
      <c r="E33" s="2398">
        <v>0.157</v>
      </c>
      <c r="F33" s="2399">
        <v>0.14699999999999999</v>
      </c>
      <c r="G33" s="2400">
        <v>0.153</v>
      </c>
      <c r="H33" s="2400">
        <v>0.16200000000000001</v>
      </c>
      <c r="I33" s="2401">
        <v>0.17199999999999999</v>
      </c>
      <c r="J33" s="2402">
        <v>0.13400000000000001</v>
      </c>
      <c r="K33" s="2403">
        <v>0.156</v>
      </c>
      <c r="L33" s="2404">
        <v>0.158</v>
      </c>
    </row>
    <row r="34" spans="1:12" ht="15" customHeight="1" x14ac:dyDescent="0.3">
      <c r="A34" s="2415" t="s">
        <v>314</v>
      </c>
      <c r="B34" s="2396">
        <v>0.498</v>
      </c>
      <c r="C34" s="2397">
        <v>0.48699999999999999</v>
      </c>
      <c r="D34" s="2397">
        <v>0.495</v>
      </c>
      <c r="E34" s="2398">
        <v>0.49199999999999999</v>
      </c>
      <c r="F34" s="2399">
        <v>0.502</v>
      </c>
      <c r="G34" s="2400">
        <v>0.503</v>
      </c>
      <c r="H34" s="2400">
        <v>0.501</v>
      </c>
      <c r="I34" s="2401">
        <v>0.48899999999999999</v>
      </c>
      <c r="J34" s="2402">
        <v>0.53200000000000003</v>
      </c>
      <c r="K34" s="2403">
        <v>0.49299999999999999</v>
      </c>
      <c r="L34" s="2404">
        <v>0.499</v>
      </c>
    </row>
    <row r="35" spans="1:12" ht="15" customHeight="1" x14ac:dyDescent="0.25">
      <c r="A35" s="603" t="s">
        <v>423</v>
      </c>
      <c r="B35" s="664"/>
      <c r="C35" s="665"/>
      <c r="D35" s="665"/>
      <c r="E35" s="666"/>
      <c r="F35" s="667"/>
      <c r="G35" s="668"/>
      <c r="H35" s="668"/>
      <c r="I35" s="666"/>
      <c r="J35" s="669"/>
      <c r="K35" s="2416"/>
      <c r="L35" s="2417"/>
    </row>
    <row r="36" spans="1:12" ht="15" customHeight="1" x14ac:dyDescent="0.25">
      <c r="A36" s="680" t="s">
        <v>427</v>
      </c>
      <c r="B36" s="653">
        <v>149.9</v>
      </c>
      <c r="C36" s="654">
        <v>147.5</v>
      </c>
      <c r="D36" s="654">
        <v>150.5</v>
      </c>
      <c r="E36" s="655">
        <v>150</v>
      </c>
      <c r="F36" s="656">
        <v>148.6</v>
      </c>
      <c r="G36" s="654">
        <v>153.4</v>
      </c>
      <c r="H36" s="654">
        <v>152.4</v>
      </c>
      <c r="I36" s="655">
        <v>154.80000000000001</v>
      </c>
      <c r="J36" s="657">
        <v>156.1</v>
      </c>
      <c r="K36" s="681">
        <v>149.50000000000003</v>
      </c>
      <c r="L36" s="682">
        <v>152.09999999999997</v>
      </c>
    </row>
    <row r="37" spans="1:12" ht="15" customHeight="1" x14ac:dyDescent="0.25">
      <c r="A37" s="2418" t="s">
        <v>194</v>
      </c>
      <c r="B37" s="2419">
        <v>117.8</v>
      </c>
      <c r="C37" s="806">
        <v>114.19999999999999</v>
      </c>
      <c r="D37" s="806">
        <v>115</v>
      </c>
      <c r="E37" s="2420">
        <v>111.7</v>
      </c>
      <c r="F37" s="2421">
        <v>110.3</v>
      </c>
      <c r="G37" s="2422">
        <v>116.30000000000001</v>
      </c>
      <c r="H37" s="2422">
        <v>118.69999999999999</v>
      </c>
      <c r="I37" s="2423">
        <v>115.5</v>
      </c>
      <c r="J37" s="2424">
        <v>116.39999999999999</v>
      </c>
      <c r="K37" s="2425">
        <v>114.60000000000001</v>
      </c>
      <c r="L37" s="2426">
        <v>115.1</v>
      </c>
    </row>
    <row r="38" spans="1:12" ht="14.55" customHeight="1" x14ac:dyDescent="0.25">
      <c r="A38" s="2427"/>
      <c r="B38" s="2428"/>
      <c r="C38" s="2428"/>
      <c r="D38" s="2429"/>
      <c r="E38" s="2429"/>
      <c r="F38" s="2430"/>
      <c r="G38" s="2430"/>
      <c r="H38" s="2430"/>
      <c r="I38" s="2430"/>
      <c r="J38" s="2430"/>
      <c r="K38" s="2430"/>
      <c r="L38" s="2430"/>
    </row>
    <row r="39" spans="1:12" ht="52.5" customHeight="1" x14ac:dyDescent="0.25">
      <c r="A39" s="2837" t="s">
        <v>965</v>
      </c>
      <c r="B39" s="2849" t="s">
        <v>15</v>
      </c>
      <c r="C39" s="2849" t="s">
        <v>15</v>
      </c>
      <c r="D39" s="2849" t="s">
        <v>15</v>
      </c>
      <c r="E39" s="2849" t="s">
        <v>15</v>
      </c>
      <c r="F39" s="2849" t="s">
        <v>15</v>
      </c>
      <c r="G39" s="2849" t="s">
        <v>15</v>
      </c>
      <c r="H39" s="2849" t="s">
        <v>15</v>
      </c>
      <c r="I39" s="2849" t="s">
        <v>15</v>
      </c>
      <c r="J39" s="2849" t="s">
        <v>15</v>
      </c>
      <c r="K39" s="2849" t="s">
        <v>15</v>
      </c>
      <c r="L39" s="2849" t="s">
        <v>15</v>
      </c>
    </row>
    <row r="40" spans="1:12" ht="10.5" customHeight="1" x14ac:dyDescent="0.25">
      <c r="A40" s="2837" t="s">
        <v>374</v>
      </c>
      <c r="B40" s="2837" t="s">
        <v>15</v>
      </c>
      <c r="C40" s="2837" t="s">
        <v>15</v>
      </c>
      <c r="D40" s="2837" t="s">
        <v>15</v>
      </c>
      <c r="E40" s="2837" t="s">
        <v>15</v>
      </c>
      <c r="F40" s="2837" t="s">
        <v>15</v>
      </c>
      <c r="G40" s="2837" t="s">
        <v>15</v>
      </c>
      <c r="H40" s="2837" t="s">
        <v>15</v>
      </c>
      <c r="I40" s="2837" t="s">
        <v>15</v>
      </c>
      <c r="J40" s="2837" t="s">
        <v>15</v>
      </c>
      <c r="K40" s="2837" t="s">
        <v>15</v>
      </c>
      <c r="L40" s="2837" t="s">
        <v>15</v>
      </c>
    </row>
    <row r="41" spans="1:12" ht="12" customHeight="1" x14ac:dyDescent="0.25">
      <c r="A41" s="2837" t="s">
        <v>966</v>
      </c>
      <c r="B41" s="2849" t="s">
        <v>15</v>
      </c>
      <c r="C41" s="2849" t="s">
        <v>15</v>
      </c>
      <c r="D41" s="2849" t="s">
        <v>15</v>
      </c>
      <c r="E41" s="2849" t="s">
        <v>15</v>
      </c>
      <c r="F41" s="2849" t="s">
        <v>15</v>
      </c>
      <c r="G41" s="2849" t="s">
        <v>15</v>
      </c>
      <c r="H41" s="2849" t="s">
        <v>15</v>
      </c>
      <c r="I41" s="2849" t="s">
        <v>15</v>
      </c>
      <c r="J41" s="2849" t="s">
        <v>15</v>
      </c>
      <c r="K41" s="2849" t="s">
        <v>15</v>
      </c>
      <c r="L41" s="2849" t="s">
        <v>15</v>
      </c>
    </row>
    <row r="42" spans="1:12" ht="12" customHeight="1" x14ac:dyDescent="0.25">
      <c r="A42" s="2837" t="s">
        <v>967</v>
      </c>
      <c r="B42" s="2837" t="s">
        <v>15</v>
      </c>
      <c r="C42" s="2837" t="s">
        <v>15</v>
      </c>
      <c r="D42" s="2837" t="s">
        <v>15</v>
      </c>
      <c r="E42" s="2837" t="s">
        <v>15</v>
      </c>
      <c r="F42" s="2837" t="s">
        <v>15</v>
      </c>
      <c r="G42" s="2837" t="s">
        <v>15</v>
      </c>
      <c r="H42" s="2837" t="s">
        <v>15</v>
      </c>
      <c r="I42" s="2837" t="s">
        <v>15</v>
      </c>
      <c r="J42" s="2837" t="s">
        <v>15</v>
      </c>
      <c r="K42" s="734"/>
      <c r="L42" s="734"/>
    </row>
    <row r="43" spans="1:12" ht="12" customHeight="1" x14ac:dyDescent="0.25">
      <c r="A43" s="734" t="s">
        <v>968</v>
      </c>
      <c r="B43" s="734"/>
      <c r="C43" s="735"/>
      <c r="D43" s="734"/>
      <c r="E43" s="734"/>
      <c r="F43" s="734"/>
      <c r="G43" s="734"/>
      <c r="H43" s="734"/>
      <c r="I43" s="734"/>
      <c r="J43" s="734"/>
      <c r="K43" s="734"/>
      <c r="L43" s="734"/>
    </row>
    <row r="44" spans="1:12" ht="12" customHeight="1" x14ac:dyDescent="0.25">
      <c r="A44" s="734"/>
      <c r="B44" s="734"/>
      <c r="C44" s="735"/>
      <c r="D44" s="734"/>
      <c r="E44" s="734"/>
      <c r="F44" s="734"/>
      <c r="G44" s="734"/>
      <c r="H44" s="734"/>
      <c r="I44" s="734"/>
      <c r="J44" s="734"/>
      <c r="K44" s="734"/>
      <c r="L44" s="734"/>
    </row>
    <row r="45" spans="1:12" ht="12" customHeight="1" x14ac:dyDescent="0.25">
      <c r="A45" s="734"/>
      <c r="B45" s="734"/>
      <c r="C45" s="735"/>
      <c r="D45" s="734"/>
      <c r="E45" s="734"/>
      <c r="F45" s="734"/>
      <c r="G45" s="734"/>
      <c r="H45" s="734"/>
      <c r="I45" s="734"/>
      <c r="J45" s="734"/>
      <c r="K45" s="734"/>
      <c r="L45" s="734"/>
    </row>
    <row r="46" spans="1:12" ht="12" customHeight="1" x14ac:dyDescent="0.25">
      <c r="A46" s="734"/>
      <c r="B46" s="734"/>
      <c r="C46" s="735"/>
      <c r="D46" s="734"/>
      <c r="E46" s="734"/>
      <c r="F46" s="734"/>
      <c r="G46" s="734"/>
      <c r="H46" s="734"/>
      <c r="I46" s="734"/>
      <c r="J46" s="734"/>
      <c r="K46" s="734"/>
      <c r="L46" s="734"/>
    </row>
    <row r="47" spans="1:12" ht="12" customHeight="1" x14ac:dyDescent="0.25">
      <c r="A47" s="2849"/>
      <c r="B47" s="2849" t="s">
        <v>15</v>
      </c>
      <c r="C47" s="2849" t="s">
        <v>15</v>
      </c>
      <c r="D47" s="2849" t="s">
        <v>15</v>
      </c>
      <c r="E47" s="2849" t="s">
        <v>15</v>
      </c>
      <c r="F47" s="2849" t="s">
        <v>15</v>
      </c>
      <c r="G47" s="2849" t="s">
        <v>15</v>
      </c>
      <c r="H47" s="2849" t="s">
        <v>15</v>
      </c>
      <c r="I47" s="2849" t="s">
        <v>15</v>
      </c>
      <c r="J47" s="2849" t="s">
        <v>15</v>
      </c>
      <c r="K47" s="2849" t="s">
        <v>15</v>
      </c>
      <c r="L47" s="2849" t="s">
        <v>15</v>
      </c>
    </row>
    <row r="48" spans="1:12" ht="10.35" customHeight="1" x14ac:dyDescent="0.25">
      <c r="A48" s="2838"/>
      <c r="B48" s="2838" t="s">
        <v>15</v>
      </c>
      <c r="C48" s="2838" t="s">
        <v>15</v>
      </c>
      <c r="D48" s="2838" t="s">
        <v>15</v>
      </c>
      <c r="E48" s="2838" t="s">
        <v>15</v>
      </c>
      <c r="F48" s="2838" t="s">
        <v>15</v>
      </c>
      <c r="G48" s="2838" t="s">
        <v>15</v>
      </c>
      <c r="H48" s="2838" t="s">
        <v>15</v>
      </c>
      <c r="I48" s="2838" t="s">
        <v>15</v>
      </c>
      <c r="J48" s="2838" t="s">
        <v>15</v>
      </c>
      <c r="K48" s="2838" t="s">
        <v>15</v>
      </c>
      <c r="L48" s="2838" t="s">
        <v>15</v>
      </c>
    </row>
  </sheetData>
  <mergeCells count="10">
    <mergeCell ref="A41:L41"/>
    <mergeCell ref="A42:J42"/>
    <mergeCell ref="A47:L47"/>
    <mergeCell ref="A48:L48"/>
    <mergeCell ref="A2:L2"/>
    <mergeCell ref="B3:E3"/>
    <mergeCell ref="F3:I3"/>
    <mergeCell ref="K3:L3"/>
    <mergeCell ref="A39:L39"/>
    <mergeCell ref="A40:L40"/>
  </mergeCells>
  <hyperlinks>
    <hyperlink ref="A1" location="ToC!A2" display="Back to Table of Contents" xr:uid="{78B73212-D228-4C4C-9F8A-74F1D5A88DB0}"/>
  </hyperlinks>
  <pageMargins left="0.5" right="0.5" top="0.5" bottom="0.5" header="0.25" footer="0.25"/>
  <pageSetup scale="58" orientation="landscape" r:id="rId1"/>
  <headerFooter>
    <oddFooter>&amp;L&amp;G&amp;C&amp;"Scotia,Regular"&amp;9Supplementary Financial Information (SFI)&amp;R32&amp;"Scotia,Regular"&amp;7</oddFooter>
  </headerFooter>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1272-6AAA-4053-9E3C-BE999E3C23D6}">
  <sheetPr>
    <pageSetUpPr fitToPage="1"/>
  </sheetPr>
  <dimension ref="A1:L57"/>
  <sheetViews>
    <sheetView showGridLines="0" topLeftCell="A2" zoomScaleNormal="100" workbookViewId="0">
      <selection activeCell="A2" sqref="A2:L2"/>
    </sheetView>
  </sheetViews>
  <sheetFormatPr defaultColWidth="8.77734375" defaultRowHeight="13.2" x14ac:dyDescent="0.25"/>
  <cols>
    <col min="1" max="1" width="69.77734375" style="23" customWidth="1"/>
    <col min="2" max="12" width="12.5546875" style="23" customWidth="1"/>
    <col min="13" max="16384" width="8.77734375" style="23"/>
  </cols>
  <sheetData>
    <row r="1" spans="1:12" ht="19.95" customHeight="1" x14ac:dyDescent="0.25">
      <c r="A1" s="22" t="s">
        <v>12</v>
      </c>
    </row>
    <row r="2" spans="1:12" ht="24.6" customHeight="1" x14ac:dyDescent="0.25">
      <c r="A2" s="2874" t="s">
        <v>969</v>
      </c>
      <c r="B2" s="2874" t="s">
        <v>15</v>
      </c>
      <c r="C2" s="2874" t="s">
        <v>15</v>
      </c>
      <c r="D2" s="2874" t="s">
        <v>15</v>
      </c>
      <c r="E2" s="2874" t="s">
        <v>15</v>
      </c>
      <c r="F2" s="2874" t="s">
        <v>15</v>
      </c>
      <c r="G2" s="2874" t="s">
        <v>15</v>
      </c>
      <c r="H2" s="2874" t="s">
        <v>15</v>
      </c>
      <c r="I2" s="2874" t="s">
        <v>15</v>
      </c>
      <c r="J2" s="2874" t="s">
        <v>15</v>
      </c>
      <c r="K2" s="2874" t="s">
        <v>15</v>
      </c>
      <c r="L2" s="2874" t="s">
        <v>15</v>
      </c>
    </row>
    <row r="3" spans="1:12" ht="12" customHeight="1" x14ac:dyDescent="0.25">
      <c r="A3" s="2431" t="s">
        <v>970</v>
      </c>
      <c r="B3" s="2432"/>
      <c r="C3" s="2433"/>
      <c r="D3" s="2433"/>
      <c r="E3" s="2434"/>
      <c r="F3" s="2435"/>
      <c r="G3" s="2436"/>
      <c r="H3" s="2436"/>
      <c r="I3" s="2437"/>
      <c r="J3" s="2438"/>
      <c r="K3" s="2863" t="s">
        <v>163</v>
      </c>
      <c r="L3" s="2864" t="s">
        <v>15</v>
      </c>
    </row>
    <row r="4" spans="1:12" ht="12" customHeight="1" x14ac:dyDescent="0.25">
      <c r="A4" s="2439" t="s">
        <v>556</v>
      </c>
      <c r="B4" s="2440" t="s">
        <v>165</v>
      </c>
      <c r="C4" s="2441" t="s">
        <v>166</v>
      </c>
      <c r="D4" s="2442" t="s">
        <v>167</v>
      </c>
      <c r="E4" s="2443" t="s">
        <v>168</v>
      </c>
      <c r="F4" s="2444" t="s">
        <v>169</v>
      </c>
      <c r="G4" s="2445" t="s">
        <v>170</v>
      </c>
      <c r="H4" s="2445" t="s">
        <v>171</v>
      </c>
      <c r="I4" s="2446" t="s">
        <v>172</v>
      </c>
      <c r="J4" s="2447" t="s">
        <v>173</v>
      </c>
      <c r="K4" s="2448">
        <v>2025</v>
      </c>
      <c r="L4" s="2449">
        <v>2024</v>
      </c>
    </row>
    <row r="5" spans="1:12" ht="15" customHeight="1" x14ac:dyDescent="0.25">
      <c r="A5" s="2450" t="s">
        <v>971</v>
      </c>
      <c r="B5" s="2451"/>
      <c r="C5" s="2452"/>
      <c r="D5" s="2453"/>
      <c r="E5" s="2454"/>
      <c r="F5" s="2455"/>
      <c r="G5" s="2456"/>
      <c r="H5" s="2456"/>
      <c r="I5" s="2457"/>
      <c r="J5" s="2458"/>
      <c r="K5" s="2459"/>
      <c r="L5" s="2453"/>
    </row>
    <row r="6" spans="1:12" ht="12" customHeight="1" x14ac:dyDescent="0.25">
      <c r="A6" s="2460" t="s">
        <v>972</v>
      </c>
      <c r="B6" s="2119">
        <v>5586</v>
      </c>
      <c r="C6" s="2120">
        <v>5493</v>
      </c>
      <c r="D6" s="2120">
        <v>5270</v>
      </c>
      <c r="E6" s="2121">
        <v>5173</v>
      </c>
      <c r="F6" s="2122">
        <v>4923</v>
      </c>
      <c r="G6" s="2120">
        <v>4862</v>
      </c>
      <c r="H6" s="2120">
        <v>4694</v>
      </c>
      <c r="I6" s="2121">
        <v>4773</v>
      </c>
      <c r="J6" s="2123">
        <v>4666</v>
      </c>
      <c r="K6" s="2122">
        <v>21522</v>
      </c>
      <c r="L6" s="2120">
        <v>19252</v>
      </c>
    </row>
    <row r="7" spans="1:12" ht="12" customHeight="1" x14ac:dyDescent="0.25">
      <c r="A7" s="2461" t="s">
        <v>269</v>
      </c>
      <c r="B7" s="2119">
        <v>4217</v>
      </c>
      <c r="C7" s="2120">
        <v>3993</v>
      </c>
      <c r="D7" s="2120">
        <v>3810</v>
      </c>
      <c r="E7" s="2121">
        <v>4199</v>
      </c>
      <c r="F7" s="2122">
        <v>3603</v>
      </c>
      <c r="G7" s="2120">
        <v>3502</v>
      </c>
      <c r="H7" s="2120">
        <v>3653</v>
      </c>
      <c r="I7" s="2121">
        <v>3660</v>
      </c>
      <c r="J7" s="2123">
        <v>3606</v>
      </c>
      <c r="K7" s="2122">
        <v>16219</v>
      </c>
      <c r="L7" s="2120">
        <v>14418</v>
      </c>
    </row>
    <row r="8" spans="1:12" ht="12" customHeight="1" x14ac:dyDescent="0.25">
      <c r="A8" s="2462" t="s">
        <v>973</v>
      </c>
      <c r="B8" s="2119">
        <v>9803</v>
      </c>
      <c r="C8" s="2120">
        <v>9486</v>
      </c>
      <c r="D8" s="2120">
        <v>9080</v>
      </c>
      <c r="E8" s="2121">
        <v>9372</v>
      </c>
      <c r="F8" s="2122">
        <v>8526</v>
      </c>
      <c r="G8" s="2120">
        <v>8364</v>
      </c>
      <c r="H8" s="2120">
        <v>8347</v>
      </c>
      <c r="I8" s="2121">
        <v>8433</v>
      </c>
      <c r="J8" s="2123">
        <v>8272</v>
      </c>
      <c r="K8" s="2122">
        <v>37741</v>
      </c>
      <c r="L8" s="2120">
        <v>33670</v>
      </c>
    </row>
    <row r="9" spans="1:12" ht="12" customHeight="1" x14ac:dyDescent="0.25">
      <c r="A9" s="2463" t="s">
        <v>974</v>
      </c>
      <c r="B9" s="2119">
        <v>1113</v>
      </c>
      <c r="C9" s="2120">
        <v>1041</v>
      </c>
      <c r="D9" s="2120">
        <v>1398</v>
      </c>
      <c r="E9" s="2121">
        <v>1162</v>
      </c>
      <c r="F9" s="2122">
        <v>1030</v>
      </c>
      <c r="G9" s="2120">
        <v>1052</v>
      </c>
      <c r="H9" s="2120">
        <v>1007</v>
      </c>
      <c r="I9" s="2121">
        <v>962</v>
      </c>
      <c r="J9" s="2123">
        <v>1256</v>
      </c>
      <c r="K9" s="2122">
        <v>4714</v>
      </c>
      <c r="L9" s="2120">
        <v>4051</v>
      </c>
    </row>
    <row r="10" spans="1:12" ht="12" customHeight="1" x14ac:dyDescent="0.25">
      <c r="A10" s="2464" t="s">
        <v>298</v>
      </c>
      <c r="B10" s="2119">
        <v>5828</v>
      </c>
      <c r="C10" s="2120">
        <v>5089</v>
      </c>
      <c r="D10" s="2120">
        <v>5110</v>
      </c>
      <c r="E10" s="2121">
        <v>6491</v>
      </c>
      <c r="F10" s="2122">
        <v>5296</v>
      </c>
      <c r="G10" s="2120">
        <v>4949</v>
      </c>
      <c r="H10" s="2120">
        <v>4711</v>
      </c>
      <c r="I10" s="2121">
        <v>4739</v>
      </c>
      <c r="J10" s="2123">
        <v>5527</v>
      </c>
      <c r="K10" s="2122">
        <v>22518</v>
      </c>
      <c r="L10" s="2120">
        <v>19695</v>
      </c>
    </row>
    <row r="11" spans="1:12" ht="12" customHeight="1" x14ac:dyDescent="0.25">
      <c r="A11" s="2463" t="s">
        <v>975</v>
      </c>
      <c r="B11" s="2119">
        <v>2862</v>
      </c>
      <c r="C11" s="2120">
        <v>3356</v>
      </c>
      <c r="D11" s="2120">
        <v>2572</v>
      </c>
      <c r="E11" s="2121">
        <v>1719</v>
      </c>
      <c r="F11" s="2122">
        <v>2200</v>
      </c>
      <c r="G11" s="2120">
        <v>2363</v>
      </c>
      <c r="H11" s="2120">
        <v>2629</v>
      </c>
      <c r="I11" s="2121">
        <v>2732</v>
      </c>
      <c r="J11" s="2123">
        <v>1489</v>
      </c>
      <c r="K11" s="2122">
        <v>10509</v>
      </c>
      <c r="L11" s="2120">
        <v>9924</v>
      </c>
    </row>
    <row r="12" spans="1:12" ht="12" customHeight="1" x14ac:dyDescent="0.25">
      <c r="A12" s="2464" t="s">
        <v>274</v>
      </c>
      <c r="B12" s="2119">
        <v>656</v>
      </c>
      <c r="C12" s="2120">
        <v>829</v>
      </c>
      <c r="D12" s="2120">
        <v>540</v>
      </c>
      <c r="E12" s="2121">
        <v>726</v>
      </c>
      <c r="F12" s="2122">
        <v>511</v>
      </c>
      <c r="G12" s="2120">
        <v>451</v>
      </c>
      <c r="H12" s="2120">
        <v>537</v>
      </c>
      <c r="I12" s="2121">
        <v>533</v>
      </c>
      <c r="J12" s="2123">
        <v>135</v>
      </c>
      <c r="K12" s="2122">
        <v>2751</v>
      </c>
      <c r="L12" s="2120">
        <v>2032</v>
      </c>
    </row>
    <row r="13" spans="1:12" ht="12" customHeight="1" x14ac:dyDescent="0.25">
      <c r="A13" s="2462" t="s">
        <v>976</v>
      </c>
      <c r="B13" s="2119">
        <v>2206</v>
      </c>
      <c r="C13" s="2120">
        <v>2527</v>
      </c>
      <c r="D13" s="2120">
        <v>2032</v>
      </c>
      <c r="E13" s="2121">
        <v>993</v>
      </c>
      <c r="F13" s="2122">
        <v>1689</v>
      </c>
      <c r="G13" s="2120">
        <v>1912</v>
      </c>
      <c r="H13" s="2120">
        <v>2092</v>
      </c>
      <c r="I13" s="2121">
        <v>2199</v>
      </c>
      <c r="J13" s="2123">
        <v>1354</v>
      </c>
      <c r="K13" s="2122">
        <v>7758</v>
      </c>
      <c r="L13" s="2120">
        <v>7892</v>
      </c>
    </row>
    <row r="14" spans="1:12" ht="12" customHeight="1" x14ac:dyDescent="0.25">
      <c r="A14" s="2463" t="s">
        <v>977</v>
      </c>
      <c r="B14" s="2465">
        <v>-13</v>
      </c>
      <c r="C14" s="2120">
        <v>80</v>
      </c>
      <c r="D14" s="2120">
        <v>56</v>
      </c>
      <c r="E14" s="2466">
        <v>-154</v>
      </c>
      <c r="F14" s="2122">
        <v>47</v>
      </c>
      <c r="G14" s="2120">
        <v>36</v>
      </c>
      <c r="H14" s="2120">
        <v>26</v>
      </c>
      <c r="I14" s="2121">
        <v>25</v>
      </c>
      <c r="J14" s="2123">
        <v>31</v>
      </c>
      <c r="K14" s="2467">
        <v>-31</v>
      </c>
      <c r="L14" s="2120">
        <v>134</v>
      </c>
    </row>
    <row r="15" spans="1:12" ht="12" customHeight="1" x14ac:dyDescent="0.25">
      <c r="A15" s="2464" t="s">
        <v>978</v>
      </c>
      <c r="B15" s="2119">
        <v>2219</v>
      </c>
      <c r="C15" s="2120">
        <v>2447</v>
      </c>
      <c r="D15" s="2120">
        <v>1976</v>
      </c>
      <c r="E15" s="2121">
        <v>1147</v>
      </c>
      <c r="F15" s="2122">
        <v>1642</v>
      </c>
      <c r="G15" s="2120">
        <v>1876</v>
      </c>
      <c r="H15" s="2120">
        <v>2066</v>
      </c>
      <c r="I15" s="2121">
        <v>2174</v>
      </c>
      <c r="J15" s="2123">
        <v>1323</v>
      </c>
      <c r="K15" s="2122">
        <v>7789</v>
      </c>
      <c r="L15" s="2120">
        <v>7758</v>
      </c>
    </row>
    <row r="16" spans="1:12" ht="12" customHeight="1" x14ac:dyDescent="0.25">
      <c r="A16" s="2464" t="s">
        <v>979</v>
      </c>
      <c r="B16" s="2119">
        <v>115</v>
      </c>
      <c r="C16" s="2120">
        <v>134</v>
      </c>
      <c r="D16" s="2120">
        <v>135</v>
      </c>
      <c r="E16" s="2121">
        <v>122</v>
      </c>
      <c r="F16" s="2122">
        <v>121</v>
      </c>
      <c r="G16" s="2120">
        <v>120</v>
      </c>
      <c r="H16" s="2120">
        <v>123</v>
      </c>
      <c r="I16" s="2121">
        <v>108</v>
      </c>
      <c r="J16" s="2123">
        <v>109</v>
      </c>
      <c r="K16" s="2122">
        <v>506</v>
      </c>
      <c r="L16" s="2120">
        <v>472</v>
      </c>
    </row>
    <row r="17" spans="1:12" ht="12" customHeight="1" x14ac:dyDescent="0.25">
      <c r="A17" s="2464" t="s">
        <v>980</v>
      </c>
      <c r="B17" s="2119">
        <v>2104</v>
      </c>
      <c r="C17" s="2120">
        <v>2313</v>
      </c>
      <c r="D17" s="2120">
        <v>1841</v>
      </c>
      <c r="E17" s="2121">
        <v>1025</v>
      </c>
      <c r="F17" s="2122">
        <v>1521</v>
      </c>
      <c r="G17" s="2120">
        <v>1756</v>
      </c>
      <c r="H17" s="2120">
        <v>1943</v>
      </c>
      <c r="I17" s="2121">
        <v>2066</v>
      </c>
      <c r="J17" s="2123">
        <v>1214</v>
      </c>
      <c r="K17" s="2122">
        <v>7283</v>
      </c>
      <c r="L17" s="2120">
        <v>7286</v>
      </c>
    </row>
    <row r="18" spans="1:12" ht="12" customHeight="1" x14ac:dyDescent="0.25">
      <c r="A18" s="2464"/>
      <c r="B18" s="2468"/>
      <c r="C18" s="2469"/>
      <c r="D18" s="2469"/>
      <c r="E18" s="2470"/>
      <c r="F18" s="2471"/>
      <c r="G18" s="2472"/>
      <c r="H18" s="2472"/>
      <c r="I18" s="2473"/>
      <c r="J18" s="2474"/>
      <c r="K18" s="2471"/>
      <c r="L18" s="2475"/>
    </row>
    <row r="19" spans="1:12" ht="15" customHeight="1" x14ac:dyDescent="0.25">
      <c r="A19" s="2476" t="s">
        <v>981</v>
      </c>
      <c r="B19" s="2477"/>
      <c r="C19" s="2469"/>
      <c r="D19" s="2469"/>
      <c r="E19" s="2470"/>
      <c r="F19" s="2478"/>
      <c r="G19" s="2469"/>
      <c r="H19" s="2469"/>
      <c r="I19" s="2470"/>
      <c r="J19" s="2479"/>
      <c r="K19" s="2478"/>
      <c r="L19" s="2475"/>
    </row>
    <row r="20" spans="1:12" ht="15" customHeight="1" x14ac:dyDescent="0.25">
      <c r="A20" s="2463" t="s">
        <v>982</v>
      </c>
      <c r="B20" s="2480"/>
      <c r="C20" s="2481"/>
      <c r="D20" s="2469"/>
      <c r="E20" s="2470"/>
      <c r="F20" s="2478"/>
      <c r="G20" s="2469"/>
      <c r="H20" s="2469"/>
      <c r="I20" s="2470"/>
      <c r="J20" s="2479"/>
      <c r="K20" s="2478"/>
      <c r="L20" s="2475"/>
    </row>
    <row r="21" spans="1:12" ht="12" customHeight="1" x14ac:dyDescent="0.25">
      <c r="A21" s="2482" t="s">
        <v>983</v>
      </c>
      <c r="B21" s="2465">
        <v>-45</v>
      </c>
      <c r="C21" s="2481">
        <v>0</v>
      </c>
      <c r="D21" s="2481">
        <v>9</v>
      </c>
      <c r="E21" s="2466">
        <v>0</v>
      </c>
      <c r="F21" s="2467">
        <v>0</v>
      </c>
      <c r="G21" s="2120">
        <v>143</v>
      </c>
      <c r="H21" s="2047">
        <v>0</v>
      </c>
      <c r="I21" s="2483">
        <v>0</v>
      </c>
      <c r="J21" s="2484">
        <v>-367</v>
      </c>
      <c r="K21" s="2485">
        <v>-36</v>
      </c>
      <c r="L21" s="2120">
        <v>143</v>
      </c>
    </row>
    <row r="22" spans="1:12" ht="12" customHeight="1" x14ac:dyDescent="0.25">
      <c r="A22" s="2482" t="s">
        <v>984</v>
      </c>
      <c r="B22" s="2465">
        <v>9</v>
      </c>
      <c r="C22" s="2481">
        <v>8</v>
      </c>
      <c r="D22" s="2481">
        <v>9</v>
      </c>
      <c r="E22" s="2466">
        <v>0</v>
      </c>
      <c r="F22" s="2467">
        <v>0</v>
      </c>
      <c r="G22" s="2047">
        <v>0</v>
      </c>
      <c r="H22" s="2047">
        <v>0</v>
      </c>
      <c r="I22" s="2483">
        <v>0</v>
      </c>
      <c r="J22" s="2484">
        <v>0</v>
      </c>
      <c r="K22" s="2485">
        <v>26</v>
      </c>
      <c r="L22" s="2486">
        <v>0</v>
      </c>
    </row>
    <row r="23" spans="1:12" ht="14.55" customHeight="1" x14ac:dyDescent="0.25">
      <c r="A23" s="2463" t="s">
        <v>985</v>
      </c>
      <c r="B23" s="2465">
        <v>-36</v>
      </c>
      <c r="C23" s="2481">
        <v>8</v>
      </c>
      <c r="D23" s="2481">
        <v>18</v>
      </c>
      <c r="E23" s="2466">
        <v>0</v>
      </c>
      <c r="F23" s="2467">
        <v>0</v>
      </c>
      <c r="G23" s="2120">
        <v>143</v>
      </c>
      <c r="H23" s="2047">
        <v>0</v>
      </c>
      <c r="I23" s="2483">
        <v>0</v>
      </c>
      <c r="J23" s="2484">
        <v>-367</v>
      </c>
      <c r="K23" s="2485">
        <v>-10</v>
      </c>
      <c r="L23" s="2120">
        <v>143</v>
      </c>
    </row>
    <row r="24" spans="1:12" ht="12" customHeight="1" x14ac:dyDescent="0.25">
      <c r="A24" s="2463" t="s">
        <v>986</v>
      </c>
      <c r="B24" s="2465"/>
      <c r="C24" s="2481"/>
      <c r="D24" s="2481"/>
      <c r="E24" s="2466"/>
      <c r="F24" s="2467"/>
      <c r="G24" s="2047"/>
      <c r="H24" s="2047"/>
      <c r="I24" s="2483"/>
      <c r="J24" s="2484"/>
      <c r="K24" s="2467"/>
      <c r="L24" s="2486"/>
    </row>
    <row r="25" spans="1:12" ht="13.05" customHeight="1" x14ac:dyDescent="0.25">
      <c r="A25" s="2482" t="s">
        <v>983</v>
      </c>
      <c r="B25" s="2465">
        <v>57</v>
      </c>
      <c r="C25" s="2481">
        <v>-23</v>
      </c>
      <c r="D25" s="2481">
        <v>26</v>
      </c>
      <c r="E25" s="2121">
        <v>1362</v>
      </c>
      <c r="F25" s="2467">
        <v>0</v>
      </c>
      <c r="G25" s="2047">
        <v>-7</v>
      </c>
      <c r="H25" s="2047">
        <v>0</v>
      </c>
      <c r="I25" s="2483">
        <v>0</v>
      </c>
      <c r="J25" s="2484">
        <v>0</v>
      </c>
      <c r="K25" s="2122">
        <v>1422</v>
      </c>
      <c r="L25" s="2486">
        <v>-7</v>
      </c>
    </row>
    <row r="26" spans="1:12" ht="12" customHeight="1" x14ac:dyDescent="0.25">
      <c r="A26" s="2482" t="s">
        <v>987</v>
      </c>
      <c r="B26" s="2465">
        <v>373</v>
      </c>
      <c r="C26" s="2481">
        <v>0</v>
      </c>
      <c r="D26" s="2481">
        <v>0</v>
      </c>
      <c r="E26" s="2466">
        <v>0</v>
      </c>
      <c r="F26" s="2467">
        <v>53</v>
      </c>
      <c r="G26" s="2047">
        <v>0</v>
      </c>
      <c r="H26" s="2047">
        <v>0</v>
      </c>
      <c r="I26" s="2483">
        <v>0</v>
      </c>
      <c r="J26" s="2123">
        <v>354</v>
      </c>
      <c r="K26" s="2122">
        <v>373</v>
      </c>
      <c r="L26" s="2120">
        <v>53</v>
      </c>
    </row>
    <row r="27" spans="1:12" ht="12" customHeight="1" x14ac:dyDescent="0.25">
      <c r="A27" s="2482" t="s">
        <v>988</v>
      </c>
      <c r="B27" s="2465">
        <v>74</v>
      </c>
      <c r="C27" s="2481">
        <v>0</v>
      </c>
      <c r="D27" s="2481">
        <v>0</v>
      </c>
      <c r="E27" s="2466">
        <v>0</v>
      </c>
      <c r="F27" s="2467">
        <v>0</v>
      </c>
      <c r="G27" s="2120">
        <v>176</v>
      </c>
      <c r="H27" s="2047">
        <v>0</v>
      </c>
      <c r="I27" s="2483">
        <v>0</v>
      </c>
      <c r="J27" s="2484">
        <v>0</v>
      </c>
      <c r="K27" s="2122">
        <v>74</v>
      </c>
      <c r="L27" s="2120">
        <v>176</v>
      </c>
    </row>
    <row r="28" spans="1:12" ht="12" customHeight="1" x14ac:dyDescent="0.25">
      <c r="A28" s="2482" t="s">
        <v>984</v>
      </c>
      <c r="B28" s="2465">
        <v>16</v>
      </c>
      <c r="C28" s="2481">
        <v>17</v>
      </c>
      <c r="D28" s="2481">
        <v>17</v>
      </c>
      <c r="E28" s="2121">
        <v>18</v>
      </c>
      <c r="F28" s="2467">
        <v>19</v>
      </c>
      <c r="G28" s="2120">
        <v>17</v>
      </c>
      <c r="H28" s="2120">
        <v>18</v>
      </c>
      <c r="I28" s="2121">
        <v>18</v>
      </c>
      <c r="J28" s="2123">
        <v>19</v>
      </c>
      <c r="K28" s="2122">
        <v>68</v>
      </c>
      <c r="L28" s="2120">
        <v>72</v>
      </c>
    </row>
    <row r="29" spans="1:12" ht="12" customHeight="1" x14ac:dyDescent="0.25">
      <c r="A29" s="2482" t="s">
        <v>989</v>
      </c>
      <c r="B29" s="2465">
        <v>0</v>
      </c>
      <c r="C29" s="2481">
        <v>0</v>
      </c>
      <c r="D29" s="2481">
        <v>0</v>
      </c>
      <c r="E29" s="2466">
        <v>0</v>
      </c>
      <c r="F29" s="2467">
        <v>440</v>
      </c>
      <c r="G29" s="2047">
        <v>0</v>
      </c>
      <c r="H29" s="2047">
        <v>0</v>
      </c>
      <c r="I29" s="2483">
        <v>0</v>
      </c>
      <c r="J29" s="2123">
        <v>346</v>
      </c>
      <c r="K29" s="2467">
        <v>0</v>
      </c>
      <c r="L29" s="2120">
        <v>440</v>
      </c>
    </row>
    <row r="30" spans="1:12" ht="12" customHeight="1" x14ac:dyDescent="0.25">
      <c r="A30" s="2482" t="s">
        <v>990</v>
      </c>
      <c r="B30" s="2465">
        <v>0</v>
      </c>
      <c r="C30" s="2481">
        <v>0</v>
      </c>
      <c r="D30" s="2481">
        <v>0</v>
      </c>
      <c r="E30" s="2466">
        <v>0</v>
      </c>
      <c r="F30" s="2467">
        <v>0</v>
      </c>
      <c r="G30" s="2047">
        <v>0</v>
      </c>
      <c r="H30" s="2047">
        <v>0</v>
      </c>
      <c r="I30" s="2483">
        <v>0</v>
      </c>
      <c r="J30" s="2123">
        <v>87</v>
      </c>
      <c r="K30" s="2467">
        <v>0</v>
      </c>
      <c r="L30" s="2486">
        <v>0</v>
      </c>
    </row>
    <row r="31" spans="1:12" ht="14.55" customHeight="1" x14ac:dyDescent="0.25">
      <c r="A31" s="2463" t="s">
        <v>991</v>
      </c>
      <c r="B31" s="2119">
        <v>520</v>
      </c>
      <c r="C31" s="2481">
        <v>-6</v>
      </c>
      <c r="D31" s="2120">
        <v>43</v>
      </c>
      <c r="E31" s="2121">
        <v>1380</v>
      </c>
      <c r="F31" s="2122">
        <v>512</v>
      </c>
      <c r="G31" s="2120">
        <v>186</v>
      </c>
      <c r="H31" s="2120">
        <v>18</v>
      </c>
      <c r="I31" s="2121">
        <v>18</v>
      </c>
      <c r="J31" s="2123">
        <v>806</v>
      </c>
      <c r="K31" s="2122">
        <v>1937</v>
      </c>
      <c r="L31" s="2120">
        <v>734</v>
      </c>
    </row>
    <row r="32" spans="1:12" ht="12" customHeight="1" x14ac:dyDescent="0.25">
      <c r="A32" s="2462" t="s">
        <v>992</v>
      </c>
      <c r="B32" s="2119">
        <v>484</v>
      </c>
      <c r="C32" s="2120">
        <v>2</v>
      </c>
      <c r="D32" s="2120">
        <v>61</v>
      </c>
      <c r="E32" s="2121">
        <v>1380</v>
      </c>
      <c r="F32" s="2122">
        <v>512</v>
      </c>
      <c r="G32" s="2120">
        <v>329</v>
      </c>
      <c r="H32" s="2120">
        <v>18</v>
      </c>
      <c r="I32" s="2121">
        <v>18</v>
      </c>
      <c r="J32" s="2123">
        <v>439</v>
      </c>
      <c r="K32" s="2122">
        <v>1927</v>
      </c>
      <c r="L32" s="2120">
        <v>877</v>
      </c>
    </row>
    <row r="33" spans="1:12" ht="12" customHeight="1" x14ac:dyDescent="0.25">
      <c r="A33" s="2463" t="s">
        <v>993</v>
      </c>
      <c r="B33" s="2465"/>
      <c r="C33" s="2481"/>
      <c r="D33" s="2481"/>
      <c r="E33" s="2466"/>
      <c r="F33" s="2467"/>
      <c r="G33" s="2047"/>
      <c r="H33" s="2047"/>
      <c r="I33" s="2483"/>
      <c r="J33" s="2484"/>
      <c r="K33" s="2467">
        <v>0</v>
      </c>
      <c r="L33" s="2486"/>
    </row>
    <row r="34" spans="1:12" ht="12" customHeight="1" x14ac:dyDescent="0.25">
      <c r="A34" s="2482" t="s">
        <v>983</v>
      </c>
      <c r="B34" s="2465">
        <v>-4</v>
      </c>
      <c r="C34" s="2481">
        <v>-6</v>
      </c>
      <c r="D34" s="2481">
        <v>-15</v>
      </c>
      <c r="E34" s="2466">
        <v>-7</v>
      </c>
      <c r="F34" s="2467">
        <v>0</v>
      </c>
      <c r="G34" s="2047">
        <v>-46</v>
      </c>
      <c r="H34" s="2047">
        <v>0</v>
      </c>
      <c r="I34" s="2483">
        <v>0</v>
      </c>
      <c r="J34" s="2123">
        <v>48</v>
      </c>
      <c r="K34" s="2467">
        <v>-32</v>
      </c>
      <c r="L34" s="2486">
        <v>-46</v>
      </c>
    </row>
    <row r="35" spans="1:12" ht="12" customHeight="1" x14ac:dyDescent="0.25">
      <c r="A35" s="2482" t="s">
        <v>987</v>
      </c>
      <c r="B35" s="2465">
        <v>-103</v>
      </c>
      <c r="C35" s="2481">
        <v>0</v>
      </c>
      <c r="D35" s="2481">
        <v>0</v>
      </c>
      <c r="E35" s="2466">
        <v>0</v>
      </c>
      <c r="F35" s="2467">
        <v>-15</v>
      </c>
      <c r="G35" s="2047">
        <v>0</v>
      </c>
      <c r="H35" s="2047">
        <v>0</v>
      </c>
      <c r="I35" s="2483">
        <v>0</v>
      </c>
      <c r="J35" s="2484">
        <v>-96</v>
      </c>
      <c r="K35" s="2467">
        <v>-103</v>
      </c>
      <c r="L35" s="2486">
        <v>-15</v>
      </c>
    </row>
    <row r="36" spans="1:12" ht="12" customHeight="1" x14ac:dyDescent="0.25">
      <c r="A36" s="2482" t="s">
        <v>984</v>
      </c>
      <c r="B36" s="2465">
        <v>-5</v>
      </c>
      <c r="C36" s="2481">
        <v>-5</v>
      </c>
      <c r="D36" s="2481">
        <v>-6</v>
      </c>
      <c r="E36" s="2466">
        <v>-4</v>
      </c>
      <c r="F36" s="2467">
        <v>-6</v>
      </c>
      <c r="G36" s="2047">
        <v>-4</v>
      </c>
      <c r="H36" s="2047">
        <v>-5</v>
      </c>
      <c r="I36" s="2483">
        <v>-5</v>
      </c>
      <c r="J36" s="2484">
        <v>-5</v>
      </c>
      <c r="K36" s="2467">
        <v>-20</v>
      </c>
      <c r="L36" s="2486">
        <v>-20</v>
      </c>
    </row>
    <row r="37" spans="1:12" ht="12" customHeight="1" x14ac:dyDescent="0.25">
      <c r="A37" s="2482" t="s">
        <v>988</v>
      </c>
      <c r="B37" s="2465">
        <v>-20</v>
      </c>
      <c r="C37" s="2481">
        <v>0</v>
      </c>
      <c r="D37" s="2481">
        <v>0</v>
      </c>
      <c r="E37" s="2466">
        <v>0</v>
      </c>
      <c r="F37" s="2467">
        <v>0</v>
      </c>
      <c r="G37" s="2047">
        <v>0</v>
      </c>
      <c r="H37" s="2047">
        <v>0</v>
      </c>
      <c r="I37" s="2483">
        <v>0</v>
      </c>
      <c r="J37" s="2484">
        <v>0</v>
      </c>
      <c r="K37" s="2467">
        <v>-20</v>
      </c>
      <c r="L37" s="2486">
        <v>0</v>
      </c>
    </row>
    <row r="38" spans="1:12" ht="12" customHeight="1" x14ac:dyDescent="0.25">
      <c r="A38" s="2482" t="s">
        <v>989</v>
      </c>
      <c r="B38" s="2465">
        <v>0</v>
      </c>
      <c r="C38" s="2481">
        <v>0</v>
      </c>
      <c r="D38" s="2481">
        <v>0</v>
      </c>
      <c r="E38" s="2466">
        <v>0</v>
      </c>
      <c r="F38" s="2467">
        <v>-61</v>
      </c>
      <c r="G38" s="2047">
        <v>0</v>
      </c>
      <c r="H38" s="2047">
        <v>0</v>
      </c>
      <c r="I38" s="2483">
        <v>0</v>
      </c>
      <c r="J38" s="2484">
        <v>-73</v>
      </c>
      <c r="K38" s="2467">
        <v>0</v>
      </c>
      <c r="L38" s="2486">
        <v>-61</v>
      </c>
    </row>
    <row r="39" spans="1:12" ht="12" customHeight="1" x14ac:dyDescent="0.25">
      <c r="A39" s="2482" t="s">
        <v>990</v>
      </c>
      <c r="B39" s="2465">
        <v>0</v>
      </c>
      <c r="C39" s="2481">
        <v>0</v>
      </c>
      <c r="D39" s="2481">
        <v>0</v>
      </c>
      <c r="E39" s="2466">
        <v>0</v>
      </c>
      <c r="F39" s="2467">
        <v>0</v>
      </c>
      <c r="G39" s="2047">
        <v>0</v>
      </c>
      <c r="H39" s="2047">
        <v>0</v>
      </c>
      <c r="I39" s="2483">
        <v>0</v>
      </c>
      <c r="J39" s="2484">
        <v>-24</v>
      </c>
      <c r="K39" s="2467">
        <v>0</v>
      </c>
      <c r="L39" s="2486">
        <v>0</v>
      </c>
    </row>
    <row r="40" spans="1:12" ht="12" customHeight="1" x14ac:dyDescent="0.25">
      <c r="A40" s="2462" t="s">
        <v>994</v>
      </c>
      <c r="B40" s="2465">
        <v>-132</v>
      </c>
      <c r="C40" s="2481">
        <v>-11</v>
      </c>
      <c r="D40" s="2481">
        <v>-21</v>
      </c>
      <c r="E40" s="2466">
        <v>-11</v>
      </c>
      <c r="F40" s="2467">
        <v>-82</v>
      </c>
      <c r="G40" s="2047">
        <v>-50</v>
      </c>
      <c r="H40" s="2047">
        <v>-5</v>
      </c>
      <c r="I40" s="2483">
        <v>-5</v>
      </c>
      <c r="J40" s="2484">
        <v>-150</v>
      </c>
      <c r="K40" s="2467">
        <v>-175</v>
      </c>
      <c r="L40" s="2486">
        <v>-142</v>
      </c>
    </row>
    <row r="41" spans="1:12" ht="12" customHeight="1" x14ac:dyDescent="0.25">
      <c r="A41" s="2462" t="s">
        <v>995</v>
      </c>
      <c r="B41" s="2119">
        <v>352</v>
      </c>
      <c r="C41" s="2481">
        <v>-9</v>
      </c>
      <c r="D41" s="2120">
        <v>40</v>
      </c>
      <c r="E41" s="2121">
        <v>1369</v>
      </c>
      <c r="F41" s="2122">
        <v>430</v>
      </c>
      <c r="G41" s="2120">
        <v>279</v>
      </c>
      <c r="H41" s="2120">
        <v>13</v>
      </c>
      <c r="I41" s="2121">
        <v>13</v>
      </c>
      <c r="J41" s="2123">
        <v>289</v>
      </c>
      <c r="K41" s="2122">
        <v>1752</v>
      </c>
      <c r="L41" s="2120">
        <v>735</v>
      </c>
    </row>
    <row r="42" spans="1:12" ht="12" customHeight="1" x14ac:dyDescent="0.25">
      <c r="A42" s="2463" t="s">
        <v>996</v>
      </c>
      <c r="B42" s="2465">
        <v>-53</v>
      </c>
      <c r="C42" s="2120">
        <v>37</v>
      </c>
      <c r="D42" s="2120">
        <v>16</v>
      </c>
      <c r="E42" s="2466">
        <v>-191</v>
      </c>
      <c r="F42" s="2467">
        <v>0</v>
      </c>
      <c r="G42" s="2047">
        <v>-2</v>
      </c>
      <c r="H42" s="2047">
        <v>0</v>
      </c>
      <c r="I42" s="2483">
        <v>0</v>
      </c>
      <c r="J42" s="2484">
        <v>-3</v>
      </c>
      <c r="K42" s="2467">
        <v>-191</v>
      </c>
      <c r="L42" s="2486">
        <v>-2</v>
      </c>
    </row>
    <row r="43" spans="1:12" ht="30" customHeight="1" x14ac:dyDescent="0.25">
      <c r="A43" s="2462" t="s">
        <v>997</v>
      </c>
      <c r="B43" s="2119">
        <v>299</v>
      </c>
      <c r="C43" s="2120">
        <v>28</v>
      </c>
      <c r="D43" s="2120">
        <v>56</v>
      </c>
      <c r="E43" s="2121">
        <v>1178</v>
      </c>
      <c r="F43" s="2122">
        <v>430</v>
      </c>
      <c r="G43" s="2120">
        <v>277</v>
      </c>
      <c r="H43" s="2120">
        <v>13</v>
      </c>
      <c r="I43" s="2121">
        <v>13</v>
      </c>
      <c r="J43" s="2484">
        <v>286</v>
      </c>
      <c r="K43" s="2122">
        <v>1561</v>
      </c>
      <c r="L43" s="2120">
        <v>733</v>
      </c>
    </row>
    <row r="44" spans="1:12" ht="12" customHeight="1" x14ac:dyDescent="0.25">
      <c r="A44" s="2487"/>
      <c r="B44" s="2488"/>
      <c r="C44" s="2472"/>
      <c r="D44" s="1529"/>
      <c r="E44" s="2489"/>
      <c r="F44" s="2490"/>
      <c r="G44" s="1529"/>
      <c r="H44" s="1529"/>
      <c r="I44" s="2489"/>
      <c r="J44" s="2491"/>
      <c r="K44" s="2490"/>
      <c r="L44" s="1545"/>
    </row>
    <row r="45" spans="1:12" ht="15" customHeight="1" x14ac:dyDescent="0.25">
      <c r="A45" s="2476" t="s">
        <v>998</v>
      </c>
      <c r="B45" s="2477"/>
      <c r="C45" s="1529"/>
      <c r="D45" s="2472"/>
      <c r="E45" s="2473"/>
      <c r="F45" s="2492"/>
      <c r="G45" s="2493"/>
      <c r="H45" s="2493"/>
      <c r="I45" s="2494"/>
      <c r="J45" s="2495"/>
      <c r="K45" s="2496"/>
      <c r="L45" s="2497"/>
    </row>
    <row r="46" spans="1:12" ht="12" customHeight="1" x14ac:dyDescent="0.25">
      <c r="A46" s="2463" t="s">
        <v>999</v>
      </c>
      <c r="B46" s="2119">
        <v>5586</v>
      </c>
      <c r="C46" s="2120">
        <v>5493</v>
      </c>
      <c r="D46" s="2120">
        <v>5270</v>
      </c>
      <c r="E46" s="2121">
        <v>5173</v>
      </c>
      <c r="F46" s="2122">
        <v>4923</v>
      </c>
      <c r="G46" s="2120">
        <v>4862</v>
      </c>
      <c r="H46" s="2120">
        <v>4694</v>
      </c>
      <c r="I46" s="2121">
        <v>4773</v>
      </c>
      <c r="J46" s="2123">
        <v>4666</v>
      </c>
      <c r="K46" s="2122">
        <v>21522</v>
      </c>
      <c r="L46" s="2120">
        <v>19252</v>
      </c>
    </row>
    <row r="47" spans="1:12" ht="12" customHeight="1" x14ac:dyDescent="0.25">
      <c r="A47" s="2461" t="s">
        <v>1000</v>
      </c>
      <c r="B47" s="2119">
        <v>4181</v>
      </c>
      <c r="C47" s="2120">
        <v>4001</v>
      </c>
      <c r="D47" s="2120">
        <v>3828</v>
      </c>
      <c r="E47" s="2121">
        <v>4199</v>
      </c>
      <c r="F47" s="2122">
        <v>3603</v>
      </c>
      <c r="G47" s="2120">
        <v>3645</v>
      </c>
      <c r="H47" s="2120">
        <v>3653</v>
      </c>
      <c r="I47" s="2121">
        <v>3660</v>
      </c>
      <c r="J47" s="2123">
        <v>3239</v>
      </c>
      <c r="K47" s="2122">
        <v>16209</v>
      </c>
      <c r="L47" s="2120">
        <v>14561</v>
      </c>
    </row>
    <row r="48" spans="1:12" ht="12" customHeight="1" x14ac:dyDescent="0.25">
      <c r="A48" s="2462" t="s">
        <v>1001</v>
      </c>
      <c r="B48" s="2119">
        <v>9767</v>
      </c>
      <c r="C48" s="2120">
        <v>9494</v>
      </c>
      <c r="D48" s="2120">
        <v>9098</v>
      </c>
      <c r="E48" s="2121">
        <v>9372</v>
      </c>
      <c r="F48" s="2122">
        <v>8526</v>
      </c>
      <c r="G48" s="2120">
        <v>8507</v>
      </c>
      <c r="H48" s="2120">
        <v>8347</v>
      </c>
      <c r="I48" s="2121">
        <v>8433</v>
      </c>
      <c r="J48" s="2123">
        <v>7905</v>
      </c>
      <c r="K48" s="2122">
        <v>37731</v>
      </c>
      <c r="L48" s="2120">
        <v>33813</v>
      </c>
    </row>
    <row r="49" spans="1:12" ht="12" customHeight="1" x14ac:dyDescent="0.25">
      <c r="A49" s="2463" t="s">
        <v>1002</v>
      </c>
      <c r="B49" s="2119">
        <v>1113</v>
      </c>
      <c r="C49" s="2120">
        <v>1041</v>
      </c>
      <c r="D49" s="2120">
        <v>1398</v>
      </c>
      <c r="E49" s="2121">
        <v>1162</v>
      </c>
      <c r="F49" s="2122">
        <v>1030</v>
      </c>
      <c r="G49" s="2120">
        <v>1052</v>
      </c>
      <c r="H49" s="2120">
        <v>1007</v>
      </c>
      <c r="I49" s="2121">
        <v>962</v>
      </c>
      <c r="J49" s="2123">
        <v>1256</v>
      </c>
      <c r="K49" s="2122">
        <v>4714</v>
      </c>
      <c r="L49" s="2120">
        <v>4051</v>
      </c>
    </row>
    <row r="50" spans="1:12" ht="12" customHeight="1" x14ac:dyDescent="0.25">
      <c r="A50" s="2464" t="s">
        <v>1003</v>
      </c>
      <c r="B50" s="2119">
        <v>5308</v>
      </c>
      <c r="C50" s="2120">
        <v>5095</v>
      </c>
      <c r="D50" s="2120">
        <v>5067</v>
      </c>
      <c r="E50" s="2121">
        <v>5111</v>
      </c>
      <c r="F50" s="2122">
        <v>4784</v>
      </c>
      <c r="G50" s="2120">
        <v>4763</v>
      </c>
      <c r="H50" s="2120">
        <v>4693</v>
      </c>
      <c r="I50" s="2121">
        <v>4721</v>
      </c>
      <c r="J50" s="2123">
        <v>4721</v>
      </c>
      <c r="K50" s="2122">
        <v>20581</v>
      </c>
      <c r="L50" s="2120">
        <v>18961</v>
      </c>
    </row>
    <row r="51" spans="1:12" ht="12" customHeight="1" x14ac:dyDescent="0.25">
      <c r="A51" s="2463" t="s">
        <v>1004</v>
      </c>
      <c r="B51" s="2119">
        <v>3346</v>
      </c>
      <c r="C51" s="2120">
        <v>3358</v>
      </c>
      <c r="D51" s="2120">
        <v>2633</v>
      </c>
      <c r="E51" s="2121">
        <v>3099</v>
      </c>
      <c r="F51" s="2122">
        <v>2712</v>
      </c>
      <c r="G51" s="2120">
        <v>2692</v>
      </c>
      <c r="H51" s="2120">
        <v>2647</v>
      </c>
      <c r="I51" s="2121">
        <v>2750</v>
      </c>
      <c r="J51" s="2123">
        <v>1928</v>
      </c>
      <c r="K51" s="2122">
        <v>12436</v>
      </c>
      <c r="L51" s="2120">
        <v>10801</v>
      </c>
    </row>
    <row r="52" spans="1:12" ht="12" customHeight="1" x14ac:dyDescent="0.25">
      <c r="A52" s="2464" t="s">
        <v>1005</v>
      </c>
      <c r="B52" s="2119">
        <v>788</v>
      </c>
      <c r="C52" s="2120">
        <v>840</v>
      </c>
      <c r="D52" s="2120">
        <v>561</v>
      </c>
      <c r="E52" s="2121">
        <v>737</v>
      </c>
      <c r="F52" s="2122">
        <v>593</v>
      </c>
      <c r="G52" s="2120">
        <v>501</v>
      </c>
      <c r="H52" s="2120">
        <v>542</v>
      </c>
      <c r="I52" s="2121">
        <v>538</v>
      </c>
      <c r="J52" s="2123">
        <v>285</v>
      </c>
      <c r="K52" s="2122">
        <v>2926</v>
      </c>
      <c r="L52" s="2120">
        <v>2174</v>
      </c>
    </row>
    <row r="53" spans="1:12" ht="12" customHeight="1" x14ac:dyDescent="0.25">
      <c r="A53" s="2462" t="s">
        <v>1006</v>
      </c>
      <c r="B53" s="2119">
        <v>2558</v>
      </c>
      <c r="C53" s="2120">
        <v>2518</v>
      </c>
      <c r="D53" s="2120">
        <v>2072</v>
      </c>
      <c r="E53" s="2121">
        <v>2362</v>
      </c>
      <c r="F53" s="2122">
        <v>2119</v>
      </c>
      <c r="G53" s="2120">
        <v>2191</v>
      </c>
      <c r="H53" s="2120">
        <v>2105</v>
      </c>
      <c r="I53" s="2121">
        <v>2212</v>
      </c>
      <c r="J53" s="2123">
        <v>1643</v>
      </c>
      <c r="K53" s="2122">
        <v>9510</v>
      </c>
      <c r="L53" s="2120">
        <v>8627</v>
      </c>
    </row>
    <row r="54" spans="1:12" ht="12" customHeight="1" x14ac:dyDescent="0.25">
      <c r="A54" s="2463" t="s">
        <v>1007</v>
      </c>
      <c r="B54" s="2119">
        <v>40</v>
      </c>
      <c r="C54" s="2120">
        <v>43</v>
      </c>
      <c r="D54" s="2120">
        <v>40</v>
      </c>
      <c r="E54" s="2121">
        <v>37</v>
      </c>
      <c r="F54" s="2122">
        <v>47</v>
      </c>
      <c r="G54" s="2120">
        <v>38</v>
      </c>
      <c r="H54" s="2120">
        <v>26</v>
      </c>
      <c r="I54" s="2121">
        <v>25</v>
      </c>
      <c r="J54" s="2123">
        <v>34</v>
      </c>
      <c r="K54" s="2122">
        <v>160</v>
      </c>
      <c r="L54" s="2120">
        <v>136</v>
      </c>
    </row>
    <row r="55" spans="1:12" ht="12" customHeight="1" x14ac:dyDescent="0.25">
      <c r="A55" s="2463" t="s">
        <v>1008</v>
      </c>
      <c r="B55" s="2119">
        <v>2518</v>
      </c>
      <c r="C55" s="2120">
        <v>2475</v>
      </c>
      <c r="D55" s="2120">
        <v>2032</v>
      </c>
      <c r="E55" s="2121">
        <v>2325</v>
      </c>
      <c r="F55" s="2122">
        <v>2072</v>
      </c>
      <c r="G55" s="2120">
        <v>2153</v>
      </c>
      <c r="H55" s="2120">
        <v>2079</v>
      </c>
      <c r="I55" s="2121">
        <v>2187</v>
      </c>
      <c r="J55" s="2123">
        <v>1609</v>
      </c>
      <c r="K55" s="2122">
        <v>9350</v>
      </c>
      <c r="L55" s="2120">
        <v>8491</v>
      </c>
    </row>
    <row r="56" spans="1:12" ht="12" customHeight="1" x14ac:dyDescent="0.25">
      <c r="A56" s="2463" t="s">
        <v>1009</v>
      </c>
      <c r="B56" s="2119">
        <v>115</v>
      </c>
      <c r="C56" s="2120">
        <v>134</v>
      </c>
      <c r="D56" s="2120">
        <v>135</v>
      </c>
      <c r="E56" s="2121">
        <v>122</v>
      </c>
      <c r="F56" s="2122">
        <v>121</v>
      </c>
      <c r="G56" s="2120">
        <v>120</v>
      </c>
      <c r="H56" s="2120">
        <v>123</v>
      </c>
      <c r="I56" s="2121">
        <v>108</v>
      </c>
      <c r="J56" s="2123">
        <v>109</v>
      </c>
      <c r="K56" s="2122">
        <v>506</v>
      </c>
      <c r="L56" s="2120">
        <v>472</v>
      </c>
    </row>
    <row r="57" spans="1:12" ht="12" customHeight="1" x14ac:dyDescent="0.25">
      <c r="A57" s="2463" t="s">
        <v>1010</v>
      </c>
      <c r="B57" s="2119">
        <v>2403</v>
      </c>
      <c r="C57" s="2120">
        <v>2341</v>
      </c>
      <c r="D57" s="2120">
        <v>1897</v>
      </c>
      <c r="E57" s="2121">
        <v>2203</v>
      </c>
      <c r="F57" s="2122">
        <v>1951</v>
      </c>
      <c r="G57" s="2120">
        <v>2033</v>
      </c>
      <c r="H57" s="2120">
        <v>1956</v>
      </c>
      <c r="I57" s="2121">
        <v>2079</v>
      </c>
      <c r="J57" s="2123">
        <v>1500</v>
      </c>
      <c r="K57" s="2122">
        <v>8844</v>
      </c>
      <c r="L57" s="2120">
        <v>8019</v>
      </c>
    </row>
  </sheetData>
  <mergeCells count="2">
    <mergeCell ref="A2:L2"/>
    <mergeCell ref="K3:L3"/>
  </mergeCells>
  <hyperlinks>
    <hyperlink ref="A1" location="ToC!A2" display="Back to Table of Contents" xr:uid="{211B246A-01E7-457D-A889-9E4F1C7AB78F}"/>
  </hyperlinks>
  <pageMargins left="0.5" right="0.5" top="0.5" bottom="0.5" header="0.25" footer="0.25"/>
  <pageSetup scale="61" orientation="landscape" r:id="rId1"/>
  <headerFooter>
    <oddFooter>&amp;L&amp;G&amp;C&amp;"Scotia,Regular"&amp;9Supplementary Financial Information (SFI)&amp;R33&amp;"Scotia,Regular"&amp;7</oddFooter>
  </headerFooter>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AD2AE-2EDD-4A56-AD45-DCAA889602FA}">
  <sheetPr>
    <pageSetUpPr fitToPage="1"/>
  </sheetPr>
  <dimension ref="A1:L26"/>
  <sheetViews>
    <sheetView showGridLines="0" zoomScaleNormal="100" workbookViewId="0"/>
  </sheetViews>
  <sheetFormatPr defaultColWidth="8.77734375" defaultRowHeight="13.2" x14ac:dyDescent="0.25"/>
  <cols>
    <col min="1" max="1" width="75.5546875" style="23" customWidth="1"/>
    <col min="2" max="12" width="8.77734375" style="23" customWidth="1"/>
    <col min="13" max="16384" width="8.77734375" style="23"/>
  </cols>
  <sheetData>
    <row r="1" spans="1:12" ht="19.95" customHeight="1" x14ac:dyDescent="0.25">
      <c r="A1" s="22" t="s">
        <v>12</v>
      </c>
    </row>
    <row r="2" spans="1:12" ht="24.6" customHeight="1" x14ac:dyDescent="0.25">
      <c r="A2" s="2874" t="s">
        <v>969</v>
      </c>
      <c r="B2" s="2874" t="s">
        <v>15</v>
      </c>
      <c r="C2" s="2874" t="s">
        <v>15</v>
      </c>
      <c r="D2" s="2874" t="s">
        <v>15</v>
      </c>
      <c r="E2" s="2874" t="s">
        <v>15</v>
      </c>
      <c r="F2" s="2874" t="s">
        <v>15</v>
      </c>
      <c r="G2" s="2874" t="s">
        <v>15</v>
      </c>
      <c r="H2" s="2874" t="s">
        <v>15</v>
      </c>
      <c r="I2" s="2874" t="s">
        <v>15</v>
      </c>
      <c r="J2" s="2874" t="s">
        <v>15</v>
      </c>
      <c r="K2" s="2874" t="s">
        <v>15</v>
      </c>
      <c r="L2" s="2874" t="s">
        <v>15</v>
      </c>
    </row>
    <row r="3" spans="1:12" ht="12" customHeight="1" x14ac:dyDescent="0.25">
      <c r="A3" s="2431" t="s">
        <v>1011</v>
      </c>
      <c r="B3" s="2432"/>
      <c r="C3" s="2433"/>
      <c r="D3" s="2433"/>
      <c r="E3" s="2434"/>
      <c r="F3" s="2435"/>
      <c r="G3" s="2436"/>
      <c r="H3" s="2436"/>
      <c r="I3" s="2437"/>
      <c r="J3" s="2498"/>
      <c r="K3" s="2863" t="s">
        <v>163</v>
      </c>
      <c r="L3" s="2864" t="s">
        <v>15</v>
      </c>
    </row>
    <row r="4" spans="1:12" ht="12" customHeight="1" x14ac:dyDescent="0.25">
      <c r="A4" s="2439" t="s">
        <v>556</v>
      </c>
      <c r="B4" s="2440" t="s">
        <v>165</v>
      </c>
      <c r="C4" s="2441" t="s">
        <v>166</v>
      </c>
      <c r="D4" s="2442" t="s">
        <v>167</v>
      </c>
      <c r="E4" s="2443" t="s">
        <v>168</v>
      </c>
      <c r="F4" s="2444" t="s">
        <v>169</v>
      </c>
      <c r="G4" s="2445" t="s">
        <v>170</v>
      </c>
      <c r="H4" s="2445" t="s">
        <v>171</v>
      </c>
      <c r="I4" s="2446" t="s">
        <v>172</v>
      </c>
      <c r="J4" s="2447" t="s">
        <v>173</v>
      </c>
      <c r="K4" s="2448">
        <v>2025</v>
      </c>
      <c r="L4" s="2449">
        <v>2024</v>
      </c>
    </row>
    <row r="5" spans="1:12" ht="16.05" customHeight="1" x14ac:dyDescent="0.25">
      <c r="A5" s="2450" t="s">
        <v>971</v>
      </c>
      <c r="B5" s="2451"/>
      <c r="C5" s="2452"/>
      <c r="D5" s="1261"/>
      <c r="E5" s="2454"/>
      <c r="F5" s="2455"/>
      <c r="G5" s="2456"/>
      <c r="H5" s="2456"/>
      <c r="I5" s="2457"/>
      <c r="J5" s="2458"/>
      <c r="K5" s="2459"/>
      <c r="L5" s="2453"/>
    </row>
    <row r="6" spans="1:12" ht="16.05" customHeight="1" x14ac:dyDescent="0.25">
      <c r="A6" s="2460" t="s">
        <v>980</v>
      </c>
      <c r="B6" s="2119">
        <v>2104</v>
      </c>
      <c r="C6" s="2120">
        <v>2313</v>
      </c>
      <c r="D6" s="2120">
        <v>1841</v>
      </c>
      <c r="E6" s="2121">
        <v>1025</v>
      </c>
      <c r="F6" s="2122">
        <v>1521</v>
      </c>
      <c r="G6" s="2120">
        <v>1756</v>
      </c>
      <c r="H6" s="2120">
        <v>1943</v>
      </c>
      <c r="I6" s="2121">
        <v>2066</v>
      </c>
      <c r="J6" s="2123">
        <v>1214</v>
      </c>
      <c r="K6" s="2122">
        <v>7283</v>
      </c>
      <c r="L6" s="2120">
        <v>7286</v>
      </c>
    </row>
    <row r="7" spans="1:12" ht="28.95" customHeight="1" x14ac:dyDescent="0.25">
      <c r="A7" s="2461" t="s">
        <v>1012</v>
      </c>
      <c r="B7" s="2465">
        <v>0</v>
      </c>
      <c r="C7" s="2499">
        <v>-22</v>
      </c>
      <c r="D7" s="2481">
        <v>0</v>
      </c>
      <c r="E7" s="2466">
        <v>0</v>
      </c>
      <c r="F7" s="2467">
        <v>0</v>
      </c>
      <c r="G7" s="2047">
        <v>0</v>
      </c>
      <c r="H7" s="2047">
        <v>0</v>
      </c>
      <c r="I7" s="2483">
        <v>0</v>
      </c>
      <c r="J7" s="2484">
        <v>0</v>
      </c>
      <c r="K7" s="2467">
        <v>-22</v>
      </c>
      <c r="L7" s="2486">
        <v>0</v>
      </c>
    </row>
    <row r="8" spans="1:12" ht="28.95" customHeight="1" x14ac:dyDescent="0.25">
      <c r="A8" s="2463" t="s">
        <v>1013</v>
      </c>
      <c r="B8" s="2119">
        <v>2104</v>
      </c>
      <c r="C8" s="2120">
        <v>2291</v>
      </c>
      <c r="D8" s="2120">
        <v>1841</v>
      </c>
      <c r="E8" s="2121">
        <v>1025</v>
      </c>
      <c r="F8" s="2122">
        <v>1521</v>
      </c>
      <c r="G8" s="2120">
        <v>1756</v>
      </c>
      <c r="H8" s="2120">
        <v>1943</v>
      </c>
      <c r="I8" s="2121">
        <v>2066</v>
      </c>
      <c r="J8" s="2123">
        <v>1214</v>
      </c>
      <c r="K8" s="2122">
        <v>7261</v>
      </c>
      <c r="L8" s="2120">
        <v>7286</v>
      </c>
    </row>
    <row r="9" spans="1:12" ht="16.05" customHeight="1" x14ac:dyDescent="0.25">
      <c r="A9" s="2461" t="s">
        <v>1014</v>
      </c>
      <c r="B9" s="2465">
        <v>-45</v>
      </c>
      <c r="C9" s="2499">
        <v>0</v>
      </c>
      <c r="D9" s="2481">
        <v>0</v>
      </c>
      <c r="E9" s="2466">
        <v>-196</v>
      </c>
      <c r="F9" s="2467">
        <v>-3</v>
      </c>
      <c r="G9" s="2047">
        <v>-15</v>
      </c>
      <c r="H9" s="2047">
        <v>-15</v>
      </c>
      <c r="I9" s="2483">
        <v>-15</v>
      </c>
      <c r="J9" s="2484">
        <v>-11</v>
      </c>
      <c r="K9" s="2467">
        <v>-181</v>
      </c>
      <c r="L9" s="2486">
        <v>-49</v>
      </c>
    </row>
    <row r="10" spans="1:12" ht="16.05" customHeight="1" x14ac:dyDescent="0.25">
      <c r="A10" s="2462" t="s">
        <v>1015</v>
      </c>
      <c r="B10" s="2119">
        <v>2059</v>
      </c>
      <c r="C10" s="2120">
        <v>2291</v>
      </c>
      <c r="D10" s="2120">
        <v>1841</v>
      </c>
      <c r="E10" s="2121">
        <v>829</v>
      </c>
      <c r="F10" s="2122">
        <v>1518</v>
      </c>
      <c r="G10" s="2120">
        <v>1741</v>
      </c>
      <c r="H10" s="2120">
        <v>1928</v>
      </c>
      <c r="I10" s="2121">
        <v>2051</v>
      </c>
      <c r="J10" s="2123">
        <v>1203</v>
      </c>
      <c r="K10" s="2122">
        <v>7080</v>
      </c>
      <c r="L10" s="2120">
        <v>7237</v>
      </c>
    </row>
    <row r="11" spans="1:12" ht="16.05" customHeight="1" x14ac:dyDescent="0.25">
      <c r="A11" s="2463" t="s">
        <v>1016</v>
      </c>
      <c r="B11" s="2119">
        <v>1245</v>
      </c>
      <c r="C11" s="2120">
        <v>1245</v>
      </c>
      <c r="D11" s="2120">
        <v>1246</v>
      </c>
      <c r="E11" s="2121">
        <v>1250</v>
      </c>
      <c r="F11" s="2122">
        <v>1243</v>
      </c>
      <c r="G11" s="2120">
        <v>1235</v>
      </c>
      <c r="H11" s="2120">
        <v>1228</v>
      </c>
      <c r="I11" s="2121">
        <v>1221</v>
      </c>
      <c r="J11" s="2123">
        <v>1211</v>
      </c>
      <c r="K11" s="2122">
        <v>1248</v>
      </c>
      <c r="L11" s="2120">
        <v>1232</v>
      </c>
    </row>
    <row r="12" spans="1:12" ht="16.05" customHeight="1" x14ac:dyDescent="0.25">
      <c r="A12" s="2462" t="s">
        <v>1017</v>
      </c>
      <c r="B12" s="2319">
        <v>1.65</v>
      </c>
      <c r="C12" s="2320">
        <v>1.84</v>
      </c>
      <c r="D12" s="2320">
        <v>1.48</v>
      </c>
      <c r="E12" s="2321">
        <v>0.66</v>
      </c>
      <c r="F12" s="2322">
        <v>1.22</v>
      </c>
      <c r="G12" s="2320">
        <v>1.41</v>
      </c>
      <c r="H12" s="2320">
        <v>1.57</v>
      </c>
      <c r="I12" s="2321">
        <v>1.68</v>
      </c>
      <c r="J12" s="2323">
        <v>0.99</v>
      </c>
      <c r="K12" s="2322">
        <v>5.67</v>
      </c>
      <c r="L12" s="2320">
        <v>5.87</v>
      </c>
    </row>
    <row r="13" spans="1:12" ht="12" customHeight="1" x14ac:dyDescent="0.25">
      <c r="A13" s="2464"/>
      <c r="B13" s="2500"/>
      <c r="C13" s="2469"/>
      <c r="D13" s="2469"/>
      <c r="E13" s="2470"/>
      <c r="F13" s="2471"/>
      <c r="G13" s="2472"/>
      <c r="H13" s="2472"/>
      <c r="I13" s="2473"/>
      <c r="J13" s="2474"/>
      <c r="K13" s="2471"/>
      <c r="L13" s="2475"/>
    </row>
    <row r="14" spans="1:12" ht="15" customHeight="1" x14ac:dyDescent="0.25">
      <c r="A14" s="2476" t="s">
        <v>998</v>
      </c>
      <c r="B14" s="2501"/>
      <c r="C14" s="1540"/>
      <c r="D14" s="2472"/>
      <c r="E14" s="2473"/>
      <c r="F14" s="2492"/>
      <c r="G14" s="2493"/>
      <c r="H14" s="2493"/>
      <c r="I14" s="2494"/>
      <c r="J14" s="2495"/>
      <c r="K14" s="2496"/>
      <c r="L14" s="2497"/>
    </row>
    <row r="15" spans="1:12" ht="28.95" customHeight="1" x14ac:dyDescent="0.25">
      <c r="A15" s="2463" t="s">
        <v>1013</v>
      </c>
      <c r="B15" s="2119">
        <v>2104</v>
      </c>
      <c r="C15" s="2120">
        <v>2291</v>
      </c>
      <c r="D15" s="2120">
        <v>1841</v>
      </c>
      <c r="E15" s="2121">
        <v>1025</v>
      </c>
      <c r="F15" s="2122">
        <v>1521</v>
      </c>
      <c r="G15" s="2120">
        <v>1756</v>
      </c>
      <c r="H15" s="2120">
        <v>1943</v>
      </c>
      <c r="I15" s="2121">
        <v>2066</v>
      </c>
      <c r="J15" s="2123">
        <v>1214</v>
      </c>
      <c r="K15" s="2122">
        <v>7261</v>
      </c>
      <c r="L15" s="2120">
        <v>7286</v>
      </c>
    </row>
    <row r="16" spans="1:12" ht="27.45" customHeight="1" x14ac:dyDescent="0.25">
      <c r="A16" s="2502" t="s">
        <v>1018</v>
      </c>
      <c r="B16" s="2119">
        <v>299</v>
      </c>
      <c r="C16" s="2120">
        <v>28</v>
      </c>
      <c r="D16" s="2120">
        <v>56</v>
      </c>
      <c r="E16" s="2121">
        <v>1178</v>
      </c>
      <c r="F16" s="2122">
        <v>430</v>
      </c>
      <c r="G16" s="2120">
        <v>277</v>
      </c>
      <c r="H16" s="2120">
        <v>13</v>
      </c>
      <c r="I16" s="2121">
        <v>13</v>
      </c>
      <c r="J16" s="2123">
        <v>286</v>
      </c>
      <c r="K16" s="2122">
        <v>1561</v>
      </c>
      <c r="L16" s="2120">
        <v>733</v>
      </c>
    </row>
    <row r="17" spans="1:12" ht="28.95" customHeight="1" x14ac:dyDescent="0.25">
      <c r="A17" s="2482" t="s">
        <v>1019</v>
      </c>
      <c r="B17" s="2465">
        <v>0</v>
      </c>
      <c r="C17" s="2120">
        <v>22</v>
      </c>
      <c r="D17" s="2481">
        <v>0</v>
      </c>
      <c r="E17" s="2466">
        <v>0</v>
      </c>
      <c r="F17" s="2467">
        <v>0</v>
      </c>
      <c r="G17" s="2047">
        <v>0</v>
      </c>
      <c r="H17" s="2047">
        <v>0</v>
      </c>
      <c r="I17" s="2483">
        <v>0</v>
      </c>
      <c r="J17" s="2484">
        <v>0</v>
      </c>
      <c r="K17" s="2122">
        <v>22</v>
      </c>
      <c r="L17" s="2486">
        <v>0</v>
      </c>
    </row>
    <row r="18" spans="1:12" ht="28.95" customHeight="1" x14ac:dyDescent="0.25">
      <c r="A18" s="2463" t="s">
        <v>1020</v>
      </c>
      <c r="B18" s="2119">
        <v>2403</v>
      </c>
      <c r="C18" s="2120">
        <v>2341</v>
      </c>
      <c r="D18" s="2120">
        <v>1897</v>
      </c>
      <c r="E18" s="2121">
        <v>2203</v>
      </c>
      <c r="F18" s="2122">
        <v>1951</v>
      </c>
      <c r="G18" s="2120">
        <v>2033</v>
      </c>
      <c r="H18" s="2120">
        <v>1956</v>
      </c>
      <c r="I18" s="2121">
        <v>2079</v>
      </c>
      <c r="J18" s="2123">
        <v>1500</v>
      </c>
      <c r="K18" s="2122">
        <v>8844</v>
      </c>
      <c r="L18" s="2120">
        <v>8019</v>
      </c>
    </row>
    <row r="19" spans="1:12" ht="16.05" customHeight="1" x14ac:dyDescent="0.25">
      <c r="A19" s="2464" t="s">
        <v>1014</v>
      </c>
      <c r="B19" s="2465">
        <v>5</v>
      </c>
      <c r="C19" s="2499">
        <v>8</v>
      </c>
      <c r="D19" s="2481">
        <v>1</v>
      </c>
      <c r="E19" s="2466">
        <v>-7</v>
      </c>
      <c r="F19" s="2467">
        <v>-3</v>
      </c>
      <c r="G19" s="2047">
        <v>-16</v>
      </c>
      <c r="H19" s="2047">
        <v>-15</v>
      </c>
      <c r="I19" s="2483">
        <v>-15</v>
      </c>
      <c r="J19" s="2483">
        <v>-10</v>
      </c>
      <c r="K19" s="2467">
        <v>7</v>
      </c>
      <c r="L19" s="2486">
        <v>-49</v>
      </c>
    </row>
    <row r="20" spans="1:12" ht="16.05" customHeight="1" x14ac:dyDescent="0.25">
      <c r="A20" s="2462" t="s">
        <v>1021</v>
      </c>
      <c r="B20" s="2119">
        <v>2408</v>
      </c>
      <c r="C20" s="2120">
        <v>2349</v>
      </c>
      <c r="D20" s="2120">
        <v>1898</v>
      </c>
      <c r="E20" s="2121">
        <v>2196</v>
      </c>
      <c r="F20" s="2122">
        <v>1948</v>
      </c>
      <c r="G20" s="2120">
        <v>2017</v>
      </c>
      <c r="H20" s="2120">
        <v>1941</v>
      </c>
      <c r="I20" s="2121">
        <v>2064</v>
      </c>
      <c r="J20" s="2123">
        <v>1490</v>
      </c>
      <c r="K20" s="2122">
        <v>8851</v>
      </c>
      <c r="L20" s="2120">
        <v>7970</v>
      </c>
    </row>
    <row r="21" spans="1:12" ht="16.05" customHeight="1" x14ac:dyDescent="0.25">
      <c r="A21" s="2464" t="s">
        <v>1022</v>
      </c>
      <c r="B21" s="2119">
        <v>1245</v>
      </c>
      <c r="C21" s="2120">
        <v>1249</v>
      </c>
      <c r="D21" s="2120">
        <v>1250</v>
      </c>
      <c r="E21" s="2121">
        <v>1250</v>
      </c>
      <c r="F21" s="2122">
        <v>1243</v>
      </c>
      <c r="G21" s="2120">
        <v>1235</v>
      </c>
      <c r="H21" s="2120">
        <v>1228</v>
      </c>
      <c r="I21" s="2121">
        <v>1221</v>
      </c>
      <c r="J21" s="2123">
        <v>1211</v>
      </c>
      <c r="K21" s="2122">
        <v>1248</v>
      </c>
      <c r="L21" s="2120">
        <v>1232</v>
      </c>
    </row>
    <row r="22" spans="1:12" ht="16.05" customHeight="1" x14ac:dyDescent="0.25">
      <c r="A22" s="2463" t="s">
        <v>1023</v>
      </c>
      <c r="B22" s="2319">
        <v>1.93</v>
      </c>
      <c r="C22" s="2320">
        <v>1.88</v>
      </c>
      <c r="D22" s="2320">
        <v>1.52</v>
      </c>
      <c r="E22" s="2321">
        <v>1.76</v>
      </c>
      <c r="F22" s="2322">
        <v>1.57</v>
      </c>
      <c r="G22" s="2320">
        <v>1.63</v>
      </c>
      <c r="H22" s="2320">
        <v>1.58</v>
      </c>
      <c r="I22" s="2321">
        <v>1.69</v>
      </c>
      <c r="J22" s="2323">
        <v>1.23</v>
      </c>
      <c r="K22" s="2322">
        <v>7.09</v>
      </c>
      <c r="L22" s="2320">
        <v>6.47</v>
      </c>
    </row>
    <row r="23" spans="1:12" ht="16.05" customHeight="1" x14ac:dyDescent="0.25">
      <c r="A23" s="2503" t="s">
        <v>1024</v>
      </c>
      <c r="B23" s="2319">
        <v>0.28000000000000003</v>
      </c>
      <c r="C23" s="2320">
        <v>3.9999999999999813E-2</v>
      </c>
      <c r="D23" s="2320">
        <v>0.04</v>
      </c>
      <c r="E23" s="2321">
        <v>1.1000000000000001</v>
      </c>
      <c r="F23" s="2322">
        <v>0.35</v>
      </c>
      <c r="G23" s="2320">
        <v>0.22</v>
      </c>
      <c r="H23" s="2320">
        <v>0.01</v>
      </c>
      <c r="I23" s="2321">
        <v>0.01</v>
      </c>
      <c r="J23" s="2323">
        <v>0.24</v>
      </c>
      <c r="K23" s="2322">
        <v>1.42</v>
      </c>
      <c r="L23" s="2320">
        <v>0.59999999999999964</v>
      </c>
    </row>
    <row r="24" spans="1:12" ht="12" customHeight="1" x14ac:dyDescent="0.25">
      <c r="A24" s="2504"/>
      <c r="B24" s="2505"/>
      <c r="C24" s="2506"/>
      <c r="D24" s="2507"/>
      <c r="E24" s="2507"/>
      <c r="F24" s="2507"/>
      <c r="G24" s="2507"/>
      <c r="H24" s="2507"/>
      <c r="I24" s="2507"/>
      <c r="J24" s="2507"/>
      <c r="K24" s="2507"/>
      <c r="L24" s="2508"/>
    </row>
    <row r="25" spans="1:12" ht="10.050000000000001" customHeight="1" x14ac:dyDescent="0.25">
      <c r="A25" s="2957" t="s">
        <v>1025</v>
      </c>
      <c r="B25" s="2957" t="s">
        <v>15</v>
      </c>
      <c r="C25" s="2957" t="s">
        <v>15</v>
      </c>
      <c r="D25" s="2957" t="s">
        <v>15</v>
      </c>
      <c r="E25" s="2958" t="s">
        <v>15</v>
      </c>
      <c r="F25" s="2958" t="s">
        <v>15</v>
      </c>
      <c r="G25" s="2958" t="s">
        <v>15</v>
      </c>
      <c r="H25" s="2958" t="s">
        <v>15</v>
      </c>
      <c r="I25" s="2958" t="s">
        <v>15</v>
      </c>
      <c r="J25" s="2958" t="s">
        <v>15</v>
      </c>
      <c r="K25" s="2509"/>
      <c r="L25" s="2509"/>
    </row>
    <row r="26" spans="1:12" ht="10.050000000000001" customHeight="1" x14ac:dyDescent="0.25">
      <c r="A26" s="2957"/>
      <c r="B26" s="2957" t="s">
        <v>15</v>
      </c>
      <c r="C26" s="2957" t="s">
        <v>15</v>
      </c>
      <c r="D26" s="2957" t="s">
        <v>15</v>
      </c>
      <c r="E26" s="2958" t="s">
        <v>15</v>
      </c>
      <c r="F26" s="2958" t="s">
        <v>15</v>
      </c>
      <c r="G26" s="2958" t="s">
        <v>15</v>
      </c>
      <c r="H26" s="2958" t="s">
        <v>15</v>
      </c>
      <c r="I26" s="2958" t="s">
        <v>15</v>
      </c>
      <c r="J26" s="2958" t="s">
        <v>15</v>
      </c>
      <c r="K26" s="2509"/>
      <c r="L26" s="2509"/>
    </row>
  </sheetData>
  <mergeCells count="4">
    <mergeCell ref="A2:L2"/>
    <mergeCell ref="K3:L3"/>
    <mergeCell ref="A25:J25"/>
    <mergeCell ref="A26:J26"/>
  </mergeCells>
  <hyperlinks>
    <hyperlink ref="A1" location="ToC!A2" display="Back to Table of Contents" xr:uid="{D9F05918-1112-4B37-BFEF-54E89251A36B}"/>
  </hyperlinks>
  <pageMargins left="0.5" right="0.5" top="0.5" bottom="0.5" header="0.25" footer="0.25"/>
  <pageSetup scale="73" orientation="landscape" r:id="rId1"/>
  <headerFooter>
    <oddFooter>&amp;L&amp;G&amp;C&amp;"Scotia,Regular"&amp;9Supplementary Financial Information (SFI)&amp;R34&amp;"Scotia,Regular"&amp;7</oddFooter>
  </headerFooter>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B891-457D-46C2-971E-C16AFB690838}">
  <sheetPr>
    <pageSetUpPr fitToPage="1"/>
  </sheetPr>
  <dimension ref="A1:L54"/>
  <sheetViews>
    <sheetView showGridLines="0" zoomScaleNormal="100" workbookViewId="0"/>
  </sheetViews>
  <sheetFormatPr defaultColWidth="8.77734375" defaultRowHeight="13.2" x14ac:dyDescent="0.25"/>
  <cols>
    <col min="1" max="1" width="75" style="23" customWidth="1"/>
    <col min="2" max="12" width="13.5546875" style="23" customWidth="1"/>
    <col min="13" max="16384" width="8.77734375" style="23"/>
  </cols>
  <sheetData>
    <row r="1" spans="1:12" ht="19.95" customHeight="1" x14ac:dyDescent="0.25">
      <c r="A1" s="22" t="s">
        <v>12</v>
      </c>
    </row>
    <row r="2" spans="1:12" ht="25.05" customHeight="1" x14ac:dyDescent="0.25">
      <c r="A2" s="2815" t="s">
        <v>969</v>
      </c>
      <c r="B2" s="2815" t="s">
        <v>15</v>
      </c>
      <c r="C2" s="2815" t="s">
        <v>15</v>
      </c>
      <c r="D2" s="2815" t="s">
        <v>15</v>
      </c>
      <c r="E2" s="2815" t="s">
        <v>15</v>
      </c>
      <c r="F2" s="2815" t="s">
        <v>15</v>
      </c>
      <c r="G2" s="2815" t="s">
        <v>15</v>
      </c>
      <c r="H2" s="2815" t="s">
        <v>15</v>
      </c>
      <c r="I2" s="2815" t="s">
        <v>15</v>
      </c>
      <c r="J2" s="2815" t="s">
        <v>15</v>
      </c>
      <c r="K2" s="2815" t="s">
        <v>15</v>
      </c>
      <c r="L2" s="2815" t="s">
        <v>15</v>
      </c>
    </row>
    <row r="3" spans="1:12" ht="19.05" customHeight="1" x14ac:dyDescent="0.25">
      <c r="A3" s="2510" t="s">
        <v>1026</v>
      </c>
      <c r="B3" s="2960"/>
      <c r="C3" s="2961"/>
      <c r="D3" s="2961"/>
      <c r="E3" s="2962"/>
      <c r="F3" s="2963"/>
      <c r="G3" s="2964"/>
      <c r="H3" s="2964"/>
      <c r="I3" s="2965"/>
      <c r="J3" s="2511"/>
      <c r="K3" s="2966" t="s">
        <v>163</v>
      </c>
      <c r="L3" s="2967" t="s">
        <v>15</v>
      </c>
    </row>
    <row r="4" spans="1:12" ht="18" customHeight="1" x14ac:dyDescent="0.25">
      <c r="A4" s="2512" t="s">
        <v>556</v>
      </c>
      <c r="B4" s="2513" t="s">
        <v>165</v>
      </c>
      <c r="C4" s="2514" t="s">
        <v>166</v>
      </c>
      <c r="D4" s="2514" t="s">
        <v>167</v>
      </c>
      <c r="E4" s="2515" t="s">
        <v>168</v>
      </c>
      <c r="F4" s="2516" t="s">
        <v>169</v>
      </c>
      <c r="G4" s="2514" t="s">
        <v>170</v>
      </c>
      <c r="H4" s="2514" t="s">
        <v>171</v>
      </c>
      <c r="I4" s="2515" t="s">
        <v>172</v>
      </c>
      <c r="J4" s="2517" t="s">
        <v>173</v>
      </c>
      <c r="K4" s="2516">
        <v>2025</v>
      </c>
      <c r="L4" s="2514">
        <v>2024</v>
      </c>
    </row>
    <row r="5" spans="1:12" ht="18" customHeight="1" x14ac:dyDescent="0.25">
      <c r="A5" s="2518" t="s">
        <v>1027</v>
      </c>
      <c r="B5" s="2519"/>
      <c r="C5" s="2520"/>
      <c r="D5" s="2520"/>
      <c r="E5" s="2521"/>
      <c r="F5" s="2522"/>
      <c r="G5" s="2520"/>
      <c r="H5" s="2520"/>
      <c r="I5" s="2521"/>
      <c r="J5" s="2523"/>
      <c r="K5" s="2522"/>
      <c r="L5" s="2520"/>
    </row>
    <row r="6" spans="1:12" ht="18" customHeight="1" x14ac:dyDescent="0.25">
      <c r="A6" s="2524" t="s">
        <v>307</v>
      </c>
      <c r="B6" s="2519"/>
      <c r="C6" s="2520"/>
      <c r="D6" s="2520"/>
      <c r="E6" s="2521"/>
      <c r="F6" s="2522"/>
      <c r="G6" s="2520"/>
      <c r="H6" s="2520"/>
      <c r="I6" s="2521"/>
      <c r="J6" s="2523"/>
      <c r="K6" s="2522"/>
      <c r="L6" s="2520"/>
    </row>
    <row r="7" spans="1:12" ht="18" customHeight="1" x14ac:dyDescent="0.25">
      <c r="A7" s="2521" t="s">
        <v>178</v>
      </c>
      <c r="B7" s="2525">
        <v>2104</v>
      </c>
      <c r="C7" s="1529">
        <v>2313</v>
      </c>
      <c r="D7" s="1540">
        <v>1841</v>
      </c>
      <c r="E7" s="2045">
        <v>1025</v>
      </c>
      <c r="F7" s="2046">
        <v>1521</v>
      </c>
      <c r="G7" s="1529">
        <v>1756</v>
      </c>
      <c r="H7" s="1529">
        <v>1943</v>
      </c>
      <c r="I7" s="2045">
        <v>2066</v>
      </c>
      <c r="J7" s="2526">
        <v>1214</v>
      </c>
      <c r="K7" s="2046">
        <v>7283</v>
      </c>
      <c r="L7" s="1529">
        <v>7286</v>
      </c>
    </row>
    <row r="8" spans="1:12" ht="18" customHeight="1" x14ac:dyDescent="0.25">
      <c r="A8" s="2521" t="s">
        <v>1028</v>
      </c>
      <c r="B8" s="2525">
        <v>76093</v>
      </c>
      <c r="C8" s="1529">
        <v>74972</v>
      </c>
      <c r="D8" s="1540">
        <v>74625</v>
      </c>
      <c r="E8" s="2045">
        <v>74077</v>
      </c>
      <c r="F8" s="2046">
        <v>73158</v>
      </c>
      <c r="G8" s="1529">
        <v>71651</v>
      </c>
      <c r="H8" s="1529">
        <v>70277</v>
      </c>
      <c r="I8" s="2045">
        <v>69372</v>
      </c>
      <c r="J8" s="2526">
        <v>68352</v>
      </c>
      <c r="K8" s="2046">
        <v>75005</v>
      </c>
      <c r="L8" s="1529">
        <v>71127</v>
      </c>
    </row>
    <row r="9" spans="1:12" ht="18" customHeight="1" x14ac:dyDescent="0.25">
      <c r="A9" s="2521" t="s">
        <v>1029</v>
      </c>
      <c r="B9" s="2527">
        <v>0.11</v>
      </c>
      <c r="C9" s="2528">
        <v>0.122</v>
      </c>
      <c r="D9" s="2529">
        <v>0.10100000000000001</v>
      </c>
      <c r="E9" s="2530">
        <v>5.5E-2</v>
      </c>
      <c r="F9" s="2531">
        <v>8.3000000000000004E-2</v>
      </c>
      <c r="G9" s="2528">
        <v>9.8000000000000004E-2</v>
      </c>
      <c r="H9" s="2528">
        <v>0.112</v>
      </c>
      <c r="I9" s="2530">
        <v>0.11799999999999999</v>
      </c>
      <c r="J9" s="2532">
        <v>7.0000000000000007E-2</v>
      </c>
      <c r="K9" s="2531">
        <v>9.7000000000000003E-2</v>
      </c>
      <c r="L9" s="2528">
        <v>0.10199999999999999</v>
      </c>
    </row>
    <row r="10" spans="1:12" ht="18" customHeight="1" x14ac:dyDescent="0.25">
      <c r="A10" s="2521"/>
      <c r="B10" s="2519"/>
      <c r="C10" s="2520"/>
      <c r="D10" s="2533"/>
      <c r="E10" s="2521"/>
      <c r="F10" s="2522"/>
      <c r="G10" s="2520"/>
      <c r="H10" s="2520"/>
      <c r="I10" s="2521"/>
      <c r="J10" s="2523"/>
      <c r="K10" s="2522"/>
      <c r="L10" s="2520"/>
    </row>
    <row r="11" spans="1:12" ht="18" customHeight="1" x14ac:dyDescent="0.25">
      <c r="A11" s="2524" t="s">
        <v>312</v>
      </c>
      <c r="B11" s="2519"/>
      <c r="C11" s="2520"/>
      <c r="D11" s="2533"/>
      <c r="E11" s="2521"/>
      <c r="F11" s="2522"/>
      <c r="G11" s="2520"/>
      <c r="H11" s="2520"/>
      <c r="I11" s="2521"/>
      <c r="J11" s="2523"/>
      <c r="K11" s="2522"/>
      <c r="L11" s="2520"/>
    </row>
    <row r="12" spans="1:12" ht="18" customHeight="1" x14ac:dyDescent="0.25">
      <c r="A12" s="2521" t="s">
        <v>178</v>
      </c>
      <c r="B12" s="2525">
        <v>2403</v>
      </c>
      <c r="C12" s="1529">
        <v>2341</v>
      </c>
      <c r="D12" s="1540">
        <v>1897</v>
      </c>
      <c r="E12" s="2045">
        <v>2203</v>
      </c>
      <c r="F12" s="2046">
        <v>1951</v>
      </c>
      <c r="G12" s="1529">
        <v>2033</v>
      </c>
      <c r="H12" s="1529">
        <v>1956</v>
      </c>
      <c r="I12" s="2045">
        <v>2079</v>
      </c>
      <c r="J12" s="2526">
        <v>1500</v>
      </c>
      <c r="K12" s="2046">
        <v>8844</v>
      </c>
      <c r="L12" s="1529">
        <v>8019</v>
      </c>
    </row>
    <row r="13" spans="1:12" ht="18" customHeight="1" x14ac:dyDescent="0.25">
      <c r="A13" s="2521" t="s">
        <v>1029</v>
      </c>
      <c r="B13" s="2527">
        <v>0.125</v>
      </c>
      <c r="C13" s="2528">
        <v>0.124</v>
      </c>
      <c r="D13" s="2529">
        <v>0.104</v>
      </c>
      <c r="E13" s="2530">
        <v>0.11799999999999999</v>
      </c>
      <c r="F13" s="2531">
        <v>0.106</v>
      </c>
      <c r="G13" s="2528">
        <v>0.113</v>
      </c>
      <c r="H13" s="2528">
        <v>0.113</v>
      </c>
      <c r="I13" s="2530">
        <v>0.11899999999999999</v>
      </c>
      <c r="J13" s="2532">
        <v>8.6999999999999994E-2</v>
      </c>
      <c r="K13" s="2531">
        <v>0.11799999999999999</v>
      </c>
      <c r="L13" s="2528">
        <v>0.113</v>
      </c>
    </row>
    <row r="14" spans="1:12" ht="18" customHeight="1" x14ac:dyDescent="0.25">
      <c r="A14" s="2534"/>
      <c r="B14" s="2535"/>
      <c r="C14" s="2536"/>
      <c r="D14" s="2537"/>
      <c r="E14" s="2534"/>
      <c r="F14" s="2538"/>
      <c r="G14" s="2536"/>
      <c r="H14" s="2536"/>
      <c r="I14" s="2534"/>
      <c r="J14" s="2539"/>
      <c r="K14" s="2538"/>
      <c r="L14" s="2536"/>
    </row>
    <row r="15" spans="1:12" ht="18" customHeight="1" x14ac:dyDescent="0.25">
      <c r="A15" s="2518" t="s">
        <v>1030</v>
      </c>
      <c r="B15" s="2519"/>
      <c r="C15" s="2520"/>
      <c r="D15" s="2533"/>
      <c r="E15" s="2521"/>
      <c r="F15" s="2522"/>
      <c r="G15" s="2520"/>
      <c r="H15" s="2520"/>
      <c r="I15" s="2521"/>
      <c r="J15" s="2523"/>
      <c r="K15" s="2522"/>
      <c r="L15" s="2520"/>
    </row>
    <row r="16" spans="1:12" ht="18" customHeight="1" x14ac:dyDescent="0.25">
      <c r="A16" s="2524" t="s">
        <v>307</v>
      </c>
      <c r="B16" s="2519"/>
      <c r="C16" s="2520"/>
      <c r="D16" s="2533"/>
      <c r="E16" s="2521"/>
      <c r="F16" s="2522"/>
      <c r="G16" s="2520"/>
      <c r="H16" s="2520"/>
      <c r="I16" s="2521"/>
      <c r="J16" s="2523"/>
      <c r="K16" s="2522"/>
      <c r="L16" s="2520"/>
    </row>
    <row r="17" spans="1:12" ht="18" customHeight="1" x14ac:dyDescent="0.25">
      <c r="A17" s="2521" t="s">
        <v>178</v>
      </c>
      <c r="B17" s="2525">
        <v>941</v>
      </c>
      <c r="C17" s="1529">
        <v>958</v>
      </c>
      <c r="D17" s="1540">
        <v>613</v>
      </c>
      <c r="E17" s="2045">
        <v>913</v>
      </c>
      <c r="F17" s="2046">
        <v>934</v>
      </c>
      <c r="G17" s="1529">
        <v>977</v>
      </c>
      <c r="H17" s="1529">
        <v>893</v>
      </c>
      <c r="I17" s="2045">
        <v>972</v>
      </c>
      <c r="J17" s="2526">
        <v>708</v>
      </c>
      <c r="K17" s="2046">
        <v>3425</v>
      </c>
      <c r="L17" s="1529">
        <v>3776</v>
      </c>
    </row>
    <row r="18" spans="1:12" ht="18" customHeight="1" x14ac:dyDescent="0.25">
      <c r="A18" s="2521" t="s">
        <v>1028</v>
      </c>
      <c r="B18" s="2525">
        <v>20964</v>
      </c>
      <c r="C18" s="1529">
        <v>20624</v>
      </c>
      <c r="D18" s="1540">
        <v>20893</v>
      </c>
      <c r="E18" s="2045">
        <v>21636</v>
      </c>
      <c r="F18" s="2046">
        <v>21280</v>
      </c>
      <c r="G18" s="1529">
        <v>20535</v>
      </c>
      <c r="H18" s="1529">
        <v>20507</v>
      </c>
      <c r="I18" s="2045">
        <v>20015</v>
      </c>
      <c r="J18" s="2526">
        <v>18881</v>
      </c>
      <c r="K18" s="2046">
        <v>21030</v>
      </c>
      <c r="L18" s="1529">
        <v>20585</v>
      </c>
    </row>
    <row r="19" spans="1:12" ht="18" customHeight="1" x14ac:dyDescent="0.25">
      <c r="A19" s="2521" t="s">
        <v>1029</v>
      </c>
      <c r="B19" s="2527">
        <v>0.17799999999999999</v>
      </c>
      <c r="C19" s="2528">
        <v>0.184</v>
      </c>
      <c r="D19" s="2529">
        <v>0.12</v>
      </c>
      <c r="E19" s="2530">
        <v>0.16700000000000001</v>
      </c>
      <c r="F19" s="2531">
        <v>0.17499999999999999</v>
      </c>
      <c r="G19" s="2528">
        <v>0.189</v>
      </c>
      <c r="H19" s="2528">
        <v>0.17699999999999999</v>
      </c>
      <c r="I19" s="2530">
        <v>0.193</v>
      </c>
      <c r="J19" s="2532">
        <v>0.14899999999999999</v>
      </c>
      <c r="K19" s="2531">
        <v>0.16300000000000001</v>
      </c>
      <c r="L19" s="2528">
        <v>0.183</v>
      </c>
    </row>
    <row r="20" spans="1:12" ht="18" customHeight="1" x14ac:dyDescent="0.25">
      <c r="A20" s="2521"/>
      <c r="B20" s="2519"/>
      <c r="C20" s="2520"/>
      <c r="D20" s="2533"/>
      <c r="E20" s="2521"/>
      <c r="F20" s="2522"/>
      <c r="G20" s="2520"/>
      <c r="H20" s="2520"/>
      <c r="I20" s="2521"/>
      <c r="J20" s="2523"/>
      <c r="K20" s="2522"/>
      <c r="L20" s="2520"/>
    </row>
    <row r="21" spans="1:12" ht="18" customHeight="1" x14ac:dyDescent="0.25">
      <c r="A21" s="2524" t="s">
        <v>312</v>
      </c>
      <c r="B21" s="2519"/>
      <c r="C21" s="2520"/>
      <c r="D21" s="2533"/>
      <c r="E21" s="2521"/>
      <c r="F21" s="2522"/>
      <c r="G21" s="2520"/>
      <c r="H21" s="2520"/>
      <c r="I21" s="2521"/>
      <c r="J21" s="2523"/>
      <c r="K21" s="2522"/>
      <c r="L21" s="2520"/>
    </row>
    <row r="22" spans="1:12" ht="18" customHeight="1" x14ac:dyDescent="0.25">
      <c r="A22" s="2521" t="s">
        <v>178</v>
      </c>
      <c r="B22" s="2525">
        <v>942</v>
      </c>
      <c r="C22" s="1529">
        <v>959</v>
      </c>
      <c r="D22" s="1540">
        <v>613</v>
      </c>
      <c r="E22" s="2045">
        <v>914</v>
      </c>
      <c r="F22" s="2046">
        <v>935</v>
      </c>
      <c r="G22" s="1529">
        <v>978</v>
      </c>
      <c r="H22" s="1529">
        <v>893</v>
      </c>
      <c r="I22" s="2045">
        <v>973</v>
      </c>
      <c r="J22" s="2526">
        <v>708</v>
      </c>
      <c r="K22" s="2046">
        <v>3428</v>
      </c>
      <c r="L22" s="1529">
        <v>3779</v>
      </c>
    </row>
    <row r="23" spans="1:12" ht="18" customHeight="1" x14ac:dyDescent="0.25">
      <c r="A23" s="2521" t="s">
        <v>1029</v>
      </c>
      <c r="B23" s="2527">
        <v>0.17799999999999999</v>
      </c>
      <c r="C23" s="2528">
        <v>0.185</v>
      </c>
      <c r="D23" s="2529">
        <v>0.12</v>
      </c>
      <c r="E23" s="2530">
        <v>0.16700000000000001</v>
      </c>
      <c r="F23" s="2531">
        <v>0.17499999999999999</v>
      </c>
      <c r="G23" s="2528">
        <v>0.19</v>
      </c>
      <c r="H23" s="2528">
        <v>0.17699999999999999</v>
      </c>
      <c r="I23" s="2530">
        <v>0.193</v>
      </c>
      <c r="J23" s="2532">
        <v>0.14899999999999999</v>
      </c>
      <c r="K23" s="2531">
        <v>0.16300000000000001</v>
      </c>
      <c r="L23" s="2528">
        <v>0.184</v>
      </c>
    </row>
    <row r="24" spans="1:12" ht="18" customHeight="1" x14ac:dyDescent="0.25">
      <c r="A24" s="2540"/>
      <c r="B24" s="2541"/>
      <c r="C24" s="2542"/>
      <c r="D24" s="2543"/>
      <c r="E24" s="2540"/>
      <c r="F24" s="2544"/>
      <c r="G24" s="2542"/>
      <c r="H24" s="2542"/>
      <c r="I24" s="2540"/>
      <c r="J24" s="2545"/>
      <c r="K24" s="2544"/>
      <c r="L24" s="2542"/>
    </row>
    <row r="25" spans="1:12" ht="18" customHeight="1" x14ac:dyDescent="0.25">
      <c r="A25" s="2518" t="s">
        <v>1031</v>
      </c>
      <c r="B25" s="2519"/>
      <c r="C25" s="2520"/>
      <c r="D25" s="2533"/>
      <c r="E25" s="2521"/>
      <c r="F25" s="2522"/>
      <c r="G25" s="2520"/>
      <c r="H25" s="2520"/>
      <c r="I25" s="2521"/>
      <c r="J25" s="2523"/>
      <c r="K25" s="2522"/>
      <c r="L25" s="2520"/>
    </row>
    <row r="26" spans="1:12" ht="18" customHeight="1" x14ac:dyDescent="0.25">
      <c r="A26" s="2524" t="s">
        <v>307</v>
      </c>
      <c r="B26" s="2519"/>
      <c r="C26" s="2520"/>
      <c r="D26" s="2533"/>
      <c r="E26" s="2521"/>
      <c r="F26" s="2522"/>
      <c r="G26" s="2520"/>
      <c r="H26" s="2520"/>
      <c r="I26" s="2521"/>
      <c r="J26" s="2523"/>
      <c r="K26" s="2522"/>
      <c r="L26" s="2520"/>
    </row>
    <row r="27" spans="1:12" ht="18" customHeight="1" x14ac:dyDescent="0.25">
      <c r="A27" s="2521" t="s">
        <v>178</v>
      </c>
      <c r="B27" s="2525">
        <v>634</v>
      </c>
      <c r="C27" s="1529">
        <v>670</v>
      </c>
      <c r="D27" s="1540">
        <v>676</v>
      </c>
      <c r="E27" s="2045">
        <v>651</v>
      </c>
      <c r="F27" s="2046">
        <v>600</v>
      </c>
      <c r="G27" s="1529">
        <v>629</v>
      </c>
      <c r="H27" s="1529">
        <v>639</v>
      </c>
      <c r="I27" s="2045">
        <v>712</v>
      </c>
      <c r="J27" s="2526">
        <v>517</v>
      </c>
      <c r="K27" s="2046">
        <v>2631</v>
      </c>
      <c r="L27" s="1529">
        <v>2580</v>
      </c>
    </row>
    <row r="28" spans="1:12" ht="18" customHeight="1" x14ac:dyDescent="0.25">
      <c r="A28" s="2521" t="s">
        <v>1028</v>
      </c>
      <c r="B28" s="2525">
        <v>18110</v>
      </c>
      <c r="C28" s="1529">
        <v>17856</v>
      </c>
      <c r="D28" s="1540">
        <v>18087</v>
      </c>
      <c r="E28" s="2045">
        <v>18191</v>
      </c>
      <c r="F28" s="2046">
        <v>18788</v>
      </c>
      <c r="G28" s="1529">
        <v>19077</v>
      </c>
      <c r="H28" s="1529">
        <v>19144</v>
      </c>
      <c r="I28" s="2045">
        <v>19582</v>
      </c>
      <c r="J28" s="2526">
        <v>18188</v>
      </c>
      <c r="K28" s="2046">
        <v>18061</v>
      </c>
      <c r="L28" s="1529">
        <v>19148</v>
      </c>
    </row>
    <row r="29" spans="1:12" ht="18" customHeight="1" x14ac:dyDescent="0.25">
      <c r="A29" s="2521" t="s">
        <v>1029</v>
      </c>
      <c r="B29" s="2527">
        <v>0.13900000000000001</v>
      </c>
      <c r="C29" s="2528">
        <v>0.14899999999999999</v>
      </c>
      <c r="D29" s="2529">
        <v>0.153</v>
      </c>
      <c r="E29" s="2530">
        <v>0.14199999999999999</v>
      </c>
      <c r="F29" s="2531">
        <v>0.127</v>
      </c>
      <c r="G29" s="2528">
        <v>0.13100000000000001</v>
      </c>
      <c r="H29" s="2528">
        <v>0.13600000000000001</v>
      </c>
      <c r="I29" s="2530">
        <v>0.14499999999999999</v>
      </c>
      <c r="J29" s="2532">
        <v>0.113</v>
      </c>
      <c r="K29" s="2531">
        <v>0.14599999999999999</v>
      </c>
      <c r="L29" s="2528">
        <v>0.13500000000000001</v>
      </c>
    </row>
    <row r="30" spans="1:12" ht="18" customHeight="1" x14ac:dyDescent="0.25">
      <c r="A30" s="2521"/>
      <c r="B30" s="2519"/>
      <c r="C30" s="2520"/>
      <c r="D30" s="2533"/>
      <c r="E30" s="2521"/>
      <c r="F30" s="2522"/>
      <c r="G30" s="2520"/>
      <c r="H30" s="2520"/>
      <c r="I30" s="2521"/>
      <c r="J30" s="2523"/>
      <c r="K30" s="2522"/>
      <c r="L30" s="2520"/>
    </row>
    <row r="31" spans="1:12" ht="18" customHeight="1" x14ac:dyDescent="0.25">
      <c r="A31" s="2524" t="s">
        <v>312</v>
      </c>
      <c r="B31" s="2519"/>
      <c r="C31" s="2520"/>
      <c r="D31" s="2533"/>
      <c r="E31" s="2521"/>
      <c r="F31" s="2522"/>
      <c r="G31" s="2520"/>
      <c r="H31" s="2520"/>
      <c r="I31" s="2521"/>
      <c r="J31" s="2523"/>
      <c r="K31" s="2522"/>
      <c r="L31" s="2520"/>
    </row>
    <row r="32" spans="1:12" ht="18" customHeight="1" x14ac:dyDescent="0.25">
      <c r="A32" s="2521" t="s">
        <v>178</v>
      </c>
      <c r="B32" s="2525">
        <v>638</v>
      </c>
      <c r="C32" s="1529">
        <v>675</v>
      </c>
      <c r="D32" s="1540">
        <v>681</v>
      </c>
      <c r="E32" s="2045">
        <v>657</v>
      </c>
      <c r="F32" s="2046">
        <v>606</v>
      </c>
      <c r="G32" s="1529">
        <v>634</v>
      </c>
      <c r="H32" s="1529">
        <v>645</v>
      </c>
      <c r="I32" s="2045">
        <v>718</v>
      </c>
      <c r="J32" s="2526">
        <v>525</v>
      </c>
      <c r="K32" s="2046">
        <v>2651</v>
      </c>
      <c r="L32" s="1529">
        <v>2603</v>
      </c>
    </row>
    <row r="33" spans="1:12" ht="18" customHeight="1" x14ac:dyDescent="0.25">
      <c r="A33" s="2521" t="s">
        <v>1029</v>
      </c>
      <c r="B33" s="2527">
        <v>0.14000000000000001</v>
      </c>
      <c r="C33" s="2528">
        <v>0.15</v>
      </c>
      <c r="D33" s="2529">
        <v>0.155</v>
      </c>
      <c r="E33" s="2530">
        <v>0.14299999999999999</v>
      </c>
      <c r="F33" s="2531">
        <v>0.128</v>
      </c>
      <c r="G33" s="2528">
        <v>0.13200000000000001</v>
      </c>
      <c r="H33" s="2528">
        <v>0.13700000000000001</v>
      </c>
      <c r="I33" s="2530">
        <v>0.14599999999999999</v>
      </c>
      <c r="J33" s="2532">
        <v>0.114</v>
      </c>
      <c r="K33" s="2531">
        <v>0.14699999999999999</v>
      </c>
      <c r="L33" s="2528">
        <v>0.13600000000000001</v>
      </c>
    </row>
    <row r="34" spans="1:12" ht="18" customHeight="1" x14ac:dyDescent="0.25">
      <c r="A34" s="2540"/>
      <c r="B34" s="2541"/>
      <c r="C34" s="2542"/>
      <c r="D34" s="2543"/>
      <c r="E34" s="2540"/>
      <c r="F34" s="2544"/>
      <c r="G34" s="2542"/>
      <c r="H34" s="2542"/>
      <c r="I34" s="2540"/>
      <c r="J34" s="2545"/>
      <c r="K34" s="2544"/>
      <c r="L34" s="2542"/>
    </row>
    <row r="35" spans="1:12" ht="18" customHeight="1" x14ac:dyDescent="0.25">
      <c r="A35" s="2518" t="s">
        <v>1032</v>
      </c>
      <c r="B35" s="2519"/>
      <c r="C35" s="2520"/>
      <c r="D35" s="2533"/>
      <c r="E35" s="2521"/>
      <c r="F35" s="2522"/>
      <c r="G35" s="2520"/>
      <c r="H35" s="2520"/>
      <c r="I35" s="2521"/>
      <c r="J35" s="2523"/>
      <c r="K35" s="2522"/>
      <c r="L35" s="2520"/>
    </row>
    <row r="36" spans="1:12" ht="18" customHeight="1" x14ac:dyDescent="0.25">
      <c r="A36" s="2524" t="s">
        <v>307</v>
      </c>
      <c r="B36" s="2519"/>
      <c r="C36" s="2520"/>
      <c r="D36" s="2533"/>
      <c r="E36" s="2521"/>
      <c r="F36" s="2522"/>
      <c r="G36" s="2520"/>
      <c r="H36" s="2520"/>
      <c r="I36" s="2521"/>
      <c r="J36" s="2523"/>
      <c r="K36" s="2522"/>
      <c r="L36" s="2520"/>
    </row>
    <row r="37" spans="1:12" ht="18" customHeight="1" x14ac:dyDescent="0.25">
      <c r="A37" s="2521" t="s">
        <v>178</v>
      </c>
      <c r="B37" s="2525">
        <v>447</v>
      </c>
      <c r="C37" s="1529">
        <v>417</v>
      </c>
      <c r="D37" s="1540">
        <v>399</v>
      </c>
      <c r="E37" s="2045">
        <v>407</v>
      </c>
      <c r="F37" s="2046">
        <v>380</v>
      </c>
      <c r="G37" s="1529">
        <v>367</v>
      </c>
      <c r="H37" s="1529">
        <v>340</v>
      </c>
      <c r="I37" s="2045">
        <v>330</v>
      </c>
      <c r="J37" s="2526">
        <v>286</v>
      </c>
      <c r="K37" s="2046">
        <v>1670</v>
      </c>
      <c r="L37" s="1529">
        <v>1417</v>
      </c>
    </row>
    <row r="38" spans="1:12" ht="18" customHeight="1" x14ac:dyDescent="0.25">
      <c r="A38" s="2521" t="s">
        <v>1028</v>
      </c>
      <c r="B38" s="2525">
        <v>10599</v>
      </c>
      <c r="C38" s="1529">
        <v>10552</v>
      </c>
      <c r="D38" s="1540">
        <v>10332</v>
      </c>
      <c r="E38" s="2045">
        <v>10183</v>
      </c>
      <c r="F38" s="2046">
        <v>10230</v>
      </c>
      <c r="G38" s="1529">
        <v>10195</v>
      </c>
      <c r="H38" s="1529">
        <v>10222</v>
      </c>
      <c r="I38" s="2045">
        <v>10193</v>
      </c>
      <c r="J38" s="2526">
        <v>9797</v>
      </c>
      <c r="K38" s="2046">
        <v>10417</v>
      </c>
      <c r="L38" s="1529">
        <v>10210</v>
      </c>
    </row>
    <row r="39" spans="1:12" ht="18" customHeight="1" x14ac:dyDescent="0.25">
      <c r="A39" s="2521" t="s">
        <v>1029</v>
      </c>
      <c r="B39" s="2527">
        <v>0.16700000000000001</v>
      </c>
      <c r="C39" s="2528">
        <v>0.157</v>
      </c>
      <c r="D39" s="2529">
        <v>0.158</v>
      </c>
      <c r="E39" s="2530">
        <v>0.158</v>
      </c>
      <c r="F39" s="2531">
        <v>0.14799999999999999</v>
      </c>
      <c r="G39" s="2528">
        <v>0.14299999999999999</v>
      </c>
      <c r="H39" s="2528">
        <v>0.13600000000000001</v>
      </c>
      <c r="I39" s="2530">
        <v>0.129</v>
      </c>
      <c r="J39" s="2532">
        <v>0.11600000000000001</v>
      </c>
      <c r="K39" s="2531">
        <v>0.16</v>
      </c>
      <c r="L39" s="2528">
        <v>0.13900000000000001</v>
      </c>
    </row>
    <row r="40" spans="1:12" ht="18" customHeight="1" x14ac:dyDescent="0.25">
      <c r="A40" s="2521"/>
      <c r="B40" s="2519"/>
      <c r="C40" s="2520"/>
      <c r="D40" s="2533"/>
      <c r="E40" s="2521"/>
      <c r="F40" s="2522"/>
      <c r="G40" s="2520"/>
      <c r="H40" s="2520"/>
      <c r="I40" s="2521"/>
      <c r="J40" s="2523"/>
      <c r="K40" s="2522"/>
      <c r="L40" s="2520"/>
    </row>
    <row r="41" spans="1:12" ht="18" customHeight="1" x14ac:dyDescent="0.25">
      <c r="A41" s="2524" t="s">
        <v>312</v>
      </c>
      <c r="B41" s="2519"/>
      <c r="C41" s="2520"/>
      <c r="D41" s="2533"/>
      <c r="E41" s="2521"/>
      <c r="F41" s="2522"/>
      <c r="G41" s="2520"/>
      <c r="H41" s="2520"/>
      <c r="I41" s="2521"/>
      <c r="J41" s="2523"/>
      <c r="K41" s="2522"/>
      <c r="L41" s="2520"/>
    </row>
    <row r="42" spans="1:12" ht="18" customHeight="1" x14ac:dyDescent="0.25">
      <c r="A42" s="2521" t="s">
        <v>178</v>
      </c>
      <c r="B42" s="2525">
        <v>453</v>
      </c>
      <c r="C42" s="1529">
        <v>424</v>
      </c>
      <c r="D42" s="1540">
        <v>405</v>
      </c>
      <c r="E42" s="2045">
        <v>414</v>
      </c>
      <c r="F42" s="2046">
        <v>386</v>
      </c>
      <c r="G42" s="1529">
        <v>374</v>
      </c>
      <c r="H42" s="1529">
        <v>347</v>
      </c>
      <c r="I42" s="2045">
        <v>336</v>
      </c>
      <c r="J42" s="2526">
        <v>292</v>
      </c>
      <c r="K42" s="2046">
        <v>1696</v>
      </c>
      <c r="L42" s="1529">
        <v>1443</v>
      </c>
    </row>
    <row r="43" spans="1:12" ht="18" customHeight="1" x14ac:dyDescent="0.25">
      <c r="A43" s="2521" t="s">
        <v>1029</v>
      </c>
      <c r="B43" s="2527">
        <v>0.17</v>
      </c>
      <c r="C43" s="2528">
        <v>0.159</v>
      </c>
      <c r="D43" s="2529">
        <v>0.161</v>
      </c>
      <c r="E43" s="2530">
        <v>0.161</v>
      </c>
      <c r="F43" s="2531">
        <v>0.15</v>
      </c>
      <c r="G43" s="2528">
        <v>0.14599999999999999</v>
      </c>
      <c r="H43" s="2528">
        <v>0.13800000000000001</v>
      </c>
      <c r="I43" s="2530">
        <v>0.13100000000000001</v>
      </c>
      <c r="J43" s="2532">
        <v>0.11799999999999999</v>
      </c>
      <c r="K43" s="2531">
        <v>0.16300000000000001</v>
      </c>
      <c r="L43" s="2528">
        <v>0.14099999999999999</v>
      </c>
    </row>
    <row r="44" spans="1:12" ht="18" customHeight="1" x14ac:dyDescent="0.25">
      <c r="A44" s="2540"/>
      <c r="B44" s="2541"/>
      <c r="C44" s="2542"/>
      <c r="D44" s="2543"/>
      <c r="E44" s="2540"/>
      <c r="F44" s="2544"/>
      <c r="G44" s="2542"/>
      <c r="H44" s="2542"/>
      <c r="I44" s="2540"/>
      <c r="J44" s="2545"/>
      <c r="K44" s="2544"/>
      <c r="L44" s="2542"/>
    </row>
    <row r="45" spans="1:12" ht="18" customHeight="1" x14ac:dyDescent="0.25">
      <c r="A45" s="2546" t="s">
        <v>874</v>
      </c>
      <c r="B45" s="2547"/>
      <c r="C45" s="2548"/>
      <c r="D45" s="2514"/>
      <c r="E45" s="2549"/>
      <c r="F45" s="2550"/>
      <c r="G45" s="2548"/>
      <c r="H45" s="2548"/>
      <c r="I45" s="2549"/>
      <c r="J45" s="2551"/>
      <c r="K45" s="2550"/>
      <c r="L45" s="2548"/>
    </row>
    <row r="46" spans="1:12" ht="18" customHeight="1" x14ac:dyDescent="0.25">
      <c r="A46" s="2524" t="s">
        <v>307</v>
      </c>
      <c r="B46" s="2519"/>
      <c r="C46" s="2520"/>
      <c r="D46" s="2533"/>
      <c r="E46" s="2521"/>
      <c r="F46" s="2522"/>
      <c r="G46" s="2520"/>
      <c r="H46" s="2520"/>
      <c r="I46" s="2521"/>
      <c r="J46" s="2523"/>
      <c r="K46" s="2522"/>
      <c r="L46" s="2520"/>
    </row>
    <row r="47" spans="1:12" ht="18" customHeight="1" x14ac:dyDescent="0.25">
      <c r="A47" s="2521" t="s">
        <v>178</v>
      </c>
      <c r="B47" s="2525">
        <v>519</v>
      </c>
      <c r="C47" s="1529">
        <v>473</v>
      </c>
      <c r="D47" s="1540">
        <v>413</v>
      </c>
      <c r="E47" s="2045">
        <v>517</v>
      </c>
      <c r="F47" s="2046">
        <v>347</v>
      </c>
      <c r="G47" s="1529">
        <v>368</v>
      </c>
      <c r="H47" s="1529">
        <v>374</v>
      </c>
      <c r="I47" s="2045">
        <v>388</v>
      </c>
      <c r="J47" s="2526">
        <v>363</v>
      </c>
      <c r="K47" s="2046">
        <v>1922</v>
      </c>
      <c r="L47" s="1529">
        <v>1477</v>
      </c>
    </row>
    <row r="48" spans="1:12" ht="18" customHeight="1" x14ac:dyDescent="0.25">
      <c r="A48" s="2521" t="s">
        <v>1028</v>
      </c>
      <c r="B48" s="2525">
        <v>14664</v>
      </c>
      <c r="C48" s="1529">
        <v>14879</v>
      </c>
      <c r="D48" s="1540">
        <v>14970</v>
      </c>
      <c r="E48" s="2045">
        <v>15361</v>
      </c>
      <c r="F48" s="2046">
        <v>15369</v>
      </c>
      <c r="G48" s="1529">
        <v>15389</v>
      </c>
      <c r="H48" s="1529">
        <v>14865</v>
      </c>
      <c r="I48" s="2045">
        <v>15734</v>
      </c>
      <c r="J48" s="2526">
        <v>13287</v>
      </c>
      <c r="K48" s="2046">
        <v>14968</v>
      </c>
      <c r="L48" s="1529">
        <v>15342</v>
      </c>
    </row>
    <row r="49" spans="1:12" ht="19.05" customHeight="1" x14ac:dyDescent="0.25">
      <c r="A49" s="2534" t="s">
        <v>1029</v>
      </c>
      <c r="B49" s="2552">
        <v>0.14099999999999999</v>
      </c>
      <c r="C49" s="2553">
        <v>0.126</v>
      </c>
      <c r="D49" s="2554">
        <v>0.113</v>
      </c>
      <c r="E49" s="2555">
        <v>0.13300000000000001</v>
      </c>
      <c r="F49" s="2556">
        <v>0.09</v>
      </c>
      <c r="G49" s="2553">
        <v>9.5000000000000001E-2</v>
      </c>
      <c r="H49" s="2553">
        <v>0.10199999999999999</v>
      </c>
      <c r="I49" s="2555">
        <v>9.8000000000000004E-2</v>
      </c>
      <c r="J49" s="2557">
        <v>0.108</v>
      </c>
      <c r="K49" s="2556">
        <v>0.128</v>
      </c>
      <c r="L49" s="2553">
        <v>9.6000000000000002E-2</v>
      </c>
    </row>
    <row r="50" spans="1:12" ht="5.25" customHeight="1" x14ac:dyDescent="0.25">
      <c r="A50" s="2558"/>
      <c r="B50" s="2559"/>
      <c r="C50" s="2559"/>
      <c r="D50" s="2560"/>
      <c r="E50" s="2559"/>
      <c r="F50" s="2559"/>
      <c r="G50" s="2559"/>
      <c r="H50" s="2559"/>
      <c r="I50" s="2559"/>
      <c r="J50" s="2559"/>
      <c r="K50" s="2559"/>
      <c r="L50" s="2559"/>
    </row>
    <row r="51" spans="1:12" ht="19.05" customHeight="1" x14ac:dyDescent="0.25">
      <c r="A51" s="2913" t="s">
        <v>1033</v>
      </c>
      <c r="B51" s="2913" t="s">
        <v>15</v>
      </c>
      <c r="C51" s="2913" t="s">
        <v>15</v>
      </c>
      <c r="D51" s="2913" t="s">
        <v>15</v>
      </c>
      <c r="E51" s="2913" t="s">
        <v>15</v>
      </c>
      <c r="F51" s="2913" t="s">
        <v>15</v>
      </c>
      <c r="G51" s="2913" t="s">
        <v>15</v>
      </c>
      <c r="H51" s="2913" t="s">
        <v>15</v>
      </c>
      <c r="I51" s="2913" t="s">
        <v>15</v>
      </c>
      <c r="J51" s="2913" t="s">
        <v>15</v>
      </c>
      <c r="K51" s="2913" t="s">
        <v>15</v>
      </c>
      <c r="L51" s="2913" t="s">
        <v>15</v>
      </c>
    </row>
    <row r="52" spans="1:12" ht="19.05" customHeight="1" x14ac:dyDescent="0.25">
      <c r="A52" s="2913" t="s">
        <v>1034</v>
      </c>
      <c r="B52" s="2913" t="s">
        <v>15</v>
      </c>
      <c r="C52" s="2913" t="s">
        <v>15</v>
      </c>
      <c r="D52" s="2913" t="s">
        <v>15</v>
      </c>
      <c r="E52" s="2913" t="s">
        <v>15</v>
      </c>
      <c r="F52" s="2913" t="s">
        <v>15</v>
      </c>
      <c r="G52" s="2913" t="s">
        <v>15</v>
      </c>
      <c r="H52" s="2913" t="s">
        <v>15</v>
      </c>
      <c r="I52" s="2913" t="s">
        <v>15</v>
      </c>
      <c r="J52" s="2913" t="s">
        <v>15</v>
      </c>
      <c r="K52" s="2913" t="s">
        <v>15</v>
      </c>
      <c r="L52" s="2913" t="s">
        <v>15</v>
      </c>
    </row>
    <row r="53" spans="1:12" ht="19.05" customHeight="1" x14ac:dyDescent="0.25">
      <c r="A53" s="2959"/>
      <c r="B53" s="2959" t="s">
        <v>15</v>
      </c>
      <c r="C53" s="2959" t="s">
        <v>15</v>
      </c>
      <c r="D53" s="2959" t="s">
        <v>15</v>
      </c>
      <c r="E53" s="2959" t="s">
        <v>15</v>
      </c>
      <c r="F53" s="2959" t="s">
        <v>15</v>
      </c>
      <c r="G53" s="2959" t="s">
        <v>15</v>
      </c>
      <c r="H53" s="2959" t="s">
        <v>15</v>
      </c>
      <c r="I53" s="2959" t="s">
        <v>15</v>
      </c>
      <c r="J53" s="2959" t="s">
        <v>15</v>
      </c>
      <c r="K53" s="2959" t="s">
        <v>15</v>
      </c>
      <c r="L53" s="2959" t="s">
        <v>15</v>
      </c>
    </row>
    <row r="54" spans="1:12" ht="19.05" customHeight="1" x14ac:dyDescent="0.25">
      <c r="A54" s="2561"/>
      <c r="B54" s="2562"/>
      <c r="C54" s="2562"/>
      <c r="D54" s="2563"/>
      <c r="E54" s="2562"/>
      <c r="F54" s="2562"/>
      <c r="G54" s="2562"/>
      <c r="H54" s="2562"/>
      <c r="I54" s="2562"/>
      <c r="J54" s="2562"/>
      <c r="K54" s="2562"/>
      <c r="L54" s="2562"/>
    </row>
  </sheetData>
  <mergeCells count="7">
    <mergeCell ref="A53:L53"/>
    <mergeCell ref="A2:L2"/>
    <mergeCell ref="B3:E3"/>
    <mergeCell ref="F3:I3"/>
    <mergeCell ref="K3:L3"/>
    <mergeCell ref="A51:L51"/>
    <mergeCell ref="A52:L52"/>
  </mergeCells>
  <hyperlinks>
    <hyperlink ref="A1" location="ToC!A2" display="Back to Table of Contents" xr:uid="{A85DE288-D660-47AB-89A9-08EC5524EC63}"/>
  </hyperlinks>
  <pageMargins left="0.5" right="0.5" top="0.5" bottom="0.5" header="0.25" footer="0.25"/>
  <pageSetup scale="56" orientation="landscape" horizontalDpi="72" verticalDpi="72" r:id="rId1"/>
  <headerFooter>
    <oddFooter>&amp;L&amp;G&amp;C&amp;"Scotia,Regular"&amp;9Supplementary Financial Information (SFI)&amp;R35&amp;"Scotia,Regular"&amp;7</oddFooter>
  </headerFooter>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3F07-482D-4033-A105-42E6F85863C3}">
  <sheetPr>
    <pageSetUpPr fitToPage="1"/>
  </sheetPr>
  <dimension ref="A1:L60"/>
  <sheetViews>
    <sheetView showGridLines="0" zoomScaleNormal="100" workbookViewId="0"/>
  </sheetViews>
  <sheetFormatPr defaultColWidth="8.77734375" defaultRowHeight="13.2" x14ac:dyDescent="0.25"/>
  <cols>
    <col min="1" max="1" width="70.77734375" style="23" customWidth="1"/>
    <col min="2" max="12" width="15.5546875" style="23" customWidth="1"/>
    <col min="13" max="16384" width="8.77734375" style="23"/>
  </cols>
  <sheetData>
    <row r="1" spans="1:12" ht="19.95" customHeight="1" x14ac:dyDescent="0.25">
      <c r="A1" s="22" t="s">
        <v>12</v>
      </c>
    </row>
    <row r="2" spans="1:12" ht="25.05" customHeight="1" x14ac:dyDescent="0.25">
      <c r="A2" s="2968" t="s">
        <v>969</v>
      </c>
      <c r="B2" s="2968" t="s">
        <v>15</v>
      </c>
      <c r="C2" s="2968" t="s">
        <v>15</v>
      </c>
      <c r="D2" s="2968" t="s">
        <v>15</v>
      </c>
      <c r="E2" s="2968" t="s">
        <v>15</v>
      </c>
      <c r="F2" s="2968" t="s">
        <v>15</v>
      </c>
      <c r="G2" s="2968" t="s">
        <v>15</v>
      </c>
      <c r="H2" s="2968" t="s">
        <v>15</v>
      </c>
      <c r="I2" s="2968" t="s">
        <v>15</v>
      </c>
      <c r="J2" s="2968" t="s">
        <v>15</v>
      </c>
      <c r="K2" s="2968" t="s">
        <v>15</v>
      </c>
      <c r="L2" s="2968" t="s">
        <v>15</v>
      </c>
    </row>
    <row r="3" spans="1:12" ht="18.600000000000001" customHeight="1" x14ac:dyDescent="0.25">
      <c r="A3" s="2564" t="s">
        <v>1035</v>
      </c>
      <c r="B3" s="2969"/>
      <c r="C3" s="2970"/>
      <c r="D3" s="2970"/>
      <c r="E3" s="2971"/>
      <c r="F3" s="2972"/>
      <c r="G3" s="2973"/>
      <c r="H3" s="2973"/>
      <c r="I3" s="2974"/>
      <c r="J3" s="2565"/>
      <c r="K3" s="2975" t="s">
        <v>163</v>
      </c>
      <c r="L3" s="2976" t="s">
        <v>15</v>
      </c>
    </row>
    <row r="4" spans="1:12" ht="18.600000000000001" customHeight="1" x14ac:dyDescent="0.25">
      <c r="A4" s="2566" t="s">
        <v>556</v>
      </c>
      <c r="B4" s="2567" t="s">
        <v>165</v>
      </c>
      <c r="C4" s="2568" t="s">
        <v>166</v>
      </c>
      <c r="D4" s="2568" t="s">
        <v>167</v>
      </c>
      <c r="E4" s="2569" t="s">
        <v>168</v>
      </c>
      <c r="F4" s="2570" t="s">
        <v>169</v>
      </c>
      <c r="G4" s="2568" t="s">
        <v>170</v>
      </c>
      <c r="H4" s="2568" t="s">
        <v>171</v>
      </c>
      <c r="I4" s="2569" t="s">
        <v>172</v>
      </c>
      <c r="J4" s="2571" t="s">
        <v>173</v>
      </c>
      <c r="K4" s="2570">
        <v>2025</v>
      </c>
      <c r="L4" s="2572">
        <v>2024</v>
      </c>
    </row>
    <row r="5" spans="1:12" ht="18.600000000000001" customHeight="1" x14ac:dyDescent="0.25">
      <c r="A5" s="2573" t="s">
        <v>1027</v>
      </c>
      <c r="B5" s="2574"/>
      <c r="C5" s="2575"/>
      <c r="D5" s="2576"/>
      <c r="E5" s="2577"/>
      <c r="F5" s="2578"/>
      <c r="G5" s="2575"/>
      <c r="H5" s="2575"/>
      <c r="I5" s="2577"/>
      <c r="J5" s="2579"/>
      <c r="K5" s="2580"/>
      <c r="L5" s="2581"/>
    </row>
    <row r="6" spans="1:12" ht="18.600000000000001" customHeight="1" x14ac:dyDescent="0.25">
      <c r="A6" s="2582" t="s">
        <v>1036</v>
      </c>
      <c r="B6" s="2119">
        <v>1486529</v>
      </c>
      <c r="C6" s="2120">
        <v>1445858</v>
      </c>
      <c r="D6" s="2120">
        <v>1468310</v>
      </c>
      <c r="E6" s="2121">
        <v>1460615</v>
      </c>
      <c r="F6" s="2122">
        <v>1418795</v>
      </c>
      <c r="G6" s="2120">
        <v>1422740</v>
      </c>
      <c r="H6" s="2120">
        <v>1411181</v>
      </c>
      <c r="I6" s="2121">
        <v>1423337</v>
      </c>
      <c r="J6" s="2123">
        <v>1410124</v>
      </c>
      <c r="K6" s="2122">
        <v>1465278</v>
      </c>
      <c r="L6" s="2120">
        <v>1419284</v>
      </c>
    </row>
    <row r="7" spans="1:12" ht="18.600000000000001" customHeight="1" x14ac:dyDescent="0.25">
      <c r="A7" s="2583" t="s">
        <v>1037</v>
      </c>
      <c r="B7" s="2119">
        <v>115239</v>
      </c>
      <c r="C7" s="2120">
        <v>114263</v>
      </c>
      <c r="D7" s="2120">
        <v>118403</v>
      </c>
      <c r="E7" s="2121">
        <v>115155</v>
      </c>
      <c r="F7" s="2122">
        <v>106621</v>
      </c>
      <c r="G7" s="2120">
        <v>105539</v>
      </c>
      <c r="H7" s="2120">
        <v>108405</v>
      </c>
      <c r="I7" s="2121">
        <v>110932</v>
      </c>
      <c r="J7" s="2123">
        <v>116453</v>
      </c>
      <c r="K7" s="2122">
        <v>115718</v>
      </c>
      <c r="L7" s="2120">
        <v>108110</v>
      </c>
    </row>
    <row r="8" spans="1:12" ht="18.600000000000001" customHeight="1" x14ac:dyDescent="0.25">
      <c r="A8" s="2583" t="s">
        <v>1038</v>
      </c>
      <c r="B8" s="2119">
        <v>1371290</v>
      </c>
      <c r="C8" s="2120">
        <v>1331595</v>
      </c>
      <c r="D8" s="2120">
        <v>1349907</v>
      </c>
      <c r="E8" s="2121">
        <v>1345460</v>
      </c>
      <c r="F8" s="2122">
        <v>1312174</v>
      </c>
      <c r="G8" s="2120">
        <v>1317201</v>
      </c>
      <c r="H8" s="2120">
        <v>1302776</v>
      </c>
      <c r="I8" s="2121">
        <v>1312405</v>
      </c>
      <c r="J8" s="2123">
        <v>1293671</v>
      </c>
      <c r="K8" s="2122">
        <v>1349560</v>
      </c>
      <c r="L8" s="2120">
        <v>1311174</v>
      </c>
    </row>
    <row r="9" spans="1:12" ht="18.600000000000001" customHeight="1" x14ac:dyDescent="0.25">
      <c r="A9" s="2583" t="s">
        <v>1039</v>
      </c>
      <c r="B9" s="2584"/>
      <c r="C9" s="2585"/>
      <c r="D9" s="2585"/>
      <c r="E9" s="2586"/>
      <c r="F9" s="2587"/>
      <c r="G9" s="2585"/>
      <c r="H9" s="2585"/>
      <c r="I9" s="2586"/>
      <c r="J9" s="2588"/>
      <c r="K9" s="2589"/>
      <c r="L9" s="2585"/>
    </row>
    <row r="10" spans="1:12" ht="18.600000000000001" customHeight="1" x14ac:dyDescent="0.25">
      <c r="A10" s="2590" t="s">
        <v>425</v>
      </c>
      <c r="B10" s="2119">
        <v>156953</v>
      </c>
      <c r="C10" s="2120">
        <v>148567</v>
      </c>
      <c r="D10" s="2120">
        <v>150997</v>
      </c>
      <c r="E10" s="2121">
        <v>156540</v>
      </c>
      <c r="F10" s="2122">
        <v>145195</v>
      </c>
      <c r="G10" s="2120">
        <v>153248</v>
      </c>
      <c r="H10" s="2120">
        <v>144737</v>
      </c>
      <c r="I10" s="2121">
        <v>142014</v>
      </c>
      <c r="J10" s="2123">
        <v>126217</v>
      </c>
      <c r="K10" s="2122">
        <v>153283</v>
      </c>
      <c r="L10" s="2120">
        <v>146307</v>
      </c>
    </row>
    <row r="11" spans="1:12" ht="14.55" customHeight="1" x14ac:dyDescent="0.25">
      <c r="A11" s="2590" t="s">
        <v>612</v>
      </c>
      <c r="B11" s="2119">
        <v>229014.35592769773</v>
      </c>
      <c r="C11" s="2120">
        <v>200737</v>
      </c>
      <c r="D11" s="2120">
        <v>206266</v>
      </c>
      <c r="E11" s="2121">
        <v>200930</v>
      </c>
      <c r="F11" s="2122">
        <v>196305</v>
      </c>
      <c r="G11" s="2120">
        <v>189557</v>
      </c>
      <c r="H11" s="2120">
        <v>191661</v>
      </c>
      <c r="I11" s="2121">
        <v>194807</v>
      </c>
      <c r="J11" s="2123">
        <v>196039</v>
      </c>
      <c r="K11" s="2122">
        <v>209261.2138562279</v>
      </c>
      <c r="L11" s="2120">
        <v>193090</v>
      </c>
    </row>
    <row r="12" spans="1:12" ht="18.600000000000001" customHeight="1" x14ac:dyDescent="0.25">
      <c r="A12" s="2590" t="s">
        <v>1040</v>
      </c>
      <c r="B12" s="2119">
        <v>35941</v>
      </c>
      <c r="C12" s="2120">
        <v>36154</v>
      </c>
      <c r="D12" s="2120">
        <v>35003</v>
      </c>
      <c r="E12" s="2121">
        <v>33491</v>
      </c>
      <c r="F12" s="2122">
        <v>31292</v>
      </c>
      <c r="G12" s="2120">
        <v>49172</v>
      </c>
      <c r="H12" s="2120">
        <v>62497</v>
      </c>
      <c r="I12" s="2121">
        <v>72504</v>
      </c>
      <c r="J12" s="2123">
        <v>75526</v>
      </c>
      <c r="K12" s="2122">
        <v>35149</v>
      </c>
      <c r="L12" s="2120">
        <v>53819</v>
      </c>
    </row>
    <row r="13" spans="1:12" ht="18.600000000000001" customHeight="1" x14ac:dyDescent="0.25">
      <c r="A13" s="2591" t="s">
        <v>1041</v>
      </c>
      <c r="B13" s="2119">
        <v>949382</v>
      </c>
      <c r="C13" s="2120">
        <v>946137</v>
      </c>
      <c r="D13" s="2120">
        <v>957641</v>
      </c>
      <c r="E13" s="2121">
        <v>954499</v>
      </c>
      <c r="F13" s="2122">
        <v>939382</v>
      </c>
      <c r="G13" s="2120">
        <v>925224</v>
      </c>
      <c r="H13" s="2120">
        <v>903881</v>
      </c>
      <c r="I13" s="2121">
        <v>903080</v>
      </c>
      <c r="J13" s="2123">
        <v>895889</v>
      </c>
      <c r="K13" s="2122">
        <v>951867</v>
      </c>
      <c r="L13" s="2120">
        <v>917958</v>
      </c>
    </row>
    <row r="14" spans="1:12" ht="18.600000000000001" customHeight="1" x14ac:dyDescent="0.25">
      <c r="A14" s="2591" t="s">
        <v>1042</v>
      </c>
      <c r="B14" s="2119">
        <v>5586</v>
      </c>
      <c r="C14" s="2120">
        <v>5493</v>
      </c>
      <c r="D14" s="2120">
        <v>5270</v>
      </c>
      <c r="E14" s="2121">
        <v>5173</v>
      </c>
      <c r="F14" s="2122">
        <v>4923</v>
      </c>
      <c r="G14" s="2120">
        <v>4862</v>
      </c>
      <c r="H14" s="2120">
        <v>4694</v>
      </c>
      <c r="I14" s="2121">
        <v>4773</v>
      </c>
      <c r="J14" s="2123">
        <v>4666</v>
      </c>
      <c r="K14" s="2122">
        <v>21522</v>
      </c>
      <c r="L14" s="2120">
        <v>19252</v>
      </c>
    </row>
    <row r="15" spans="1:12" ht="18.600000000000001" customHeight="1" x14ac:dyDescent="0.25">
      <c r="A15" s="2592" t="s">
        <v>1043</v>
      </c>
      <c r="B15" s="2584">
        <v>-167</v>
      </c>
      <c r="C15" s="2585">
        <v>-143</v>
      </c>
      <c r="D15" s="2585">
        <v>-135</v>
      </c>
      <c r="E15" s="2586">
        <v>-200</v>
      </c>
      <c r="F15" s="2587">
        <v>-158</v>
      </c>
      <c r="G15" s="2585">
        <v>-125</v>
      </c>
      <c r="H15" s="2585">
        <v>-139</v>
      </c>
      <c r="I15" s="2586">
        <v>-198</v>
      </c>
      <c r="J15" s="2588">
        <v>-197</v>
      </c>
      <c r="K15" s="2589">
        <v>-645</v>
      </c>
      <c r="L15" s="2585">
        <v>-620</v>
      </c>
    </row>
    <row r="16" spans="1:12" ht="18.600000000000001" customHeight="1" x14ac:dyDescent="0.25">
      <c r="A16" s="2591" t="s">
        <v>1044</v>
      </c>
      <c r="B16" s="2119">
        <v>5753</v>
      </c>
      <c r="C16" s="2120">
        <v>5636</v>
      </c>
      <c r="D16" s="2120">
        <v>5405</v>
      </c>
      <c r="E16" s="2121">
        <v>5373</v>
      </c>
      <c r="F16" s="2122">
        <v>5081</v>
      </c>
      <c r="G16" s="2120">
        <v>4987</v>
      </c>
      <c r="H16" s="2120">
        <v>4833</v>
      </c>
      <c r="I16" s="2121">
        <v>4971</v>
      </c>
      <c r="J16" s="2123">
        <v>4863</v>
      </c>
      <c r="K16" s="2122">
        <v>22167</v>
      </c>
      <c r="L16" s="2120">
        <v>19872</v>
      </c>
    </row>
    <row r="17" spans="1:12" ht="18.600000000000001" customHeight="1" x14ac:dyDescent="0.25">
      <c r="A17" s="2591" t="s">
        <v>1045</v>
      </c>
      <c r="B17" s="2319">
        <v>2.4</v>
      </c>
      <c r="C17" s="2320">
        <v>2.36</v>
      </c>
      <c r="D17" s="2320">
        <v>2.31</v>
      </c>
      <c r="E17" s="2321">
        <v>2.23</v>
      </c>
      <c r="F17" s="2322">
        <v>2.15</v>
      </c>
      <c r="G17" s="2320">
        <v>2.14</v>
      </c>
      <c r="H17" s="2320">
        <v>2.17</v>
      </c>
      <c r="I17" s="2321">
        <v>2.19</v>
      </c>
      <c r="J17" s="2323">
        <v>2.15</v>
      </c>
      <c r="K17" s="2322">
        <v>2.33</v>
      </c>
      <c r="L17" s="2320">
        <v>2.16</v>
      </c>
    </row>
    <row r="18" spans="1:12" ht="9" customHeight="1" x14ac:dyDescent="0.25">
      <c r="A18" s="2590"/>
      <c r="B18" s="2584"/>
      <c r="C18" s="2585"/>
      <c r="D18" s="2585"/>
      <c r="E18" s="2586"/>
      <c r="F18" s="2587"/>
      <c r="G18" s="2585"/>
      <c r="H18" s="2585"/>
      <c r="I18" s="2586"/>
      <c r="J18" s="2588"/>
      <c r="K18" s="2589"/>
      <c r="L18" s="2585"/>
    </row>
    <row r="19" spans="1:12" ht="18.600000000000001" customHeight="1" x14ac:dyDescent="0.25">
      <c r="A19" s="2573" t="s">
        <v>1030</v>
      </c>
      <c r="B19" s="2574"/>
      <c r="C19" s="2575"/>
      <c r="D19" s="2575"/>
      <c r="E19" s="2577"/>
      <c r="F19" s="2578"/>
      <c r="G19" s="2575"/>
      <c r="H19" s="2575"/>
      <c r="I19" s="2577"/>
      <c r="J19" s="2579"/>
      <c r="K19" s="2580"/>
      <c r="L19" s="2581"/>
    </row>
    <row r="20" spans="1:12" ht="18.600000000000001" customHeight="1" x14ac:dyDescent="0.25">
      <c r="A20" s="2582" t="s">
        <v>1036</v>
      </c>
      <c r="B20" s="2593">
        <v>466194</v>
      </c>
      <c r="C20" s="2594">
        <v>463108</v>
      </c>
      <c r="D20" s="2594">
        <v>461444</v>
      </c>
      <c r="E20" s="2595">
        <v>459895</v>
      </c>
      <c r="F20" s="2596">
        <v>456806</v>
      </c>
      <c r="G20" s="2594">
        <v>451194</v>
      </c>
      <c r="H20" s="2594">
        <v>444923</v>
      </c>
      <c r="I20" s="2595">
        <v>444856</v>
      </c>
      <c r="J20" s="2597">
        <v>447390</v>
      </c>
      <c r="K20" s="2598">
        <v>462670</v>
      </c>
      <c r="L20" s="2594">
        <v>449469</v>
      </c>
    </row>
    <row r="21" spans="1:12" ht="18.600000000000001" customHeight="1" x14ac:dyDescent="0.25">
      <c r="A21" s="2583" t="s">
        <v>1037</v>
      </c>
      <c r="B21" s="2599">
        <v>4746</v>
      </c>
      <c r="C21" s="2600">
        <v>4681</v>
      </c>
      <c r="D21" s="2600">
        <v>4607</v>
      </c>
      <c r="E21" s="2601">
        <v>4753</v>
      </c>
      <c r="F21" s="2602">
        <v>4756</v>
      </c>
      <c r="G21" s="2600">
        <v>4313</v>
      </c>
      <c r="H21" s="2600">
        <v>4191</v>
      </c>
      <c r="I21" s="2601">
        <v>4312</v>
      </c>
      <c r="J21" s="2588">
        <v>4080</v>
      </c>
      <c r="K21" s="2603">
        <v>4697</v>
      </c>
      <c r="L21" s="2600">
        <v>4393</v>
      </c>
    </row>
    <row r="22" spans="1:12" ht="18.600000000000001" customHeight="1" x14ac:dyDescent="0.25">
      <c r="A22" s="2583" t="s">
        <v>1038</v>
      </c>
      <c r="B22" s="2584">
        <v>461448</v>
      </c>
      <c r="C22" s="2585">
        <v>458427</v>
      </c>
      <c r="D22" s="2585">
        <v>456837</v>
      </c>
      <c r="E22" s="2586">
        <v>455142</v>
      </c>
      <c r="F22" s="2587">
        <v>452050</v>
      </c>
      <c r="G22" s="2585">
        <v>446881</v>
      </c>
      <c r="H22" s="2585">
        <v>440732</v>
      </c>
      <c r="I22" s="2586">
        <v>440544</v>
      </c>
      <c r="J22" s="2588">
        <v>443310</v>
      </c>
      <c r="K22" s="2589">
        <v>457973</v>
      </c>
      <c r="L22" s="2585">
        <v>445076</v>
      </c>
    </row>
    <row r="23" spans="1:12" ht="18.600000000000001" customHeight="1" x14ac:dyDescent="0.25">
      <c r="A23" s="2583" t="s">
        <v>1039</v>
      </c>
      <c r="B23" s="2584"/>
      <c r="C23" s="2585"/>
      <c r="D23" s="2585"/>
      <c r="E23" s="2586"/>
      <c r="F23" s="2587"/>
      <c r="G23" s="2585"/>
      <c r="H23" s="2585"/>
      <c r="I23" s="2586"/>
      <c r="J23" s="2588"/>
      <c r="K23" s="2589"/>
      <c r="L23" s="2585"/>
    </row>
    <row r="24" spans="1:12" ht="18.600000000000001" customHeight="1" x14ac:dyDescent="0.25">
      <c r="A24" s="2590" t="s">
        <v>1040</v>
      </c>
      <c r="B24" s="2584">
        <v>182</v>
      </c>
      <c r="C24" s="2585">
        <v>181</v>
      </c>
      <c r="D24" s="2585">
        <v>179</v>
      </c>
      <c r="E24" s="2586">
        <v>187</v>
      </c>
      <c r="F24" s="2587">
        <v>1187</v>
      </c>
      <c r="G24" s="2585">
        <v>13197</v>
      </c>
      <c r="H24" s="2585">
        <v>22421</v>
      </c>
      <c r="I24" s="2586">
        <v>28843</v>
      </c>
      <c r="J24" s="2588">
        <v>31010</v>
      </c>
      <c r="K24" s="2589">
        <v>182</v>
      </c>
      <c r="L24" s="2585">
        <v>16380</v>
      </c>
    </row>
    <row r="25" spans="1:12" ht="18.600000000000001" customHeight="1" x14ac:dyDescent="0.25">
      <c r="A25" s="2591" t="s">
        <v>1041</v>
      </c>
      <c r="B25" s="2584">
        <v>461266</v>
      </c>
      <c r="C25" s="2585">
        <v>458246</v>
      </c>
      <c r="D25" s="2585">
        <v>456658</v>
      </c>
      <c r="E25" s="2586">
        <v>454955</v>
      </c>
      <c r="F25" s="2587">
        <v>450863</v>
      </c>
      <c r="G25" s="2585">
        <v>433684</v>
      </c>
      <c r="H25" s="2585">
        <v>418311</v>
      </c>
      <c r="I25" s="2586">
        <v>411701</v>
      </c>
      <c r="J25" s="2588">
        <v>412300</v>
      </c>
      <c r="K25" s="2589">
        <v>457791</v>
      </c>
      <c r="L25" s="2585">
        <v>428696</v>
      </c>
    </row>
    <row r="26" spans="1:12" ht="18.600000000000001" customHeight="1" x14ac:dyDescent="0.25">
      <c r="A26" s="2591" t="s">
        <v>1042</v>
      </c>
      <c r="B26" s="2584">
        <v>2672</v>
      </c>
      <c r="C26" s="2585">
        <v>2641</v>
      </c>
      <c r="D26" s="2585">
        <v>2524</v>
      </c>
      <c r="E26" s="2586">
        <v>2647</v>
      </c>
      <c r="F26" s="2587">
        <v>2635</v>
      </c>
      <c r="G26" s="2585">
        <v>2577</v>
      </c>
      <c r="H26" s="2585">
        <v>2482</v>
      </c>
      <c r="I26" s="2586">
        <v>2491</v>
      </c>
      <c r="J26" s="2588">
        <v>2455</v>
      </c>
      <c r="K26" s="2589">
        <v>10484</v>
      </c>
      <c r="L26" s="2585">
        <v>10185</v>
      </c>
    </row>
    <row r="27" spans="1:12" ht="18.600000000000001" customHeight="1" x14ac:dyDescent="0.25">
      <c r="A27" s="2592" t="s">
        <v>1043</v>
      </c>
      <c r="B27" s="2584">
        <v>0</v>
      </c>
      <c r="C27" s="2585">
        <v>0</v>
      </c>
      <c r="D27" s="2585">
        <v>0</v>
      </c>
      <c r="E27" s="2586">
        <v>0</v>
      </c>
      <c r="F27" s="2587">
        <v>2</v>
      </c>
      <c r="G27" s="2585">
        <v>0</v>
      </c>
      <c r="H27" s="2585">
        <v>0</v>
      </c>
      <c r="I27" s="2586">
        <v>0</v>
      </c>
      <c r="J27" s="2588">
        <v>0</v>
      </c>
      <c r="K27" s="2589">
        <v>0</v>
      </c>
      <c r="L27" s="2585">
        <v>2</v>
      </c>
    </row>
    <row r="28" spans="1:12" ht="18.600000000000001" customHeight="1" x14ac:dyDescent="0.25">
      <c r="A28" s="2591" t="s">
        <v>1044</v>
      </c>
      <c r="B28" s="2584">
        <v>2672</v>
      </c>
      <c r="C28" s="2585">
        <v>2641</v>
      </c>
      <c r="D28" s="2585">
        <v>2524</v>
      </c>
      <c r="E28" s="2586">
        <v>2647</v>
      </c>
      <c r="F28" s="2587">
        <v>2633</v>
      </c>
      <c r="G28" s="2585">
        <v>2577</v>
      </c>
      <c r="H28" s="2585">
        <v>2482</v>
      </c>
      <c r="I28" s="2586">
        <v>2491</v>
      </c>
      <c r="J28" s="2588">
        <v>2455</v>
      </c>
      <c r="K28" s="2589">
        <v>10484</v>
      </c>
      <c r="L28" s="2585">
        <v>10183</v>
      </c>
    </row>
    <row r="29" spans="1:12" ht="18.600000000000001" customHeight="1" x14ac:dyDescent="0.25">
      <c r="A29" s="2591" t="s">
        <v>1045</v>
      </c>
      <c r="B29" s="2604">
        <v>2.2999999999999998</v>
      </c>
      <c r="C29" s="2605">
        <v>2.29</v>
      </c>
      <c r="D29" s="2605">
        <v>2.27</v>
      </c>
      <c r="E29" s="2606">
        <v>2.31</v>
      </c>
      <c r="F29" s="2607">
        <v>2.3199999999999998</v>
      </c>
      <c r="G29" s="2605">
        <v>2.36</v>
      </c>
      <c r="H29" s="2605">
        <v>2.41</v>
      </c>
      <c r="I29" s="2606">
        <v>2.41</v>
      </c>
      <c r="J29" s="2608">
        <v>2.36</v>
      </c>
      <c r="K29" s="2609">
        <v>2.29</v>
      </c>
      <c r="L29" s="2605">
        <v>2.38</v>
      </c>
    </row>
    <row r="30" spans="1:12" ht="9" customHeight="1" x14ac:dyDescent="0.25">
      <c r="A30" s="2590"/>
      <c r="B30" s="2584"/>
      <c r="C30" s="2585"/>
      <c r="D30" s="2585"/>
      <c r="E30" s="2586"/>
      <c r="F30" s="2587"/>
      <c r="G30" s="2585"/>
      <c r="H30" s="2585"/>
      <c r="I30" s="2586"/>
      <c r="J30" s="2588"/>
      <c r="K30" s="2589"/>
      <c r="L30" s="2585"/>
    </row>
    <row r="31" spans="1:12" ht="18.600000000000001" customHeight="1" x14ac:dyDescent="0.25">
      <c r="A31" s="2573" t="s">
        <v>1031</v>
      </c>
      <c r="B31" s="2574"/>
      <c r="C31" s="2575"/>
      <c r="D31" s="2575"/>
      <c r="E31" s="2577"/>
      <c r="F31" s="2578"/>
      <c r="G31" s="2575"/>
      <c r="H31" s="2575"/>
      <c r="I31" s="2577"/>
      <c r="J31" s="2579"/>
      <c r="K31" s="2580"/>
      <c r="L31" s="2581"/>
    </row>
    <row r="32" spans="1:12" ht="18.600000000000001" customHeight="1" x14ac:dyDescent="0.25">
      <c r="A32" s="2582" t="s">
        <v>1036</v>
      </c>
      <c r="B32" s="2610">
        <v>226015</v>
      </c>
      <c r="C32" s="2585">
        <v>223347</v>
      </c>
      <c r="D32" s="2594">
        <v>229118</v>
      </c>
      <c r="E32" s="2595">
        <v>228877</v>
      </c>
      <c r="F32" s="2611">
        <v>223525</v>
      </c>
      <c r="G32" s="2594">
        <v>232609</v>
      </c>
      <c r="H32" s="2594">
        <v>234305</v>
      </c>
      <c r="I32" s="2595">
        <v>235485</v>
      </c>
      <c r="J32" s="2612">
        <v>237210</v>
      </c>
      <c r="K32" s="2613">
        <v>226820</v>
      </c>
      <c r="L32" s="2614">
        <v>231456</v>
      </c>
    </row>
    <row r="33" spans="1:12" ht="18.600000000000001" customHeight="1" x14ac:dyDescent="0.25">
      <c r="A33" s="2583" t="s">
        <v>1037</v>
      </c>
      <c r="B33" s="2599">
        <v>13134</v>
      </c>
      <c r="C33" s="2585">
        <v>13442</v>
      </c>
      <c r="D33" s="2600">
        <v>13917</v>
      </c>
      <c r="E33" s="2601">
        <v>14883</v>
      </c>
      <c r="F33" s="2602">
        <v>14973</v>
      </c>
      <c r="G33" s="2600">
        <v>15326</v>
      </c>
      <c r="H33" s="2600">
        <v>16554</v>
      </c>
      <c r="I33" s="2601">
        <v>16956</v>
      </c>
      <c r="J33" s="2597">
        <v>18916</v>
      </c>
      <c r="K33" s="2603">
        <v>13843</v>
      </c>
      <c r="L33" s="2600">
        <v>15949</v>
      </c>
    </row>
    <row r="34" spans="1:12" ht="18.600000000000001" customHeight="1" x14ac:dyDescent="0.25">
      <c r="A34" s="2583" t="s">
        <v>1038</v>
      </c>
      <c r="B34" s="2584">
        <v>212881</v>
      </c>
      <c r="C34" s="2585">
        <v>209905</v>
      </c>
      <c r="D34" s="2585">
        <v>215201</v>
      </c>
      <c r="E34" s="2586">
        <v>213994</v>
      </c>
      <c r="F34" s="2587">
        <v>208552</v>
      </c>
      <c r="G34" s="2585">
        <v>217283</v>
      </c>
      <c r="H34" s="2585">
        <v>217751</v>
      </c>
      <c r="I34" s="2586">
        <v>218529</v>
      </c>
      <c r="J34" s="2588">
        <v>218294</v>
      </c>
      <c r="K34" s="2589">
        <v>212977</v>
      </c>
      <c r="L34" s="2585">
        <v>215507</v>
      </c>
    </row>
    <row r="35" spans="1:12" ht="18.600000000000001" customHeight="1" x14ac:dyDescent="0.25">
      <c r="A35" s="2583" t="s">
        <v>1039</v>
      </c>
      <c r="B35" s="2584"/>
      <c r="C35" s="2585"/>
      <c r="D35" s="2585"/>
      <c r="E35" s="2586"/>
      <c r="F35" s="2587"/>
      <c r="G35" s="2585"/>
      <c r="H35" s="2585"/>
      <c r="I35" s="2586"/>
      <c r="J35" s="2588"/>
      <c r="K35" s="2589"/>
      <c r="L35" s="2585"/>
    </row>
    <row r="36" spans="1:12" ht="18.600000000000001" customHeight="1" x14ac:dyDescent="0.25">
      <c r="A36" s="2590" t="s">
        <v>425</v>
      </c>
      <c r="B36" s="2584">
        <v>6142</v>
      </c>
      <c r="C36" s="2585">
        <v>6147</v>
      </c>
      <c r="D36" s="2585">
        <v>6438</v>
      </c>
      <c r="E36" s="2586">
        <v>6408</v>
      </c>
      <c r="F36" s="2587">
        <v>5549</v>
      </c>
      <c r="G36" s="2585">
        <v>6771</v>
      </c>
      <c r="H36" s="2585">
        <v>6534</v>
      </c>
      <c r="I36" s="2586">
        <v>6778</v>
      </c>
      <c r="J36" s="2588">
        <v>6611</v>
      </c>
      <c r="K36" s="2589">
        <v>6283</v>
      </c>
      <c r="L36" s="2585">
        <v>6407</v>
      </c>
    </row>
    <row r="37" spans="1:12" ht="14.55" customHeight="1" x14ac:dyDescent="0.25">
      <c r="A37" s="2590" t="s">
        <v>612</v>
      </c>
      <c r="B37" s="2584">
        <v>2929.3358916904344</v>
      </c>
      <c r="C37" s="2585">
        <v>3699</v>
      </c>
      <c r="D37" s="2585">
        <v>4243</v>
      </c>
      <c r="E37" s="2586">
        <v>4195</v>
      </c>
      <c r="F37" s="2587">
        <v>4070</v>
      </c>
      <c r="G37" s="2585">
        <v>4442</v>
      </c>
      <c r="H37" s="2585">
        <v>4314</v>
      </c>
      <c r="I37" s="2586">
        <v>3431</v>
      </c>
      <c r="J37" s="2588">
        <v>3467</v>
      </c>
      <c r="K37" s="2589">
        <v>3762.6875700986848</v>
      </c>
      <c r="L37" s="2585">
        <v>4063</v>
      </c>
    </row>
    <row r="38" spans="1:12" ht="18.600000000000001" customHeight="1" x14ac:dyDescent="0.25">
      <c r="A38" s="2590" t="s">
        <v>1040</v>
      </c>
      <c r="B38" s="2584">
        <v>7378</v>
      </c>
      <c r="C38" s="2585">
        <v>7346</v>
      </c>
      <c r="D38" s="2585">
        <v>7413</v>
      </c>
      <c r="E38" s="2586">
        <v>6612</v>
      </c>
      <c r="F38" s="2587">
        <v>6369</v>
      </c>
      <c r="G38" s="2585">
        <v>6841</v>
      </c>
      <c r="H38" s="2585">
        <v>6661</v>
      </c>
      <c r="I38" s="2586">
        <v>6768</v>
      </c>
      <c r="J38" s="2588">
        <v>6909</v>
      </c>
      <c r="K38" s="2589">
        <v>7184</v>
      </c>
      <c r="L38" s="2585">
        <v>6660</v>
      </c>
    </row>
    <row r="39" spans="1:12" ht="18.600000000000001" customHeight="1" x14ac:dyDescent="0.25">
      <c r="A39" s="2591" t="s">
        <v>1041</v>
      </c>
      <c r="B39" s="2584">
        <v>196432</v>
      </c>
      <c r="C39" s="2585">
        <v>192713</v>
      </c>
      <c r="D39" s="2585">
        <v>197107</v>
      </c>
      <c r="E39" s="2586">
        <v>196779</v>
      </c>
      <c r="F39" s="2587">
        <v>192564</v>
      </c>
      <c r="G39" s="2585">
        <v>199229</v>
      </c>
      <c r="H39" s="2585">
        <v>200242</v>
      </c>
      <c r="I39" s="2586">
        <v>201552</v>
      </c>
      <c r="J39" s="2588">
        <v>201307</v>
      </c>
      <c r="K39" s="2589">
        <v>195747</v>
      </c>
      <c r="L39" s="2585">
        <v>198377</v>
      </c>
    </row>
    <row r="40" spans="1:12" ht="18.600000000000001" customHeight="1" x14ac:dyDescent="0.25">
      <c r="A40" s="2591" t="s">
        <v>1042</v>
      </c>
      <c r="B40" s="2584">
        <v>2273</v>
      </c>
      <c r="C40" s="2585">
        <v>2245</v>
      </c>
      <c r="D40" s="2585">
        <v>2179</v>
      </c>
      <c r="E40" s="2586">
        <v>2169</v>
      </c>
      <c r="F40" s="2587">
        <v>2147</v>
      </c>
      <c r="G40" s="2585">
        <v>2226</v>
      </c>
      <c r="H40" s="2585">
        <v>2254</v>
      </c>
      <c r="I40" s="2586">
        <v>2240</v>
      </c>
      <c r="J40" s="2588">
        <v>2125</v>
      </c>
      <c r="K40" s="2589">
        <v>8866</v>
      </c>
      <c r="L40" s="2585">
        <v>8867</v>
      </c>
    </row>
    <row r="41" spans="1:12" ht="18.600000000000001" customHeight="1" x14ac:dyDescent="0.25">
      <c r="A41" s="2592" t="s">
        <v>1043</v>
      </c>
      <c r="B41" s="2584">
        <v>23</v>
      </c>
      <c r="C41" s="2585">
        <v>38</v>
      </c>
      <c r="D41" s="2585">
        <v>17</v>
      </c>
      <c r="E41" s="2586">
        <v>-12</v>
      </c>
      <c r="F41" s="2587">
        <v>10</v>
      </c>
      <c r="G41" s="2585">
        <v>19</v>
      </c>
      <c r="H41" s="2585">
        <v>58</v>
      </c>
      <c r="I41" s="2586">
        <v>36</v>
      </c>
      <c r="J41" s="2588">
        <v>14</v>
      </c>
      <c r="K41" s="2589">
        <v>66</v>
      </c>
      <c r="L41" s="2585">
        <v>123</v>
      </c>
    </row>
    <row r="42" spans="1:12" ht="18.600000000000001" customHeight="1" x14ac:dyDescent="0.25">
      <c r="A42" s="2591" t="s">
        <v>1044</v>
      </c>
      <c r="B42" s="2584">
        <v>2250</v>
      </c>
      <c r="C42" s="2585">
        <v>2207</v>
      </c>
      <c r="D42" s="2585">
        <v>2162</v>
      </c>
      <c r="E42" s="2586">
        <v>2181</v>
      </c>
      <c r="F42" s="2587">
        <v>2137</v>
      </c>
      <c r="G42" s="2585">
        <v>2207</v>
      </c>
      <c r="H42" s="2585">
        <v>2196</v>
      </c>
      <c r="I42" s="2586">
        <v>2204</v>
      </c>
      <c r="J42" s="2588">
        <v>2111</v>
      </c>
      <c r="K42" s="2589">
        <v>8800</v>
      </c>
      <c r="L42" s="2585">
        <v>8744</v>
      </c>
    </row>
    <row r="43" spans="1:12" ht="18.600000000000001" customHeight="1" x14ac:dyDescent="0.25">
      <c r="A43" s="2591" t="s">
        <v>1045</v>
      </c>
      <c r="B43" s="2604">
        <v>4.54</v>
      </c>
      <c r="C43" s="2605">
        <v>4.54</v>
      </c>
      <c r="D43" s="2605">
        <v>4.5</v>
      </c>
      <c r="E43" s="2606">
        <v>4.4000000000000004</v>
      </c>
      <c r="F43" s="2607">
        <v>4.42</v>
      </c>
      <c r="G43" s="2605">
        <v>4.41</v>
      </c>
      <c r="H43" s="2605">
        <v>4.46</v>
      </c>
      <c r="I43" s="2606">
        <v>4.3499999999999996</v>
      </c>
      <c r="J43" s="2608">
        <v>4.16</v>
      </c>
      <c r="K43" s="2609">
        <v>4.5</v>
      </c>
      <c r="L43" s="2605">
        <v>4.41</v>
      </c>
    </row>
    <row r="44" spans="1:12" ht="9" customHeight="1" x14ac:dyDescent="0.25">
      <c r="A44" s="2590"/>
      <c r="B44" s="2584"/>
      <c r="C44" s="2585"/>
      <c r="D44" s="2585"/>
      <c r="E44" s="2586"/>
      <c r="F44" s="2587"/>
      <c r="G44" s="2585"/>
      <c r="H44" s="2585"/>
      <c r="I44" s="2586"/>
      <c r="J44" s="2588"/>
      <c r="K44" s="2589"/>
      <c r="L44" s="2585"/>
    </row>
    <row r="45" spans="1:12" ht="18.600000000000001" customHeight="1" x14ac:dyDescent="0.25">
      <c r="A45" s="2573" t="s">
        <v>874</v>
      </c>
      <c r="B45" s="2574"/>
      <c r="C45" s="2575"/>
      <c r="D45" s="2576"/>
      <c r="E45" s="2577"/>
      <c r="F45" s="2578"/>
      <c r="G45" s="2575"/>
      <c r="H45" s="2575"/>
      <c r="I45" s="2577"/>
      <c r="J45" s="2579"/>
      <c r="K45" s="2580"/>
      <c r="L45" s="2581"/>
    </row>
    <row r="46" spans="1:12" ht="18.600000000000001" customHeight="1" x14ac:dyDescent="0.25">
      <c r="A46" s="2582" t="s">
        <v>1036</v>
      </c>
      <c r="B46" s="2119">
        <v>531107</v>
      </c>
      <c r="C46" s="2120">
        <v>493156</v>
      </c>
      <c r="D46" s="2120">
        <v>501639</v>
      </c>
      <c r="E46" s="2121">
        <v>510902</v>
      </c>
      <c r="F46" s="2122">
        <v>486003</v>
      </c>
      <c r="G46" s="2120">
        <v>492699</v>
      </c>
      <c r="H46" s="2120">
        <v>494182</v>
      </c>
      <c r="I46" s="2121">
        <v>505488</v>
      </c>
      <c r="J46" s="2123">
        <v>499782</v>
      </c>
      <c r="K46" s="2122">
        <v>509263</v>
      </c>
      <c r="L46" s="2120">
        <v>494595</v>
      </c>
    </row>
    <row r="47" spans="1:12" ht="18.600000000000001" customHeight="1" x14ac:dyDescent="0.25">
      <c r="A47" s="2583" t="s">
        <v>1037</v>
      </c>
      <c r="B47" s="2119">
        <v>45978</v>
      </c>
      <c r="C47" s="2120">
        <v>45729</v>
      </c>
      <c r="D47" s="2120">
        <v>47883</v>
      </c>
      <c r="E47" s="2121">
        <v>46827</v>
      </c>
      <c r="F47" s="2122">
        <v>39675</v>
      </c>
      <c r="G47" s="2120">
        <v>38795</v>
      </c>
      <c r="H47" s="2120">
        <v>39802</v>
      </c>
      <c r="I47" s="2121">
        <v>41616</v>
      </c>
      <c r="J47" s="2123">
        <v>46199</v>
      </c>
      <c r="K47" s="2122">
        <v>46594</v>
      </c>
      <c r="L47" s="2120">
        <v>39787</v>
      </c>
    </row>
    <row r="48" spans="1:12" ht="18.600000000000001" customHeight="1" x14ac:dyDescent="0.25">
      <c r="A48" s="2583" t="s">
        <v>1038</v>
      </c>
      <c r="B48" s="2119">
        <v>485129</v>
      </c>
      <c r="C48" s="2120">
        <v>447427</v>
      </c>
      <c r="D48" s="2120">
        <v>453756</v>
      </c>
      <c r="E48" s="2121">
        <v>464075</v>
      </c>
      <c r="F48" s="2122">
        <v>446328</v>
      </c>
      <c r="G48" s="2120">
        <v>453904</v>
      </c>
      <c r="H48" s="2120">
        <v>454380</v>
      </c>
      <c r="I48" s="2121">
        <v>463872</v>
      </c>
      <c r="J48" s="2123">
        <v>453583</v>
      </c>
      <c r="K48" s="2122">
        <v>462669</v>
      </c>
      <c r="L48" s="2120">
        <v>454808</v>
      </c>
    </row>
    <row r="49" spans="1:12" ht="18.600000000000001" customHeight="1" x14ac:dyDescent="0.25">
      <c r="A49" s="2583" t="s">
        <v>1039</v>
      </c>
      <c r="B49" s="2615"/>
      <c r="C49" s="2585"/>
      <c r="D49" s="2600"/>
      <c r="E49" s="2601"/>
      <c r="F49" s="2616"/>
      <c r="G49" s="2585"/>
      <c r="H49" s="2600"/>
      <c r="I49" s="2601"/>
      <c r="J49" s="2617"/>
      <c r="K49" s="2616"/>
      <c r="L49" s="2618"/>
    </row>
    <row r="50" spans="1:12" ht="18.600000000000001" customHeight="1" x14ac:dyDescent="0.25">
      <c r="A50" s="2590" t="s">
        <v>425</v>
      </c>
      <c r="B50" s="2119">
        <v>145681</v>
      </c>
      <c r="C50" s="2120">
        <v>135693</v>
      </c>
      <c r="D50" s="2120">
        <v>134690</v>
      </c>
      <c r="E50" s="2121">
        <v>141642</v>
      </c>
      <c r="F50" s="2122">
        <v>131137</v>
      </c>
      <c r="G50" s="2120">
        <v>138504</v>
      </c>
      <c r="H50" s="2120">
        <v>130139</v>
      </c>
      <c r="I50" s="2121">
        <v>129017</v>
      </c>
      <c r="J50" s="2123">
        <v>112777</v>
      </c>
      <c r="K50" s="2122">
        <v>139466</v>
      </c>
      <c r="L50" s="2120">
        <v>132210</v>
      </c>
    </row>
    <row r="51" spans="1:12" ht="14.55" customHeight="1" x14ac:dyDescent="0.25">
      <c r="A51" s="2590" t="s">
        <v>612</v>
      </c>
      <c r="B51" s="2119">
        <v>226085</v>
      </c>
      <c r="C51" s="2120">
        <v>197038</v>
      </c>
      <c r="D51" s="2120">
        <v>202023</v>
      </c>
      <c r="E51" s="2121">
        <v>196735</v>
      </c>
      <c r="F51" s="2122">
        <v>192235</v>
      </c>
      <c r="G51" s="2120">
        <v>185114</v>
      </c>
      <c r="H51" s="2120">
        <v>187347</v>
      </c>
      <c r="I51" s="2121">
        <v>191376</v>
      </c>
      <c r="J51" s="2123">
        <v>192572</v>
      </c>
      <c r="K51" s="2122">
        <v>205499</v>
      </c>
      <c r="L51" s="2120">
        <v>189027</v>
      </c>
    </row>
    <row r="52" spans="1:12" ht="18.600000000000001" customHeight="1" x14ac:dyDescent="0.25">
      <c r="A52" s="2590" t="s">
        <v>1040</v>
      </c>
      <c r="B52" s="2119">
        <v>23058</v>
      </c>
      <c r="C52" s="2120">
        <v>23465</v>
      </c>
      <c r="D52" s="2120">
        <v>22410</v>
      </c>
      <c r="E52" s="2121">
        <v>23372</v>
      </c>
      <c r="F52" s="2122">
        <v>21667</v>
      </c>
      <c r="G52" s="2120">
        <v>30573</v>
      </c>
      <c r="H52" s="2120">
        <v>36048</v>
      </c>
      <c r="I52" s="2121">
        <v>39369</v>
      </c>
      <c r="J52" s="2123">
        <v>38585</v>
      </c>
      <c r="K52" s="2122">
        <v>23080</v>
      </c>
      <c r="L52" s="2120">
        <v>32078</v>
      </c>
    </row>
    <row r="53" spans="1:12" ht="18.600000000000001" customHeight="1" x14ac:dyDescent="0.25">
      <c r="A53" s="2591" t="s">
        <v>1041</v>
      </c>
      <c r="B53" s="2119">
        <v>90305</v>
      </c>
      <c r="C53" s="2120">
        <v>91231</v>
      </c>
      <c r="D53" s="2120">
        <v>94633</v>
      </c>
      <c r="E53" s="2121">
        <v>102326</v>
      </c>
      <c r="F53" s="2122">
        <v>101289</v>
      </c>
      <c r="G53" s="2120">
        <v>99713</v>
      </c>
      <c r="H53" s="2120">
        <v>100846</v>
      </c>
      <c r="I53" s="2121">
        <v>104110</v>
      </c>
      <c r="J53" s="2123">
        <v>109649</v>
      </c>
      <c r="K53" s="2122">
        <v>94624</v>
      </c>
      <c r="L53" s="2120">
        <v>101493</v>
      </c>
    </row>
    <row r="54" spans="1:12" ht="18.600000000000001" customHeight="1" x14ac:dyDescent="0.25">
      <c r="A54" s="2591" t="s">
        <v>1042</v>
      </c>
      <c r="B54" s="2119">
        <v>363</v>
      </c>
      <c r="C54" s="2120">
        <v>350</v>
      </c>
      <c r="D54" s="2120">
        <v>368</v>
      </c>
      <c r="E54" s="2121">
        <v>319</v>
      </c>
      <c r="F54" s="2122">
        <v>280</v>
      </c>
      <c r="G54" s="2120">
        <v>304</v>
      </c>
      <c r="H54" s="2120">
        <v>248</v>
      </c>
      <c r="I54" s="2121">
        <v>270</v>
      </c>
      <c r="J54" s="2123">
        <v>313</v>
      </c>
      <c r="K54" s="2122">
        <v>1400</v>
      </c>
      <c r="L54" s="2120">
        <v>1102</v>
      </c>
    </row>
    <row r="55" spans="1:12" ht="18.600000000000001" customHeight="1" x14ac:dyDescent="0.25">
      <c r="A55" s="2592" t="s">
        <v>1043</v>
      </c>
      <c r="B55" s="2615">
        <v>-72</v>
      </c>
      <c r="C55" s="2585">
        <v>-58</v>
      </c>
      <c r="D55" s="2600">
        <v>-37</v>
      </c>
      <c r="E55" s="2601">
        <v>-106</v>
      </c>
      <c r="F55" s="2616">
        <v>-132</v>
      </c>
      <c r="G55" s="2585">
        <v>-94</v>
      </c>
      <c r="H55" s="2600">
        <v>-114</v>
      </c>
      <c r="I55" s="2601">
        <v>-135</v>
      </c>
      <c r="J55" s="2617">
        <v>-120</v>
      </c>
      <c r="K55" s="2616">
        <v>-273</v>
      </c>
      <c r="L55" s="2618">
        <v>-475</v>
      </c>
    </row>
    <row r="56" spans="1:12" ht="18.600000000000001" customHeight="1" x14ac:dyDescent="0.25">
      <c r="A56" s="2591" t="s">
        <v>1044</v>
      </c>
      <c r="B56" s="2119">
        <v>435</v>
      </c>
      <c r="C56" s="2120">
        <v>408</v>
      </c>
      <c r="D56" s="2120">
        <v>405</v>
      </c>
      <c r="E56" s="2121">
        <v>425</v>
      </c>
      <c r="F56" s="2122">
        <v>412</v>
      </c>
      <c r="G56" s="2120">
        <v>398</v>
      </c>
      <c r="H56" s="2120">
        <v>362</v>
      </c>
      <c r="I56" s="2121">
        <v>405</v>
      </c>
      <c r="J56" s="2123">
        <v>433</v>
      </c>
      <c r="K56" s="2122">
        <v>1673</v>
      </c>
      <c r="L56" s="2120">
        <v>1577</v>
      </c>
    </row>
    <row r="57" spans="1:12" ht="18.600000000000001" customHeight="1" x14ac:dyDescent="0.25">
      <c r="A57" s="2619" t="s">
        <v>1045</v>
      </c>
      <c r="B57" s="2319">
        <v>1.91</v>
      </c>
      <c r="C57" s="2320">
        <v>1.77</v>
      </c>
      <c r="D57" s="2320">
        <v>1.76</v>
      </c>
      <c r="E57" s="2321">
        <v>1.65</v>
      </c>
      <c r="F57" s="2322">
        <v>1.62</v>
      </c>
      <c r="G57" s="2320">
        <v>1.59</v>
      </c>
      <c r="H57" s="2320">
        <v>1.46</v>
      </c>
      <c r="I57" s="2321">
        <v>1.55</v>
      </c>
      <c r="J57" s="2323">
        <v>1.57</v>
      </c>
      <c r="K57" s="2322">
        <v>1.77</v>
      </c>
      <c r="L57" s="2320">
        <v>1.55</v>
      </c>
    </row>
    <row r="58" spans="1:12" ht="13.95" customHeight="1" x14ac:dyDescent="0.25">
      <c r="A58" s="2620"/>
      <c r="B58" s="2620"/>
      <c r="C58" s="2620"/>
      <c r="D58" s="2620"/>
      <c r="E58" s="2620"/>
      <c r="F58" s="2620"/>
      <c r="G58" s="2620"/>
      <c r="H58" s="2620"/>
      <c r="I58" s="2620"/>
      <c r="J58" s="2620"/>
      <c r="K58" s="2620"/>
      <c r="L58" s="2620"/>
    </row>
    <row r="59" spans="1:12" ht="13.95" customHeight="1" x14ac:dyDescent="0.25">
      <c r="A59" s="2621" t="s">
        <v>1046</v>
      </c>
      <c r="B59" s="2621"/>
      <c r="C59" s="2621"/>
      <c r="D59" s="2621"/>
    </row>
    <row r="60" spans="1:12" ht="13.95" customHeight="1" x14ac:dyDescent="0.25">
      <c r="A60" s="2621" t="s">
        <v>1047</v>
      </c>
      <c r="B60" s="2621"/>
      <c r="C60" s="2621"/>
      <c r="D60" s="2621"/>
    </row>
  </sheetData>
  <mergeCells count="4">
    <mergeCell ref="A2:L2"/>
    <mergeCell ref="B3:E3"/>
    <mergeCell ref="F3:I3"/>
    <mergeCell ref="K3:L3"/>
  </mergeCells>
  <hyperlinks>
    <hyperlink ref="A1" location="ToC!A2" display="Back to Table of Contents" xr:uid="{1F561D5B-0EC2-4364-AAC3-0CE983A709BD}"/>
  </hyperlinks>
  <pageMargins left="0.5" right="0.5" top="0.5" bottom="0.5" header="0.25" footer="0.25"/>
  <pageSetup scale="50" orientation="landscape" r:id="rId1"/>
  <headerFooter>
    <oddFooter>&amp;L&amp;G&amp;C&amp;"Scotia,Regular"&amp;9Supplementary Financial Information (SFI)&amp;R36&amp;"Scotia,Regular"&amp;7</oddFooter>
  </headerFooter>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EB46-0941-433F-9CBC-2A85B6B96DD6}">
  <sheetPr>
    <pageSetUpPr fitToPage="1"/>
  </sheetPr>
  <dimension ref="A1:L52"/>
  <sheetViews>
    <sheetView showGridLines="0" zoomScaleNormal="100" workbookViewId="0"/>
  </sheetViews>
  <sheetFormatPr defaultColWidth="8.77734375" defaultRowHeight="13.2" x14ac:dyDescent="0.25"/>
  <cols>
    <col min="1" max="1" width="70.77734375" style="23" customWidth="1"/>
    <col min="2" max="12" width="15.44140625" style="23" customWidth="1"/>
    <col min="13" max="16384" width="8.77734375" style="23"/>
  </cols>
  <sheetData>
    <row r="1" spans="1:12" ht="19.95" customHeight="1" x14ac:dyDescent="0.25">
      <c r="A1" s="22" t="s">
        <v>12</v>
      </c>
    </row>
    <row r="2" spans="1:12" ht="25.05" customHeight="1" x14ac:dyDescent="0.25">
      <c r="A2" s="2968" t="s">
        <v>969</v>
      </c>
      <c r="B2" s="2968" t="s">
        <v>15</v>
      </c>
      <c r="C2" s="2968" t="s">
        <v>15</v>
      </c>
      <c r="D2" s="2968" t="s">
        <v>15</v>
      </c>
      <c r="E2" s="2968" t="s">
        <v>15</v>
      </c>
      <c r="F2" s="2968" t="s">
        <v>15</v>
      </c>
      <c r="G2" s="2968" t="s">
        <v>15</v>
      </c>
      <c r="H2" s="2968" t="s">
        <v>15</v>
      </c>
      <c r="I2" s="2968" t="s">
        <v>15</v>
      </c>
      <c r="J2" s="2968" t="s">
        <v>15</v>
      </c>
      <c r="K2" s="2968" t="s">
        <v>15</v>
      </c>
      <c r="L2" s="2968" t="s">
        <v>15</v>
      </c>
    </row>
    <row r="3" spans="1:12" ht="18.45" customHeight="1" x14ac:dyDescent="0.25">
      <c r="A3" s="2564" t="s">
        <v>1048</v>
      </c>
      <c r="B3" s="2972"/>
      <c r="C3" s="2973"/>
      <c r="D3" s="2973"/>
      <c r="E3" s="2974"/>
      <c r="F3" s="2972"/>
      <c r="G3" s="2973"/>
      <c r="H3" s="2973"/>
      <c r="I3" s="2974"/>
      <c r="J3" s="2565"/>
      <c r="K3" s="2975" t="s">
        <v>163</v>
      </c>
      <c r="L3" s="2976" t="s">
        <v>15</v>
      </c>
    </row>
    <row r="4" spans="1:12" ht="18.45" customHeight="1" x14ac:dyDescent="0.25">
      <c r="A4" s="2566" t="s">
        <v>556</v>
      </c>
      <c r="B4" s="2567" t="s">
        <v>165</v>
      </c>
      <c r="C4" s="2568" t="s">
        <v>166</v>
      </c>
      <c r="D4" s="2568" t="s">
        <v>167</v>
      </c>
      <c r="E4" s="2569" t="s">
        <v>168</v>
      </c>
      <c r="F4" s="2570" t="s">
        <v>169</v>
      </c>
      <c r="G4" s="2568" t="s">
        <v>169</v>
      </c>
      <c r="H4" s="2568" t="s">
        <v>169</v>
      </c>
      <c r="I4" s="2569" t="s">
        <v>168</v>
      </c>
      <c r="J4" s="2571" t="s">
        <v>173</v>
      </c>
      <c r="K4" s="2570" t="s">
        <v>174</v>
      </c>
      <c r="L4" s="2568" t="s">
        <v>175</v>
      </c>
    </row>
    <row r="5" spans="1:12" ht="18.45" customHeight="1" x14ac:dyDescent="0.25">
      <c r="A5" s="2622" t="s">
        <v>1049</v>
      </c>
      <c r="B5" s="2623"/>
      <c r="C5" s="2624"/>
      <c r="D5" s="2625"/>
      <c r="E5" s="2626"/>
      <c r="F5" s="2627"/>
      <c r="G5" s="2628"/>
      <c r="H5" s="2628"/>
      <c r="I5" s="2629"/>
      <c r="J5" s="2630"/>
      <c r="K5" s="2631"/>
      <c r="L5" s="2632"/>
    </row>
    <row r="6" spans="1:12" ht="18.45" customHeight="1" x14ac:dyDescent="0.25">
      <c r="A6" s="1780" t="s">
        <v>1036</v>
      </c>
      <c r="B6" s="2633">
        <v>197002</v>
      </c>
      <c r="C6" s="2634">
        <v>192152</v>
      </c>
      <c r="D6" s="2634">
        <v>196114</v>
      </c>
      <c r="E6" s="2635">
        <v>194970</v>
      </c>
      <c r="F6" s="2636">
        <v>192099</v>
      </c>
      <c r="G6" s="2637">
        <v>201483</v>
      </c>
      <c r="H6" s="2637">
        <v>203723</v>
      </c>
      <c r="I6" s="2638">
        <v>206484</v>
      </c>
      <c r="J6" s="2639">
        <v>207220</v>
      </c>
      <c r="K6" s="2636">
        <v>195051</v>
      </c>
      <c r="L6" s="2640">
        <v>200932</v>
      </c>
    </row>
    <row r="7" spans="1:12" ht="18.45" customHeight="1" x14ac:dyDescent="0.25">
      <c r="A7" s="1769" t="s">
        <v>1037</v>
      </c>
      <c r="B7" s="2641">
        <v>20120</v>
      </c>
      <c r="C7" s="2642">
        <v>18252</v>
      </c>
      <c r="D7" s="2642">
        <v>18210</v>
      </c>
      <c r="E7" s="2643">
        <v>18055</v>
      </c>
      <c r="F7" s="2644">
        <v>18315</v>
      </c>
      <c r="G7" s="2645">
        <v>18601</v>
      </c>
      <c r="H7" s="2645">
        <v>19976</v>
      </c>
      <c r="I7" s="2646">
        <v>21492</v>
      </c>
      <c r="J7" s="2647">
        <v>22231</v>
      </c>
      <c r="K7" s="2644">
        <v>18663</v>
      </c>
      <c r="L7" s="2645">
        <v>19594</v>
      </c>
    </row>
    <row r="8" spans="1:12" ht="18.45" customHeight="1" x14ac:dyDescent="0.25">
      <c r="A8" s="1769" t="s">
        <v>1038</v>
      </c>
      <c r="B8" s="2648">
        <v>176882</v>
      </c>
      <c r="C8" s="2649">
        <v>173900</v>
      </c>
      <c r="D8" s="2649">
        <v>177904</v>
      </c>
      <c r="E8" s="2650">
        <v>176915</v>
      </c>
      <c r="F8" s="2587">
        <v>173784</v>
      </c>
      <c r="G8" s="2585">
        <v>182882</v>
      </c>
      <c r="H8" s="2585">
        <v>183747</v>
      </c>
      <c r="I8" s="2586">
        <v>184992</v>
      </c>
      <c r="J8" s="2588">
        <v>184989</v>
      </c>
      <c r="K8" s="2587">
        <v>176388</v>
      </c>
      <c r="L8" s="2585">
        <v>181338</v>
      </c>
    </row>
    <row r="9" spans="1:12" ht="18.45" customHeight="1" x14ac:dyDescent="0.25">
      <c r="A9" s="1769" t="s">
        <v>1039</v>
      </c>
      <c r="B9" s="2648"/>
      <c r="C9" s="2649"/>
      <c r="D9" s="2649"/>
      <c r="E9" s="2650"/>
      <c r="F9" s="2587"/>
      <c r="G9" s="2585"/>
      <c r="H9" s="2585"/>
      <c r="I9" s="2586"/>
      <c r="J9" s="2588"/>
      <c r="K9" s="2587"/>
      <c r="L9" s="2585"/>
    </row>
    <row r="10" spans="1:12" ht="18.45" customHeight="1" x14ac:dyDescent="0.25">
      <c r="A10" s="1527" t="s">
        <v>425</v>
      </c>
      <c r="B10" s="2648">
        <v>6142</v>
      </c>
      <c r="C10" s="2649">
        <v>6147</v>
      </c>
      <c r="D10" s="2649">
        <v>6438</v>
      </c>
      <c r="E10" s="2650">
        <v>6408</v>
      </c>
      <c r="F10" s="2587">
        <v>5549</v>
      </c>
      <c r="G10" s="2585">
        <v>6771</v>
      </c>
      <c r="H10" s="2585">
        <v>6534</v>
      </c>
      <c r="I10" s="2586">
        <v>6778</v>
      </c>
      <c r="J10" s="2588">
        <v>6611</v>
      </c>
      <c r="K10" s="2587">
        <v>6283</v>
      </c>
      <c r="L10" s="2585">
        <v>6407</v>
      </c>
    </row>
    <row r="11" spans="1:12" ht="18.45" customHeight="1" x14ac:dyDescent="0.25">
      <c r="A11" s="1527" t="s">
        <v>612</v>
      </c>
      <c r="B11" s="2648">
        <v>2871</v>
      </c>
      <c r="C11" s="2649">
        <v>3574</v>
      </c>
      <c r="D11" s="2649">
        <v>4049</v>
      </c>
      <c r="E11" s="2650">
        <v>3923</v>
      </c>
      <c r="F11" s="2587">
        <v>3937</v>
      </c>
      <c r="G11" s="2585">
        <v>4316</v>
      </c>
      <c r="H11" s="2585">
        <v>4189</v>
      </c>
      <c r="I11" s="2586">
        <v>3295</v>
      </c>
      <c r="J11" s="2588">
        <v>3328</v>
      </c>
      <c r="K11" s="2587">
        <v>3601</v>
      </c>
      <c r="L11" s="2585">
        <v>3933</v>
      </c>
    </row>
    <row r="12" spans="1:12" ht="18.45" customHeight="1" x14ac:dyDescent="0.25">
      <c r="A12" s="1527" t="s">
        <v>1040</v>
      </c>
      <c r="B12" s="2648">
        <v>3811</v>
      </c>
      <c r="C12" s="2649">
        <v>3751</v>
      </c>
      <c r="D12" s="2649">
        <v>3770</v>
      </c>
      <c r="E12" s="2650">
        <v>3128</v>
      </c>
      <c r="F12" s="2587">
        <v>2883</v>
      </c>
      <c r="G12" s="2585">
        <v>3248</v>
      </c>
      <c r="H12" s="2585">
        <v>3167</v>
      </c>
      <c r="I12" s="2586">
        <v>3247</v>
      </c>
      <c r="J12" s="2588">
        <v>3468</v>
      </c>
      <c r="K12" s="2587">
        <v>3612</v>
      </c>
      <c r="L12" s="2585">
        <v>3137</v>
      </c>
    </row>
    <row r="13" spans="1:12" ht="18.45" customHeight="1" x14ac:dyDescent="0.25">
      <c r="A13" s="1543" t="s">
        <v>1041</v>
      </c>
      <c r="B13" s="2648">
        <v>164058</v>
      </c>
      <c r="C13" s="2649">
        <v>160428</v>
      </c>
      <c r="D13" s="2649">
        <v>163647</v>
      </c>
      <c r="E13" s="2650">
        <v>163456</v>
      </c>
      <c r="F13" s="2651">
        <v>161415</v>
      </c>
      <c r="G13" s="2585">
        <v>168547</v>
      </c>
      <c r="H13" s="2585">
        <v>169857</v>
      </c>
      <c r="I13" s="2586">
        <v>171672</v>
      </c>
      <c r="J13" s="2652">
        <v>171582</v>
      </c>
      <c r="K13" s="2587">
        <v>162892</v>
      </c>
      <c r="L13" s="2653">
        <v>167861</v>
      </c>
    </row>
    <row r="14" spans="1:12" ht="18.45" customHeight="1" x14ac:dyDescent="0.25">
      <c r="A14" s="1543" t="s">
        <v>1042</v>
      </c>
      <c r="B14" s="2648">
        <v>1796</v>
      </c>
      <c r="C14" s="2649">
        <v>1780</v>
      </c>
      <c r="D14" s="2649">
        <v>1729</v>
      </c>
      <c r="E14" s="2650">
        <v>1697</v>
      </c>
      <c r="F14" s="2587">
        <v>1696</v>
      </c>
      <c r="G14" s="2585">
        <v>1773</v>
      </c>
      <c r="H14" s="2585">
        <v>1816</v>
      </c>
      <c r="I14" s="2586">
        <v>1809</v>
      </c>
      <c r="J14" s="2588">
        <v>1697</v>
      </c>
      <c r="K14" s="2587">
        <v>7002</v>
      </c>
      <c r="L14" s="2585">
        <v>7094</v>
      </c>
    </row>
    <row r="15" spans="1:12" ht="18.45" customHeight="1" x14ac:dyDescent="0.25">
      <c r="A15" s="1769" t="s">
        <v>1039</v>
      </c>
      <c r="B15" s="2648"/>
      <c r="C15" s="2649"/>
      <c r="D15" s="2649"/>
      <c r="E15" s="2650"/>
      <c r="F15" s="2587"/>
      <c r="G15" s="2585"/>
      <c r="H15" s="2585"/>
      <c r="I15" s="2586"/>
      <c r="J15" s="2588"/>
      <c r="K15" s="2587"/>
      <c r="L15" s="2585"/>
    </row>
    <row r="16" spans="1:12" ht="18.45" customHeight="1" x14ac:dyDescent="0.25">
      <c r="A16" s="1527" t="s">
        <v>1050</v>
      </c>
      <c r="B16" s="2648">
        <v>23</v>
      </c>
      <c r="C16" s="2649">
        <v>38</v>
      </c>
      <c r="D16" s="2649">
        <v>17</v>
      </c>
      <c r="E16" s="2650">
        <v>-12</v>
      </c>
      <c r="F16" s="2587">
        <v>10</v>
      </c>
      <c r="G16" s="2585">
        <v>19</v>
      </c>
      <c r="H16" s="2585">
        <v>59</v>
      </c>
      <c r="I16" s="2586">
        <v>35</v>
      </c>
      <c r="J16" s="2588">
        <v>13</v>
      </c>
      <c r="K16" s="2587">
        <v>66</v>
      </c>
      <c r="L16" s="2585">
        <v>123</v>
      </c>
    </row>
    <row r="17" spans="1:12" ht="18.45" customHeight="1" x14ac:dyDescent="0.25">
      <c r="A17" s="1543" t="s">
        <v>1044</v>
      </c>
      <c r="B17" s="2648">
        <v>1773</v>
      </c>
      <c r="C17" s="2649">
        <v>1742</v>
      </c>
      <c r="D17" s="2649">
        <v>1712</v>
      </c>
      <c r="E17" s="2650">
        <v>1709</v>
      </c>
      <c r="F17" s="2587">
        <v>1686</v>
      </c>
      <c r="G17" s="2585">
        <v>1754</v>
      </c>
      <c r="H17" s="2585">
        <v>1757</v>
      </c>
      <c r="I17" s="2586">
        <v>1774</v>
      </c>
      <c r="J17" s="2588">
        <v>1684</v>
      </c>
      <c r="K17" s="2587">
        <v>6936</v>
      </c>
      <c r="L17" s="2585">
        <v>6971</v>
      </c>
    </row>
    <row r="18" spans="1:12" ht="18.45" customHeight="1" x14ac:dyDescent="0.25">
      <c r="A18" s="1543" t="s">
        <v>1051</v>
      </c>
      <c r="B18" s="2654">
        <v>4.29</v>
      </c>
      <c r="C18" s="2655">
        <v>4.3099999999999996</v>
      </c>
      <c r="D18" s="2655">
        <v>4.29</v>
      </c>
      <c r="E18" s="2656">
        <v>4.1500000000000004</v>
      </c>
      <c r="F18" s="2607">
        <v>4.16</v>
      </c>
      <c r="G18" s="2605">
        <v>4.1399999999999997</v>
      </c>
      <c r="H18" s="2605">
        <v>4.2</v>
      </c>
      <c r="I18" s="2606">
        <v>4.1100000000000003</v>
      </c>
      <c r="J18" s="2657">
        <v>3.89</v>
      </c>
      <c r="K18" s="2607">
        <v>4.26</v>
      </c>
      <c r="L18" s="2605">
        <v>4.1500000000000004</v>
      </c>
    </row>
    <row r="19" spans="1:12" ht="18.45" customHeight="1" x14ac:dyDescent="0.25">
      <c r="A19" s="2658"/>
      <c r="B19" s="2659"/>
      <c r="C19" s="2660"/>
      <c r="D19" s="2660"/>
      <c r="E19" s="2661"/>
      <c r="F19" s="2662"/>
      <c r="G19" s="1771"/>
      <c r="H19" s="1771"/>
      <c r="I19" s="2663"/>
      <c r="J19" s="2664"/>
      <c r="K19" s="2662"/>
      <c r="L19" s="1771"/>
    </row>
    <row r="20" spans="1:12" ht="18.45" customHeight="1" x14ac:dyDescent="0.25">
      <c r="A20" s="1337" t="s">
        <v>1052</v>
      </c>
      <c r="B20" s="1332"/>
      <c r="C20" s="1333"/>
      <c r="D20" s="1333"/>
      <c r="E20" s="2665"/>
      <c r="F20" s="2666"/>
      <c r="G20" s="1333"/>
      <c r="H20" s="1333"/>
      <c r="I20" s="2665"/>
      <c r="J20" s="2667"/>
      <c r="K20" s="2668"/>
      <c r="L20" s="2669"/>
    </row>
    <row r="21" spans="1:12" ht="18.45" customHeight="1" x14ac:dyDescent="0.25">
      <c r="A21" s="1780" t="s">
        <v>1036</v>
      </c>
      <c r="B21" s="2633">
        <v>27093</v>
      </c>
      <c r="C21" s="2634">
        <v>27049</v>
      </c>
      <c r="D21" s="2634">
        <v>27582</v>
      </c>
      <c r="E21" s="2635">
        <v>27413</v>
      </c>
      <c r="F21" s="2636">
        <v>25907</v>
      </c>
      <c r="G21" s="2637">
        <v>25594</v>
      </c>
      <c r="H21" s="2637">
        <v>25294</v>
      </c>
      <c r="I21" s="2638">
        <v>25053</v>
      </c>
      <c r="J21" s="2639">
        <v>24504</v>
      </c>
      <c r="K21" s="2636">
        <v>27282</v>
      </c>
      <c r="L21" s="2637">
        <v>25463</v>
      </c>
    </row>
    <row r="22" spans="1:12" ht="18.45" customHeight="1" x14ac:dyDescent="0.25">
      <c r="A22" s="1769" t="s">
        <v>1037</v>
      </c>
      <c r="B22" s="2648">
        <v>2075</v>
      </c>
      <c r="C22" s="2649">
        <v>2243</v>
      </c>
      <c r="D22" s="2649">
        <v>2136</v>
      </c>
      <c r="E22" s="2650">
        <v>1984</v>
      </c>
      <c r="F22" s="2587">
        <v>1912</v>
      </c>
      <c r="G22" s="2585">
        <v>1887</v>
      </c>
      <c r="H22" s="2585">
        <v>1876</v>
      </c>
      <c r="I22" s="2586">
        <v>1961</v>
      </c>
      <c r="J22" s="2588">
        <v>1626</v>
      </c>
      <c r="K22" s="2587">
        <v>2109</v>
      </c>
      <c r="L22" s="2585">
        <v>1909</v>
      </c>
    </row>
    <row r="23" spans="1:12" ht="18.45" customHeight="1" x14ac:dyDescent="0.25">
      <c r="A23" s="1769" t="s">
        <v>1038</v>
      </c>
      <c r="B23" s="2648">
        <v>25018</v>
      </c>
      <c r="C23" s="2649">
        <v>24806</v>
      </c>
      <c r="D23" s="2649">
        <v>25446</v>
      </c>
      <c r="E23" s="2650">
        <v>25429</v>
      </c>
      <c r="F23" s="2587">
        <v>23995</v>
      </c>
      <c r="G23" s="2585">
        <v>23707</v>
      </c>
      <c r="H23" s="2585">
        <v>23418</v>
      </c>
      <c r="I23" s="2586">
        <v>23092</v>
      </c>
      <c r="J23" s="2588">
        <v>22878</v>
      </c>
      <c r="K23" s="2587">
        <v>25173</v>
      </c>
      <c r="L23" s="2585">
        <v>23554</v>
      </c>
    </row>
    <row r="24" spans="1:12" ht="18.45" customHeight="1" x14ac:dyDescent="0.25">
      <c r="A24" s="1769" t="s">
        <v>1039</v>
      </c>
      <c r="B24" s="2648"/>
      <c r="C24" s="2649"/>
      <c r="D24" s="2649"/>
      <c r="E24" s="2650"/>
      <c r="F24" s="2587"/>
      <c r="G24" s="2585"/>
      <c r="H24" s="2585"/>
      <c r="I24" s="2586"/>
      <c r="J24" s="2588"/>
      <c r="K24" s="2587"/>
      <c r="L24" s="2585"/>
    </row>
    <row r="25" spans="1:12" ht="18.45" customHeight="1" x14ac:dyDescent="0.25">
      <c r="A25" s="1527" t="s">
        <v>425</v>
      </c>
      <c r="B25" s="2648">
        <v>0</v>
      </c>
      <c r="C25" s="2649">
        <v>0</v>
      </c>
      <c r="D25" s="2649">
        <v>0</v>
      </c>
      <c r="E25" s="2650">
        <v>0</v>
      </c>
      <c r="F25" s="2587">
        <v>0</v>
      </c>
      <c r="G25" s="2585">
        <v>0</v>
      </c>
      <c r="H25" s="2585">
        <v>0</v>
      </c>
      <c r="I25" s="2586">
        <v>0</v>
      </c>
      <c r="J25" s="2588">
        <v>0</v>
      </c>
      <c r="K25" s="2587">
        <v>0</v>
      </c>
      <c r="L25" s="2585">
        <v>0</v>
      </c>
    </row>
    <row r="26" spans="1:12" ht="18.45" customHeight="1" x14ac:dyDescent="0.25">
      <c r="A26" s="1527" t="s">
        <v>612</v>
      </c>
      <c r="B26" s="2648">
        <v>0</v>
      </c>
      <c r="C26" s="2649">
        <v>0</v>
      </c>
      <c r="D26" s="2649">
        <v>1</v>
      </c>
      <c r="E26" s="2650">
        <v>0</v>
      </c>
      <c r="F26" s="2587">
        <v>0</v>
      </c>
      <c r="G26" s="2585">
        <v>0</v>
      </c>
      <c r="H26" s="2585">
        <v>2</v>
      </c>
      <c r="I26" s="2586">
        <v>1</v>
      </c>
      <c r="J26" s="2588">
        <v>3</v>
      </c>
      <c r="K26" s="2587">
        <v>0</v>
      </c>
      <c r="L26" s="2585">
        <v>1</v>
      </c>
    </row>
    <row r="27" spans="1:12" ht="18.45" customHeight="1" x14ac:dyDescent="0.25">
      <c r="A27" s="1527" t="s">
        <v>1040</v>
      </c>
      <c r="B27" s="2648">
        <v>2869</v>
      </c>
      <c r="C27" s="2649">
        <v>2907</v>
      </c>
      <c r="D27" s="2649">
        <v>2920</v>
      </c>
      <c r="E27" s="2650">
        <v>2784</v>
      </c>
      <c r="F27" s="2587">
        <v>2810</v>
      </c>
      <c r="G27" s="2585">
        <v>2931</v>
      </c>
      <c r="H27" s="2585">
        <v>2862</v>
      </c>
      <c r="I27" s="2586">
        <v>2864</v>
      </c>
      <c r="J27" s="2588">
        <v>2837</v>
      </c>
      <c r="K27" s="2587">
        <v>2870</v>
      </c>
      <c r="L27" s="2585">
        <v>2868</v>
      </c>
    </row>
    <row r="28" spans="1:12" ht="18.45" customHeight="1" x14ac:dyDescent="0.25">
      <c r="A28" s="1543" t="s">
        <v>1041</v>
      </c>
      <c r="B28" s="2648">
        <v>22149</v>
      </c>
      <c r="C28" s="2649">
        <v>21899</v>
      </c>
      <c r="D28" s="2649">
        <v>22525</v>
      </c>
      <c r="E28" s="2650">
        <v>22645</v>
      </c>
      <c r="F28" s="2587">
        <v>21185</v>
      </c>
      <c r="G28" s="2585">
        <v>20776</v>
      </c>
      <c r="H28" s="2585">
        <v>20554</v>
      </c>
      <c r="I28" s="2586">
        <v>20227</v>
      </c>
      <c r="J28" s="2588">
        <v>20038</v>
      </c>
      <c r="K28" s="2587">
        <v>22303</v>
      </c>
      <c r="L28" s="2585">
        <v>20685</v>
      </c>
    </row>
    <row r="29" spans="1:12" ht="18.45" customHeight="1" x14ac:dyDescent="0.25">
      <c r="A29" s="1543" t="s">
        <v>1042</v>
      </c>
      <c r="B29" s="2648">
        <v>395</v>
      </c>
      <c r="C29" s="2649">
        <v>381</v>
      </c>
      <c r="D29" s="2649">
        <v>366</v>
      </c>
      <c r="E29" s="2650">
        <v>389</v>
      </c>
      <c r="F29" s="2587">
        <v>372</v>
      </c>
      <c r="G29" s="2585">
        <v>376</v>
      </c>
      <c r="H29" s="2585">
        <v>361</v>
      </c>
      <c r="I29" s="2586">
        <v>354</v>
      </c>
      <c r="J29" s="2588">
        <v>349</v>
      </c>
      <c r="K29" s="2587">
        <v>1531</v>
      </c>
      <c r="L29" s="2585">
        <v>1463</v>
      </c>
    </row>
    <row r="30" spans="1:12" ht="18.45" customHeight="1" x14ac:dyDescent="0.25">
      <c r="A30" s="1769" t="s">
        <v>1039</v>
      </c>
      <c r="B30" s="2648"/>
      <c r="C30" s="2649"/>
      <c r="D30" s="2670"/>
      <c r="E30" s="2650"/>
      <c r="F30" s="2587"/>
      <c r="G30" s="2585"/>
      <c r="H30" s="2585"/>
      <c r="I30" s="2586"/>
      <c r="J30" s="2588"/>
      <c r="K30" s="2587"/>
      <c r="L30" s="2585"/>
    </row>
    <row r="31" spans="1:12" ht="18.45" customHeight="1" x14ac:dyDescent="0.25">
      <c r="A31" s="1527" t="s">
        <v>1050</v>
      </c>
      <c r="B31" s="2648">
        <v>0</v>
      </c>
      <c r="C31" s="2649">
        <v>0</v>
      </c>
      <c r="D31" s="2649">
        <v>0</v>
      </c>
      <c r="E31" s="2650">
        <v>0</v>
      </c>
      <c r="F31" s="2587">
        <v>0</v>
      </c>
      <c r="G31" s="2585">
        <v>0</v>
      </c>
      <c r="H31" s="2585">
        <v>0</v>
      </c>
      <c r="I31" s="2586">
        <v>0</v>
      </c>
      <c r="J31" s="2588">
        <v>0</v>
      </c>
      <c r="K31" s="2587">
        <v>0</v>
      </c>
      <c r="L31" s="2585">
        <v>0</v>
      </c>
    </row>
    <row r="32" spans="1:12" ht="18.45" customHeight="1" x14ac:dyDescent="0.25">
      <c r="A32" s="1543" t="s">
        <v>1044</v>
      </c>
      <c r="B32" s="2648">
        <v>395</v>
      </c>
      <c r="C32" s="2649">
        <v>381</v>
      </c>
      <c r="D32" s="2649">
        <v>366</v>
      </c>
      <c r="E32" s="2650">
        <v>389</v>
      </c>
      <c r="F32" s="2587">
        <v>372</v>
      </c>
      <c r="G32" s="2585">
        <v>376</v>
      </c>
      <c r="H32" s="2585">
        <v>361</v>
      </c>
      <c r="I32" s="2586">
        <v>354</v>
      </c>
      <c r="J32" s="2588">
        <v>349</v>
      </c>
      <c r="K32" s="2587">
        <v>1531</v>
      </c>
      <c r="L32" s="2585">
        <v>1463</v>
      </c>
    </row>
    <row r="33" spans="1:12" ht="18.45" customHeight="1" x14ac:dyDescent="0.25">
      <c r="A33" s="1543" t="s">
        <v>1051</v>
      </c>
      <c r="B33" s="2654">
        <v>7.0841495869688842</v>
      </c>
      <c r="C33" s="2655">
        <v>6.91</v>
      </c>
      <c r="D33" s="2655">
        <v>6.66</v>
      </c>
      <c r="E33" s="2656">
        <v>6.81</v>
      </c>
      <c r="F33" s="2607">
        <v>6.99</v>
      </c>
      <c r="G33" s="2605">
        <v>7.19</v>
      </c>
      <c r="H33" s="2605">
        <v>7.15</v>
      </c>
      <c r="I33" s="2606">
        <v>6.98</v>
      </c>
      <c r="J33" s="2657">
        <v>6.91</v>
      </c>
      <c r="K33" s="2607">
        <v>6.87</v>
      </c>
      <c r="L33" s="2605">
        <v>7.07</v>
      </c>
    </row>
    <row r="34" spans="1:12" ht="18.45" customHeight="1" x14ac:dyDescent="0.25">
      <c r="A34" s="2658"/>
      <c r="B34" s="2659"/>
      <c r="C34" s="2660"/>
      <c r="D34" s="2660"/>
      <c r="E34" s="2661"/>
      <c r="F34" s="2662"/>
      <c r="G34" s="1771"/>
      <c r="H34" s="1771"/>
      <c r="I34" s="2663"/>
      <c r="J34" s="2664"/>
      <c r="K34" s="2662"/>
      <c r="L34" s="1771"/>
    </row>
    <row r="35" spans="1:12" ht="18.45" customHeight="1" x14ac:dyDescent="0.25">
      <c r="A35" s="1337" t="s">
        <v>1053</v>
      </c>
      <c r="B35" s="1332"/>
      <c r="C35" s="1333"/>
      <c r="D35" s="1333"/>
      <c r="E35" s="2665"/>
      <c r="F35" s="2666"/>
      <c r="G35" s="1333"/>
      <c r="H35" s="1333"/>
      <c r="I35" s="2665"/>
      <c r="J35" s="2667"/>
      <c r="K35" s="2668"/>
      <c r="L35" s="2669"/>
    </row>
    <row r="36" spans="1:12" ht="18.45" customHeight="1" x14ac:dyDescent="0.25">
      <c r="A36" s="1780" t="s">
        <v>1036</v>
      </c>
      <c r="B36" s="2633">
        <v>11015</v>
      </c>
      <c r="C36" s="2634">
        <v>11208</v>
      </c>
      <c r="D36" s="2634">
        <v>12080</v>
      </c>
      <c r="E36" s="2635">
        <v>12542</v>
      </c>
      <c r="F36" s="2636">
        <v>11780</v>
      </c>
      <c r="G36" s="2637">
        <v>11711</v>
      </c>
      <c r="H36" s="2637">
        <v>11651</v>
      </c>
      <c r="I36" s="2638">
        <v>11470</v>
      </c>
      <c r="J36" s="2639">
        <v>11384</v>
      </c>
      <c r="K36" s="2636">
        <v>11708</v>
      </c>
      <c r="L36" s="2637">
        <v>11653</v>
      </c>
    </row>
    <row r="37" spans="1:12" ht="18.45" customHeight="1" x14ac:dyDescent="0.25">
      <c r="A37" s="1769" t="s">
        <v>1037</v>
      </c>
      <c r="B37" s="2648">
        <v>36</v>
      </c>
      <c r="C37" s="2649">
        <v>10</v>
      </c>
      <c r="D37" s="2649">
        <v>228</v>
      </c>
      <c r="E37" s="2650">
        <v>893</v>
      </c>
      <c r="F37" s="2587">
        <v>1008</v>
      </c>
      <c r="G37" s="2585">
        <v>1018</v>
      </c>
      <c r="H37" s="2585">
        <v>1043</v>
      </c>
      <c r="I37" s="2586">
        <v>1016</v>
      </c>
      <c r="J37" s="2588">
        <v>955</v>
      </c>
      <c r="K37" s="2587">
        <v>292</v>
      </c>
      <c r="L37" s="2585">
        <v>1031</v>
      </c>
    </row>
    <row r="38" spans="1:12" ht="18.45" customHeight="1" x14ac:dyDescent="0.25">
      <c r="A38" s="1769" t="s">
        <v>1038</v>
      </c>
      <c r="B38" s="2648">
        <v>10979</v>
      </c>
      <c r="C38" s="2649">
        <v>11198</v>
      </c>
      <c r="D38" s="2649">
        <v>11852</v>
      </c>
      <c r="E38" s="2650">
        <v>11649</v>
      </c>
      <c r="F38" s="2587">
        <v>10772</v>
      </c>
      <c r="G38" s="2585">
        <v>10693</v>
      </c>
      <c r="H38" s="2585">
        <v>10608</v>
      </c>
      <c r="I38" s="2586">
        <v>10453.537955302065</v>
      </c>
      <c r="J38" s="2588">
        <v>10429.371875589239</v>
      </c>
      <c r="K38" s="2587">
        <v>11416</v>
      </c>
      <c r="L38" s="2585">
        <v>10622</v>
      </c>
    </row>
    <row r="39" spans="1:12" ht="18.45" customHeight="1" x14ac:dyDescent="0.25">
      <c r="A39" s="1769" t="s">
        <v>1039</v>
      </c>
      <c r="B39" s="2648"/>
      <c r="C39" s="2649"/>
      <c r="D39" s="2649"/>
      <c r="E39" s="2650"/>
      <c r="F39" s="2587"/>
      <c r="G39" s="2585"/>
      <c r="H39" s="2585"/>
      <c r="I39" s="2586"/>
      <c r="J39" s="2588"/>
      <c r="K39" s="2587"/>
      <c r="L39" s="2585"/>
    </row>
    <row r="40" spans="1:12" ht="18.45" customHeight="1" x14ac:dyDescent="0.25">
      <c r="A40" s="1527" t="s">
        <v>425</v>
      </c>
      <c r="B40" s="2648">
        <v>0</v>
      </c>
      <c r="C40" s="2649">
        <v>0</v>
      </c>
      <c r="D40" s="2649">
        <v>0</v>
      </c>
      <c r="E40" s="2650">
        <v>0</v>
      </c>
      <c r="F40" s="2587">
        <v>0</v>
      </c>
      <c r="G40" s="2585">
        <v>0</v>
      </c>
      <c r="H40" s="2585">
        <v>0</v>
      </c>
      <c r="I40" s="2586">
        <v>0</v>
      </c>
      <c r="J40" s="2588">
        <v>0</v>
      </c>
      <c r="K40" s="2587">
        <v>0</v>
      </c>
      <c r="L40" s="2585">
        <v>0</v>
      </c>
    </row>
    <row r="41" spans="1:12" ht="18.45" customHeight="1" x14ac:dyDescent="0.25">
      <c r="A41" s="1527" t="s">
        <v>612</v>
      </c>
      <c r="B41" s="2648">
        <v>58</v>
      </c>
      <c r="C41" s="2649">
        <v>126</v>
      </c>
      <c r="D41" s="2649">
        <v>193</v>
      </c>
      <c r="E41" s="2650">
        <v>272</v>
      </c>
      <c r="F41" s="2587">
        <v>132</v>
      </c>
      <c r="G41" s="2585">
        <v>127</v>
      </c>
      <c r="H41" s="2585">
        <v>123</v>
      </c>
      <c r="I41" s="2586">
        <v>135</v>
      </c>
      <c r="J41" s="2588">
        <v>136</v>
      </c>
      <c r="K41" s="2587">
        <v>162</v>
      </c>
      <c r="L41" s="2585">
        <v>129</v>
      </c>
    </row>
    <row r="42" spans="1:12" ht="18.45" customHeight="1" x14ac:dyDescent="0.25">
      <c r="A42" s="1527" t="s">
        <v>1040</v>
      </c>
      <c r="B42" s="2648">
        <v>696</v>
      </c>
      <c r="C42" s="2649">
        <v>687</v>
      </c>
      <c r="D42" s="2649">
        <v>725</v>
      </c>
      <c r="E42" s="2650">
        <v>699</v>
      </c>
      <c r="F42" s="2587">
        <v>677</v>
      </c>
      <c r="G42" s="2585">
        <v>660</v>
      </c>
      <c r="H42" s="2585">
        <v>633</v>
      </c>
      <c r="I42" s="2586">
        <v>657</v>
      </c>
      <c r="J42" s="2588">
        <v>605</v>
      </c>
      <c r="K42" s="2587">
        <v>702</v>
      </c>
      <c r="L42" s="2585">
        <v>656</v>
      </c>
    </row>
    <row r="43" spans="1:12" ht="18.45" customHeight="1" x14ac:dyDescent="0.25">
      <c r="A43" s="1543" t="s">
        <v>1041</v>
      </c>
      <c r="B43" s="2648">
        <v>10225</v>
      </c>
      <c r="C43" s="2649">
        <v>10385</v>
      </c>
      <c r="D43" s="2649">
        <v>10934</v>
      </c>
      <c r="E43" s="2650">
        <v>10678</v>
      </c>
      <c r="F43" s="2587">
        <v>9963</v>
      </c>
      <c r="G43" s="2585">
        <v>9906</v>
      </c>
      <c r="H43" s="2585">
        <v>9852</v>
      </c>
      <c r="I43" s="2586">
        <v>9661.5379553020648</v>
      </c>
      <c r="J43" s="2588">
        <v>9688.3718755892387</v>
      </c>
      <c r="K43" s="2587">
        <v>10552</v>
      </c>
      <c r="L43" s="2585">
        <v>9837</v>
      </c>
    </row>
    <row r="44" spans="1:12" ht="18.45" customHeight="1" x14ac:dyDescent="0.25">
      <c r="A44" s="1543" t="s">
        <v>1042</v>
      </c>
      <c r="B44" s="2648">
        <v>82</v>
      </c>
      <c r="C44" s="2649">
        <v>84</v>
      </c>
      <c r="D44" s="2649">
        <v>84</v>
      </c>
      <c r="E44" s="2650">
        <v>83</v>
      </c>
      <c r="F44" s="2587">
        <v>79</v>
      </c>
      <c r="G44" s="2585">
        <v>77</v>
      </c>
      <c r="H44" s="2585">
        <v>77</v>
      </c>
      <c r="I44" s="2586">
        <v>77</v>
      </c>
      <c r="J44" s="2588">
        <v>78</v>
      </c>
      <c r="K44" s="2587">
        <v>333</v>
      </c>
      <c r="L44" s="2585">
        <v>310</v>
      </c>
    </row>
    <row r="45" spans="1:12" ht="18.45" customHeight="1" x14ac:dyDescent="0.25">
      <c r="A45" s="1769" t="s">
        <v>1039</v>
      </c>
      <c r="B45" s="2648"/>
      <c r="C45" s="2649"/>
      <c r="D45" s="2670"/>
      <c r="E45" s="2650"/>
      <c r="F45" s="2587"/>
      <c r="G45" s="2585"/>
      <c r="H45" s="2585"/>
      <c r="I45" s="2586"/>
      <c r="J45" s="2588"/>
      <c r="K45" s="2587"/>
      <c r="L45" s="2585"/>
    </row>
    <row r="46" spans="1:12" ht="18.45" customHeight="1" x14ac:dyDescent="0.25">
      <c r="A46" s="1527" t="s">
        <v>1050</v>
      </c>
      <c r="B46" s="2648">
        <v>0</v>
      </c>
      <c r="C46" s="2649">
        <v>0</v>
      </c>
      <c r="D46" s="2670">
        <v>0</v>
      </c>
      <c r="E46" s="2650">
        <v>0</v>
      </c>
      <c r="F46" s="2587">
        <v>0</v>
      </c>
      <c r="G46" s="2585">
        <v>0</v>
      </c>
      <c r="H46" s="2585">
        <v>0</v>
      </c>
      <c r="I46" s="2586">
        <v>0</v>
      </c>
      <c r="J46" s="2588">
        <v>0</v>
      </c>
      <c r="K46" s="2587">
        <v>0</v>
      </c>
      <c r="L46" s="2585">
        <v>0</v>
      </c>
    </row>
    <row r="47" spans="1:12" ht="18.45" customHeight="1" x14ac:dyDescent="0.25">
      <c r="A47" s="1543" t="s">
        <v>1044</v>
      </c>
      <c r="B47" s="2648">
        <v>82</v>
      </c>
      <c r="C47" s="2649">
        <v>84</v>
      </c>
      <c r="D47" s="2649">
        <v>84</v>
      </c>
      <c r="E47" s="2650">
        <v>83</v>
      </c>
      <c r="F47" s="2587">
        <v>79</v>
      </c>
      <c r="G47" s="2585">
        <v>77</v>
      </c>
      <c r="H47" s="2585">
        <v>77</v>
      </c>
      <c r="I47" s="2586">
        <v>77</v>
      </c>
      <c r="J47" s="2588">
        <v>78</v>
      </c>
      <c r="K47" s="2587">
        <v>333</v>
      </c>
      <c r="L47" s="2585">
        <v>310</v>
      </c>
    </row>
    <row r="48" spans="1:12" ht="18.45" customHeight="1" x14ac:dyDescent="0.25">
      <c r="A48" s="2671" t="s">
        <v>1051</v>
      </c>
      <c r="B48" s="2672">
        <v>3.18</v>
      </c>
      <c r="C48" s="2673">
        <v>3.21</v>
      </c>
      <c r="D48" s="2673">
        <v>3.14</v>
      </c>
      <c r="E48" s="2674">
        <v>3.08</v>
      </c>
      <c r="F48" s="2675">
        <v>3.16</v>
      </c>
      <c r="G48" s="2676">
        <v>3.08</v>
      </c>
      <c r="H48" s="2676">
        <v>3.2</v>
      </c>
      <c r="I48" s="2677">
        <v>3.12</v>
      </c>
      <c r="J48" s="2678">
        <v>3.18</v>
      </c>
      <c r="K48" s="2675">
        <v>3.15</v>
      </c>
      <c r="L48" s="2676">
        <v>3.14</v>
      </c>
    </row>
    <row r="49" spans="1:12" ht="18.45" customHeight="1" x14ac:dyDescent="0.3">
      <c r="A49" s="2679"/>
      <c r="B49" s="2679"/>
      <c r="C49" s="2680"/>
      <c r="D49" s="2680"/>
      <c r="E49" s="2681"/>
      <c r="F49" s="2679"/>
      <c r="G49" s="2679"/>
      <c r="H49" s="2679"/>
      <c r="I49" s="2679"/>
      <c r="J49" s="2679"/>
      <c r="K49" s="2679"/>
      <c r="L49" s="2679"/>
    </row>
    <row r="50" spans="1:12" ht="12" customHeight="1" x14ac:dyDescent="0.25">
      <c r="A50" s="2682" t="s">
        <v>1054</v>
      </c>
      <c r="B50" s="2682"/>
      <c r="C50" s="2682"/>
      <c r="D50" s="2682"/>
      <c r="E50" s="2621"/>
      <c r="F50" s="2621"/>
      <c r="G50" s="2621"/>
      <c r="H50" s="2621"/>
      <c r="I50" s="2621"/>
      <c r="J50" s="2621"/>
      <c r="K50" s="2621"/>
      <c r="L50" s="2621"/>
    </row>
    <row r="51" spans="1:12" ht="12" customHeight="1" x14ac:dyDescent="0.25">
      <c r="A51" s="2682" t="s">
        <v>1047</v>
      </c>
      <c r="B51" s="2682"/>
      <c r="C51" s="2682"/>
      <c r="D51" s="2682"/>
      <c r="E51" s="2621"/>
      <c r="F51" s="2621"/>
      <c r="G51" s="2621"/>
      <c r="H51" s="2621"/>
      <c r="I51" s="2621"/>
      <c r="J51" s="2621"/>
      <c r="K51" s="2621"/>
      <c r="L51" s="2621"/>
    </row>
    <row r="52" spans="1:12" ht="18.45" customHeight="1" x14ac:dyDescent="0.25">
      <c r="B52" s="2683"/>
    </row>
  </sheetData>
  <mergeCells count="4">
    <mergeCell ref="A2:L2"/>
    <mergeCell ref="B3:E3"/>
    <mergeCell ref="F3:I3"/>
    <mergeCell ref="K3:L3"/>
  </mergeCells>
  <hyperlinks>
    <hyperlink ref="A1" location="ToC!A2" display="Back to Table of Contents" xr:uid="{B410EBED-1CCC-46B4-85EB-EE3808140462}"/>
  </hyperlinks>
  <pageMargins left="0.5" right="0.5" top="0.5" bottom="0.5" header="0.25" footer="0.25"/>
  <pageSetup scale="52" orientation="landscape" r:id="rId1"/>
  <headerFooter>
    <oddFooter>&amp;L&amp;G&amp;C&amp;"Scotia,Regular"&amp;9Supplementary Financial Information (SFI)&amp;R37&amp;"Scotia,Regular"&amp;7</oddFooter>
  </headerFooter>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F794-F64C-4CBB-8FF7-60D75C964D39}">
  <sheetPr>
    <pageSetUpPr fitToPage="1"/>
  </sheetPr>
  <dimension ref="A1:L47"/>
  <sheetViews>
    <sheetView showGridLines="0" zoomScaleNormal="100" workbookViewId="0"/>
  </sheetViews>
  <sheetFormatPr defaultColWidth="8.77734375" defaultRowHeight="13.2" x14ac:dyDescent="0.25"/>
  <cols>
    <col min="1" max="1" width="81.44140625" style="23" customWidth="1"/>
    <col min="2" max="3" width="20.77734375" style="23" customWidth="1"/>
    <col min="4" max="12" width="18.5546875" style="23" customWidth="1"/>
    <col min="13" max="16384" width="8.77734375" style="23"/>
  </cols>
  <sheetData>
    <row r="1" spans="1:12" ht="19.95" customHeight="1" x14ac:dyDescent="0.25">
      <c r="A1" s="22" t="s">
        <v>12</v>
      </c>
    </row>
    <row r="2" spans="1:12" ht="25.05" customHeight="1" x14ac:dyDescent="0.25">
      <c r="A2" s="2900" t="s">
        <v>969</v>
      </c>
      <c r="B2" s="2900" t="s">
        <v>15</v>
      </c>
      <c r="C2" s="2900" t="s">
        <v>15</v>
      </c>
      <c r="D2" s="2900" t="s">
        <v>15</v>
      </c>
      <c r="E2" s="2900" t="s">
        <v>15</v>
      </c>
      <c r="F2" s="2900" t="s">
        <v>15</v>
      </c>
      <c r="G2" s="2900" t="s">
        <v>15</v>
      </c>
      <c r="H2" s="2900" t="s">
        <v>15</v>
      </c>
      <c r="I2" s="2900" t="s">
        <v>15</v>
      </c>
      <c r="J2" s="2900" t="s">
        <v>15</v>
      </c>
      <c r="K2" s="2900" t="s">
        <v>15</v>
      </c>
      <c r="L2" s="2900" t="s">
        <v>15</v>
      </c>
    </row>
    <row r="3" spans="1:12" ht="18.600000000000001" customHeight="1" x14ac:dyDescent="0.25">
      <c r="A3" s="2684" t="s">
        <v>1055</v>
      </c>
      <c r="B3" s="2685"/>
      <c r="C3" s="2686"/>
      <c r="D3" s="2686"/>
      <c r="E3" s="2687"/>
      <c r="F3" s="2688"/>
      <c r="G3" s="2689"/>
      <c r="H3" s="2689"/>
      <c r="I3" s="2690"/>
      <c r="J3" s="2691"/>
      <c r="K3" s="2966" t="s">
        <v>163</v>
      </c>
      <c r="L3" s="2967" t="s">
        <v>15</v>
      </c>
    </row>
    <row r="4" spans="1:12" ht="18" customHeight="1" x14ac:dyDescent="0.25">
      <c r="A4" s="2512" t="s">
        <v>556</v>
      </c>
      <c r="B4" s="2513" t="s">
        <v>165</v>
      </c>
      <c r="C4" s="2514" t="s">
        <v>166</v>
      </c>
      <c r="D4" s="2514" t="s">
        <v>167</v>
      </c>
      <c r="E4" s="2515" t="s">
        <v>168</v>
      </c>
      <c r="F4" s="2516" t="s">
        <v>169</v>
      </c>
      <c r="G4" s="2514" t="s">
        <v>170</v>
      </c>
      <c r="H4" s="2514" t="s">
        <v>171</v>
      </c>
      <c r="I4" s="2515" t="s">
        <v>172</v>
      </c>
      <c r="J4" s="2517" t="s">
        <v>173</v>
      </c>
      <c r="K4" s="2516">
        <v>2025</v>
      </c>
      <c r="L4" s="2514">
        <v>2024</v>
      </c>
    </row>
    <row r="5" spans="1:12" ht="18" customHeight="1" x14ac:dyDescent="0.25">
      <c r="A5" s="2518" t="s">
        <v>1056</v>
      </c>
      <c r="B5" s="2519"/>
      <c r="C5" s="2520"/>
      <c r="D5" s="2520"/>
      <c r="E5" s="2521"/>
      <c r="F5" s="2522"/>
      <c r="G5" s="2520"/>
      <c r="H5" s="2520"/>
      <c r="I5" s="2521"/>
      <c r="J5" s="2523"/>
      <c r="K5" s="2522"/>
      <c r="L5" s="2520"/>
    </row>
    <row r="6" spans="1:12" ht="18" customHeight="1" x14ac:dyDescent="0.25">
      <c r="A6" s="2524" t="s">
        <v>307</v>
      </c>
      <c r="B6" s="2519"/>
      <c r="C6" s="2520"/>
      <c r="D6" s="2520"/>
      <c r="E6" s="2521"/>
      <c r="F6" s="2522"/>
      <c r="G6" s="2520"/>
      <c r="H6" s="2520"/>
      <c r="I6" s="2521"/>
      <c r="J6" s="2523"/>
      <c r="K6" s="2522"/>
      <c r="L6" s="2520"/>
    </row>
    <row r="7" spans="1:12" ht="18" customHeight="1" x14ac:dyDescent="0.25">
      <c r="A7" s="2692" t="s">
        <v>178</v>
      </c>
      <c r="B7" s="2119">
        <v>2104</v>
      </c>
      <c r="C7" s="2120">
        <v>2313</v>
      </c>
      <c r="D7" s="2120">
        <v>1841</v>
      </c>
      <c r="E7" s="2121">
        <v>1025</v>
      </c>
      <c r="F7" s="2122">
        <v>1521</v>
      </c>
      <c r="G7" s="2120">
        <v>1756</v>
      </c>
      <c r="H7" s="2120">
        <v>1943</v>
      </c>
      <c r="I7" s="2121">
        <v>2066</v>
      </c>
      <c r="J7" s="2123">
        <v>1214</v>
      </c>
      <c r="K7" s="2122">
        <v>7283</v>
      </c>
      <c r="L7" s="2120">
        <v>7286</v>
      </c>
    </row>
    <row r="8" spans="1:12" ht="18" customHeight="1" x14ac:dyDescent="0.25">
      <c r="A8" s="2693" t="s">
        <v>1057</v>
      </c>
      <c r="B8" s="2119">
        <v>13</v>
      </c>
      <c r="C8" s="2120">
        <v>27</v>
      </c>
      <c r="D8" s="2120">
        <v>14</v>
      </c>
      <c r="E8" s="2121">
        <v>20</v>
      </c>
      <c r="F8" s="2122">
        <v>5</v>
      </c>
      <c r="G8" s="2120">
        <v>5</v>
      </c>
      <c r="H8" s="2694">
        <v>-8</v>
      </c>
      <c r="I8" s="2695">
        <v>-14</v>
      </c>
      <c r="J8" s="2695">
        <v>-3</v>
      </c>
      <c r="K8" s="2122">
        <v>74</v>
      </c>
      <c r="L8" s="2694">
        <v>-12</v>
      </c>
    </row>
    <row r="9" spans="1:12" ht="18" customHeight="1" x14ac:dyDescent="0.25">
      <c r="A9" s="2692" t="s">
        <v>1058</v>
      </c>
      <c r="B9" s="2119">
        <v>2091</v>
      </c>
      <c r="C9" s="2120">
        <v>2286</v>
      </c>
      <c r="D9" s="2120">
        <v>1827</v>
      </c>
      <c r="E9" s="2121">
        <v>1005</v>
      </c>
      <c r="F9" s="2122">
        <v>1516</v>
      </c>
      <c r="G9" s="2120">
        <v>1751</v>
      </c>
      <c r="H9" s="2120">
        <v>1951</v>
      </c>
      <c r="I9" s="2121">
        <v>2080</v>
      </c>
      <c r="J9" s="2123">
        <v>1217</v>
      </c>
      <c r="K9" s="2122">
        <v>7209</v>
      </c>
      <c r="L9" s="2120">
        <v>7298</v>
      </c>
    </row>
    <row r="10" spans="1:12" ht="18" customHeight="1" x14ac:dyDescent="0.25">
      <c r="A10" s="2692"/>
      <c r="B10" s="2519"/>
      <c r="C10" s="2520"/>
      <c r="D10" s="2520"/>
      <c r="E10" s="2521"/>
      <c r="F10" s="2522"/>
      <c r="G10" s="2520"/>
      <c r="H10" s="2520"/>
      <c r="I10" s="2521"/>
      <c r="J10" s="2523"/>
      <c r="K10" s="2522"/>
      <c r="L10" s="2520"/>
    </row>
    <row r="11" spans="1:12" ht="18" customHeight="1" x14ac:dyDescent="0.25">
      <c r="A11" s="2692" t="s">
        <v>1059</v>
      </c>
      <c r="B11" s="2119">
        <v>76093</v>
      </c>
      <c r="C11" s="2120">
        <v>74972</v>
      </c>
      <c r="D11" s="2120">
        <v>74625</v>
      </c>
      <c r="E11" s="2121">
        <v>74077</v>
      </c>
      <c r="F11" s="2122">
        <v>73158</v>
      </c>
      <c r="G11" s="2120">
        <v>71651</v>
      </c>
      <c r="H11" s="2120">
        <v>70277</v>
      </c>
      <c r="I11" s="2121">
        <v>69372</v>
      </c>
      <c r="J11" s="2123">
        <v>68352</v>
      </c>
      <c r="K11" s="2122">
        <v>75005</v>
      </c>
      <c r="L11" s="2120">
        <v>71127</v>
      </c>
    </row>
    <row r="12" spans="1:12" ht="18" customHeight="1" x14ac:dyDescent="0.25">
      <c r="A12" s="2693" t="s">
        <v>1060</v>
      </c>
      <c r="B12" s="2119">
        <v>1424</v>
      </c>
      <c r="C12" s="2120">
        <v>1300</v>
      </c>
      <c r="D12" s="2120">
        <v>1334</v>
      </c>
      <c r="E12" s="2121">
        <v>2101</v>
      </c>
      <c r="F12" s="2122">
        <v>2533</v>
      </c>
      <c r="G12" s="2696">
        <v>2685</v>
      </c>
      <c r="H12" s="2696">
        <v>2768</v>
      </c>
      <c r="I12" s="2697">
        <v>2714</v>
      </c>
      <c r="J12" s="2698">
        <v>2607</v>
      </c>
      <c r="K12" s="2699">
        <v>1542</v>
      </c>
      <c r="L12" s="2696">
        <v>2674</v>
      </c>
    </row>
    <row r="13" spans="1:12" ht="18" customHeight="1" x14ac:dyDescent="0.25">
      <c r="A13" s="2692" t="s">
        <v>1061</v>
      </c>
      <c r="B13" s="2119">
        <v>74669</v>
      </c>
      <c r="C13" s="2120">
        <v>73672</v>
      </c>
      <c r="D13" s="2120">
        <v>73291</v>
      </c>
      <c r="E13" s="2121">
        <v>71976</v>
      </c>
      <c r="F13" s="2122">
        <v>70625</v>
      </c>
      <c r="G13" s="2120">
        <v>68966</v>
      </c>
      <c r="H13" s="2120">
        <v>67509</v>
      </c>
      <c r="I13" s="2121">
        <v>66658</v>
      </c>
      <c r="J13" s="2123">
        <v>65745</v>
      </c>
      <c r="K13" s="2122">
        <v>73463</v>
      </c>
      <c r="L13" s="2120">
        <v>68453</v>
      </c>
    </row>
    <row r="14" spans="1:12" ht="18" customHeight="1" x14ac:dyDescent="0.25">
      <c r="A14" s="2700"/>
      <c r="B14" s="2519"/>
      <c r="C14" s="2520"/>
      <c r="D14" s="2520"/>
      <c r="E14" s="2521"/>
      <c r="F14" s="2522"/>
      <c r="G14" s="2520"/>
      <c r="H14" s="2520"/>
      <c r="I14" s="2521"/>
      <c r="J14" s="2523"/>
      <c r="K14" s="2522"/>
      <c r="L14" s="2520"/>
    </row>
    <row r="15" spans="1:12" ht="18" customHeight="1" x14ac:dyDescent="0.25">
      <c r="A15" s="2701" t="s">
        <v>1062</v>
      </c>
      <c r="B15" s="2702">
        <v>0.111</v>
      </c>
      <c r="C15" s="2703">
        <v>0.123</v>
      </c>
      <c r="D15" s="2703">
        <v>0.10199999999999999</v>
      </c>
      <c r="E15" s="2704">
        <v>5.5E-2</v>
      </c>
      <c r="F15" s="2705">
        <v>8.5000000000000006E-2</v>
      </c>
      <c r="G15" s="2703">
        <v>0.10100000000000001</v>
      </c>
      <c r="H15" s="2703">
        <v>0.11799999999999999</v>
      </c>
      <c r="I15" s="2704">
        <v>0.124</v>
      </c>
      <c r="J15" s="2706">
        <v>7.2999999999999995E-2</v>
      </c>
      <c r="K15" s="2705">
        <v>9.8000000000000004E-2</v>
      </c>
      <c r="L15" s="2703">
        <v>0.107</v>
      </c>
    </row>
    <row r="16" spans="1:12" ht="18" customHeight="1" x14ac:dyDescent="0.25">
      <c r="A16" s="2707"/>
      <c r="B16" s="2519"/>
      <c r="C16" s="2520"/>
      <c r="D16" s="2520"/>
      <c r="E16" s="2521"/>
      <c r="F16" s="2522"/>
      <c r="G16" s="2520"/>
      <c r="H16" s="2520"/>
      <c r="I16" s="2521"/>
      <c r="J16" s="2523"/>
      <c r="K16" s="2522"/>
      <c r="L16" s="2520"/>
    </row>
    <row r="17" spans="1:12" ht="18" customHeight="1" x14ac:dyDescent="0.25">
      <c r="A17" s="2708" t="s">
        <v>1063</v>
      </c>
      <c r="B17" s="2519"/>
      <c r="C17" s="2520"/>
      <c r="D17" s="2520"/>
      <c r="E17" s="2521"/>
      <c r="F17" s="2522"/>
      <c r="G17" s="2520"/>
      <c r="H17" s="2520"/>
      <c r="I17" s="2521"/>
      <c r="J17" s="2523"/>
      <c r="K17" s="2522"/>
      <c r="L17" s="2520"/>
    </row>
    <row r="18" spans="1:12" ht="18" customHeight="1" x14ac:dyDescent="0.25">
      <c r="A18" s="2692" t="s">
        <v>178</v>
      </c>
      <c r="B18" s="2119">
        <v>2403</v>
      </c>
      <c r="C18" s="2120">
        <v>2341</v>
      </c>
      <c r="D18" s="2120">
        <v>1897</v>
      </c>
      <c r="E18" s="2121">
        <v>2203</v>
      </c>
      <c r="F18" s="2122">
        <v>1951</v>
      </c>
      <c r="G18" s="2120">
        <v>2033</v>
      </c>
      <c r="H18" s="2120">
        <v>1956</v>
      </c>
      <c r="I18" s="2121">
        <v>2079</v>
      </c>
      <c r="J18" s="2123">
        <v>1500</v>
      </c>
      <c r="K18" s="2122">
        <v>8844</v>
      </c>
      <c r="L18" s="2120">
        <v>8019</v>
      </c>
    </row>
    <row r="19" spans="1:12" ht="18" customHeight="1" x14ac:dyDescent="0.25">
      <c r="A19" s="2693" t="s">
        <v>1057</v>
      </c>
      <c r="B19" s="2119">
        <v>13</v>
      </c>
      <c r="C19" s="2120">
        <v>27</v>
      </c>
      <c r="D19" s="2120">
        <v>14</v>
      </c>
      <c r="E19" s="2121">
        <v>20</v>
      </c>
      <c r="F19" s="2122">
        <v>6</v>
      </c>
      <c r="G19" s="2120">
        <v>6</v>
      </c>
      <c r="H19" s="2694">
        <v>-7</v>
      </c>
      <c r="I19" s="2695">
        <v>-14</v>
      </c>
      <c r="J19" s="2695">
        <v>-3</v>
      </c>
      <c r="K19" s="2122">
        <v>74</v>
      </c>
      <c r="L19" s="2694">
        <v>-9</v>
      </c>
    </row>
    <row r="20" spans="1:12" ht="18" customHeight="1" x14ac:dyDescent="0.25">
      <c r="A20" s="2692" t="s">
        <v>1058</v>
      </c>
      <c r="B20" s="2119">
        <v>2390</v>
      </c>
      <c r="C20" s="2120">
        <v>2314</v>
      </c>
      <c r="D20" s="2120">
        <v>1883</v>
      </c>
      <c r="E20" s="2121">
        <v>2183</v>
      </c>
      <c r="F20" s="2122">
        <v>1945</v>
      </c>
      <c r="G20" s="2120">
        <v>2027</v>
      </c>
      <c r="H20" s="2120">
        <v>1963</v>
      </c>
      <c r="I20" s="2121">
        <v>2093</v>
      </c>
      <c r="J20" s="2123">
        <v>1503</v>
      </c>
      <c r="K20" s="2122">
        <v>8770</v>
      </c>
      <c r="L20" s="2120">
        <v>8028</v>
      </c>
    </row>
    <row r="21" spans="1:12" ht="18" customHeight="1" x14ac:dyDescent="0.25">
      <c r="A21" s="2709"/>
      <c r="B21" s="2519"/>
      <c r="C21" s="2520"/>
      <c r="D21" s="2520"/>
      <c r="E21" s="2521"/>
      <c r="F21" s="2522"/>
      <c r="G21" s="2520"/>
      <c r="H21" s="2520"/>
      <c r="I21" s="2521"/>
      <c r="J21" s="2523"/>
      <c r="K21" s="2522"/>
      <c r="L21" s="2520"/>
    </row>
    <row r="22" spans="1:12" ht="18" customHeight="1" x14ac:dyDescent="0.25">
      <c r="A22" s="2701" t="s">
        <v>1064</v>
      </c>
      <c r="B22" s="2702">
        <v>0.127</v>
      </c>
      <c r="C22" s="2703">
        <v>0.125</v>
      </c>
      <c r="D22" s="2703">
        <v>0.105</v>
      </c>
      <c r="E22" s="2704">
        <v>0.12</v>
      </c>
      <c r="F22" s="2705">
        <v>0.11</v>
      </c>
      <c r="G22" s="2703">
        <v>0.11700000000000001</v>
      </c>
      <c r="H22" s="2703">
        <v>0.11799999999999999</v>
      </c>
      <c r="I22" s="2704">
        <v>0.125</v>
      </c>
      <c r="J22" s="2706">
        <v>9.0999999999999998E-2</v>
      </c>
      <c r="K22" s="2705">
        <v>0.11899999999999999</v>
      </c>
      <c r="L22" s="2703">
        <v>0.11700000000000001</v>
      </c>
    </row>
    <row r="23" spans="1:12" ht="18" customHeight="1" x14ac:dyDescent="0.25">
      <c r="A23" s="2540"/>
      <c r="B23" s="2541"/>
      <c r="C23" s="2542"/>
      <c r="D23" s="2543"/>
      <c r="E23" s="2540"/>
      <c r="F23" s="2544"/>
      <c r="G23" s="2542"/>
      <c r="H23" s="2542"/>
      <c r="I23" s="2540"/>
      <c r="J23" s="2545"/>
      <c r="K23" s="2544"/>
      <c r="L23" s="2542"/>
    </row>
    <row r="24" spans="1:12" ht="18" customHeight="1" x14ac:dyDescent="0.25">
      <c r="A24" s="2518" t="s">
        <v>1065</v>
      </c>
      <c r="B24" s="2519"/>
      <c r="C24" s="2520"/>
      <c r="D24" s="2533"/>
      <c r="E24" s="2521"/>
      <c r="F24" s="2522"/>
      <c r="G24" s="2520"/>
      <c r="H24" s="2520"/>
      <c r="I24" s="2521"/>
      <c r="J24" s="2523"/>
      <c r="K24" s="2522"/>
      <c r="L24" s="2520"/>
    </row>
    <row r="25" spans="1:12" ht="18" customHeight="1" x14ac:dyDescent="0.25">
      <c r="A25" s="2524" t="s">
        <v>307</v>
      </c>
      <c r="B25" s="2519"/>
      <c r="C25" s="2520"/>
      <c r="D25" s="2520"/>
      <c r="E25" s="2521"/>
      <c r="F25" s="2522"/>
      <c r="G25" s="2520"/>
      <c r="H25" s="2520"/>
      <c r="I25" s="2521"/>
      <c r="J25" s="2523"/>
      <c r="K25" s="2699"/>
      <c r="L25" s="2696"/>
    </row>
    <row r="26" spans="1:12" ht="18" customHeight="1" x14ac:dyDescent="0.25">
      <c r="A26" s="2692" t="s">
        <v>178</v>
      </c>
      <c r="B26" s="2119">
        <v>634</v>
      </c>
      <c r="C26" s="2120">
        <v>670</v>
      </c>
      <c r="D26" s="2120">
        <v>676</v>
      </c>
      <c r="E26" s="2121">
        <v>651</v>
      </c>
      <c r="F26" s="2122">
        <v>600</v>
      </c>
      <c r="G26" s="2120">
        <v>629</v>
      </c>
      <c r="H26" s="2120">
        <v>639</v>
      </c>
      <c r="I26" s="2121">
        <v>712</v>
      </c>
      <c r="J26" s="2123">
        <v>517</v>
      </c>
      <c r="K26" s="2122">
        <v>2631</v>
      </c>
      <c r="L26" s="2120">
        <v>2580</v>
      </c>
    </row>
    <row r="27" spans="1:12" ht="18" customHeight="1" x14ac:dyDescent="0.25">
      <c r="A27" s="2693" t="s">
        <v>1057</v>
      </c>
      <c r="B27" s="2119">
        <v>11</v>
      </c>
      <c r="C27" s="2120">
        <v>24</v>
      </c>
      <c r="D27" s="2120">
        <v>13</v>
      </c>
      <c r="E27" s="2121">
        <v>20</v>
      </c>
      <c r="F27" s="2122">
        <v>4</v>
      </c>
      <c r="G27" s="2120">
        <v>3</v>
      </c>
      <c r="H27" s="2694">
        <v>-9</v>
      </c>
      <c r="I27" s="2695">
        <v>-14</v>
      </c>
      <c r="J27" s="2695">
        <v>-4</v>
      </c>
      <c r="K27" s="2122">
        <v>68</v>
      </c>
      <c r="L27" s="2694">
        <v>-16</v>
      </c>
    </row>
    <row r="28" spans="1:12" ht="18" customHeight="1" x14ac:dyDescent="0.25">
      <c r="A28" s="2692" t="s">
        <v>1058</v>
      </c>
      <c r="B28" s="2119">
        <v>623</v>
      </c>
      <c r="C28" s="2120">
        <v>646</v>
      </c>
      <c r="D28" s="2120">
        <v>663</v>
      </c>
      <c r="E28" s="2121">
        <v>631</v>
      </c>
      <c r="F28" s="2122">
        <v>596</v>
      </c>
      <c r="G28" s="2120">
        <v>626</v>
      </c>
      <c r="H28" s="2120">
        <v>648</v>
      </c>
      <c r="I28" s="2121">
        <v>726</v>
      </c>
      <c r="J28" s="2123">
        <v>521</v>
      </c>
      <c r="K28" s="2122">
        <v>2563</v>
      </c>
      <c r="L28" s="2120">
        <v>2596</v>
      </c>
    </row>
    <row r="29" spans="1:12" ht="18" customHeight="1" x14ac:dyDescent="0.25">
      <c r="A29" s="2692"/>
      <c r="B29" s="2710"/>
      <c r="C29" s="2696"/>
      <c r="D29" s="2696"/>
      <c r="E29" s="2697"/>
      <c r="F29" s="2699"/>
      <c r="G29" s="2696"/>
      <c r="H29" s="2696"/>
      <c r="I29" s="2697"/>
      <c r="J29" s="2698"/>
      <c r="K29" s="2699"/>
      <c r="L29" s="2696"/>
    </row>
    <row r="30" spans="1:12" ht="18" customHeight="1" x14ac:dyDescent="0.25">
      <c r="A30" s="2692" t="s">
        <v>1059</v>
      </c>
      <c r="B30" s="2710">
        <v>18110</v>
      </c>
      <c r="C30" s="2696">
        <v>17856</v>
      </c>
      <c r="D30" s="2696">
        <v>18087</v>
      </c>
      <c r="E30" s="2697">
        <v>18191</v>
      </c>
      <c r="F30" s="2699">
        <v>18788</v>
      </c>
      <c r="G30" s="2696">
        <v>19077</v>
      </c>
      <c r="H30" s="2696">
        <v>19144</v>
      </c>
      <c r="I30" s="2697">
        <v>19582</v>
      </c>
      <c r="J30" s="2698">
        <v>18188</v>
      </c>
      <c r="K30" s="2699">
        <v>18061</v>
      </c>
      <c r="L30" s="2696">
        <v>19148</v>
      </c>
    </row>
    <row r="31" spans="1:12" ht="18" customHeight="1" x14ac:dyDescent="0.25">
      <c r="A31" s="2693" t="s">
        <v>1060</v>
      </c>
      <c r="B31" s="2710">
        <v>1398</v>
      </c>
      <c r="C31" s="2696">
        <v>1275</v>
      </c>
      <c r="D31" s="2696">
        <v>1308</v>
      </c>
      <c r="E31" s="2697">
        <v>2075</v>
      </c>
      <c r="F31" s="2699">
        <v>2490</v>
      </c>
      <c r="G31" s="2696">
        <v>2641</v>
      </c>
      <c r="H31" s="2696">
        <v>2728</v>
      </c>
      <c r="I31" s="2697">
        <v>2673</v>
      </c>
      <c r="J31" s="2698">
        <v>2569</v>
      </c>
      <c r="K31" s="2699">
        <v>1516</v>
      </c>
      <c r="L31" s="2696">
        <v>2632</v>
      </c>
    </row>
    <row r="32" spans="1:12" ht="18" customHeight="1" x14ac:dyDescent="0.25">
      <c r="A32" s="2692" t="s">
        <v>1061</v>
      </c>
      <c r="B32" s="2710">
        <v>16712</v>
      </c>
      <c r="C32" s="2696">
        <v>16581</v>
      </c>
      <c r="D32" s="2696">
        <v>16779</v>
      </c>
      <c r="E32" s="2697">
        <v>16116</v>
      </c>
      <c r="F32" s="2699">
        <v>16298</v>
      </c>
      <c r="G32" s="2696">
        <v>16436</v>
      </c>
      <c r="H32" s="2696">
        <v>16416</v>
      </c>
      <c r="I32" s="2697">
        <v>16909</v>
      </c>
      <c r="J32" s="2698">
        <v>15619</v>
      </c>
      <c r="K32" s="2699">
        <v>16545</v>
      </c>
      <c r="L32" s="2696">
        <v>16516</v>
      </c>
    </row>
    <row r="33" spans="1:12" ht="18" customHeight="1" x14ac:dyDescent="0.25">
      <c r="A33" s="2700"/>
      <c r="B33" s="2519"/>
      <c r="C33" s="2520"/>
      <c r="D33" s="2520"/>
      <c r="E33" s="2521"/>
      <c r="F33" s="2522"/>
      <c r="G33" s="2520"/>
      <c r="H33" s="2520"/>
      <c r="I33" s="2521"/>
      <c r="J33" s="2523"/>
      <c r="K33" s="2522"/>
      <c r="L33" s="2520"/>
    </row>
    <row r="34" spans="1:12" ht="18" customHeight="1" x14ac:dyDescent="0.25">
      <c r="A34" s="2701" t="s">
        <v>1062</v>
      </c>
      <c r="B34" s="2711">
        <v>0.14799999999999999</v>
      </c>
      <c r="C34" s="2712">
        <v>0.154</v>
      </c>
      <c r="D34" s="2712">
        <v>0.16200000000000001</v>
      </c>
      <c r="E34" s="2713">
        <v>0.155</v>
      </c>
      <c r="F34" s="2714">
        <v>0.14499999999999999</v>
      </c>
      <c r="G34" s="2712">
        <v>0.151</v>
      </c>
      <c r="H34" s="2712">
        <v>0.161</v>
      </c>
      <c r="I34" s="2713">
        <v>0.17100000000000001</v>
      </c>
      <c r="J34" s="2715">
        <v>0.13200000000000001</v>
      </c>
      <c r="K34" s="2714">
        <v>0.155</v>
      </c>
      <c r="L34" s="2712">
        <v>0.157</v>
      </c>
    </row>
    <row r="35" spans="1:12" ht="18" customHeight="1" x14ac:dyDescent="0.25">
      <c r="A35" s="2707"/>
      <c r="B35" s="2519"/>
      <c r="C35" s="2520"/>
      <c r="D35" s="2520"/>
      <c r="E35" s="2521"/>
      <c r="F35" s="2522"/>
      <c r="G35" s="2520"/>
      <c r="H35" s="2520"/>
      <c r="I35" s="2521"/>
      <c r="J35" s="2523"/>
      <c r="K35" s="2522"/>
      <c r="L35" s="2520"/>
    </row>
    <row r="36" spans="1:12" ht="18" customHeight="1" x14ac:dyDescent="0.25">
      <c r="A36" s="2708" t="s">
        <v>1063</v>
      </c>
      <c r="B36" s="2519"/>
      <c r="C36" s="2520"/>
      <c r="D36" s="2520"/>
      <c r="E36" s="2521"/>
      <c r="F36" s="2522"/>
      <c r="G36" s="2520"/>
      <c r="H36" s="2520"/>
      <c r="I36" s="2521"/>
      <c r="J36" s="2523"/>
      <c r="K36" s="2522"/>
      <c r="L36" s="2520"/>
    </row>
    <row r="37" spans="1:12" ht="18" customHeight="1" x14ac:dyDescent="0.25">
      <c r="A37" s="2692" t="s">
        <v>178</v>
      </c>
      <c r="B37" s="2119">
        <v>638</v>
      </c>
      <c r="C37" s="2120">
        <v>675</v>
      </c>
      <c r="D37" s="2120">
        <v>681</v>
      </c>
      <c r="E37" s="2121">
        <v>657</v>
      </c>
      <c r="F37" s="2122">
        <v>606</v>
      </c>
      <c r="G37" s="2120">
        <v>634</v>
      </c>
      <c r="H37" s="2120">
        <v>645</v>
      </c>
      <c r="I37" s="2121">
        <v>718</v>
      </c>
      <c r="J37" s="2123">
        <v>525</v>
      </c>
      <c r="K37" s="2122">
        <v>2651</v>
      </c>
      <c r="L37" s="2120">
        <v>2603</v>
      </c>
    </row>
    <row r="38" spans="1:12" ht="18" customHeight="1" x14ac:dyDescent="0.25">
      <c r="A38" s="2693" t="s">
        <v>1057</v>
      </c>
      <c r="B38" s="2119">
        <v>11</v>
      </c>
      <c r="C38" s="2120">
        <v>24</v>
      </c>
      <c r="D38" s="2120">
        <v>13</v>
      </c>
      <c r="E38" s="2121">
        <v>20</v>
      </c>
      <c r="F38" s="2122">
        <v>5</v>
      </c>
      <c r="G38" s="2120">
        <v>4</v>
      </c>
      <c r="H38" s="2694">
        <v>-8</v>
      </c>
      <c r="I38" s="2695">
        <v>-14</v>
      </c>
      <c r="J38" s="2695">
        <v>-4</v>
      </c>
      <c r="K38" s="2122">
        <v>68</v>
      </c>
      <c r="L38" s="2694">
        <v>-13</v>
      </c>
    </row>
    <row r="39" spans="1:12" ht="18" customHeight="1" x14ac:dyDescent="0.25">
      <c r="A39" s="2692" t="s">
        <v>1058</v>
      </c>
      <c r="B39" s="2119">
        <v>627</v>
      </c>
      <c r="C39" s="2120">
        <v>651</v>
      </c>
      <c r="D39" s="2120">
        <v>668</v>
      </c>
      <c r="E39" s="2121">
        <v>637</v>
      </c>
      <c r="F39" s="2122">
        <v>601</v>
      </c>
      <c r="G39" s="2120">
        <v>630</v>
      </c>
      <c r="H39" s="2120">
        <v>653</v>
      </c>
      <c r="I39" s="2121">
        <v>732</v>
      </c>
      <c r="J39" s="2123">
        <v>529</v>
      </c>
      <c r="K39" s="2122">
        <v>2583</v>
      </c>
      <c r="L39" s="2120">
        <v>2616</v>
      </c>
    </row>
    <row r="40" spans="1:12" ht="18" customHeight="1" x14ac:dyDescent="0.25">
      <c r="A40" s="2709"/>
      <c r="B40" s="2519"/>
      <c r="C40" s="2520"/>
      <c r="D40" s="2520"/>
      <c r="E40" s="2521"/>
      <c r="F40" s="2522"/>
      <c r="G40" s="2520"/>
      <c r="H40" s="2520"/>
      <c r="I40" s="2521"/>
      <c r="J40" s="2523"/>
      <c r="K40" s="2522"/>
      <c r="L40" s="2520"/>
    </row>
    <row r="41" spans="1:12" ht="18" customHeight="1" x14ac:dyDescent="0.25">
      <c r="A41" s="2701" t="s">
        <v>1064</v>
      </c>
      <c r="B41" s="2702">
        <v>0.14899999999999999</v>
      </c>
      <c r="C41" s="2703">
        <v>0.156</v>
      </c>
      <c r="D41" s="2703">
        <v>0.16400000000000001</v>
      </c>
      <c r="E41" s="2704">
        <v>0.157</v>
      </c>
      <c r="F41" s="2705">
        <v>0.14699999999999999</v>
      </c>
      <c r="G41" s="2703">
        <v>0.153</v>
      </c>
      <c r="H41" s="2703">
        <v>0.16200000000000001</v>
      </c>
      <c r="I41" s="2704">
        <v>0.17199999999999999</v>
      </c>
      <c r="J41" s="2706">
        <v>0.13400000000000001</v>
      </c>
      <c r="K41" s="2705">
        <v>0.156</v>
      </c>
      <c r="L41" s="2703">
        <v>0.158</v>
      </c>
    </row>
    <row r="42" spans="1:12" ht="7.95" customHeight="1" x14ac:dyDescent="0.25">
      <c r="A42" s="2561"/>
      <c r="B42" s="2716"/>
      <c r="C42" s="2561"/>
      <c r="D42" s="979"/>
      <c r="E42" s="2561"/>
      <c r="F42" s="2561"/>
      <c r="G42" s="2561"/>
      <c r="H42" s="2561"/>
      <c r="I42" s="2561"/>
      <c r="J42" s="2561"/>
      <c r="K42" s="2561"/>
      <c r="L42" s="2561"/>
    </row>
    <row r="43" spans="1:12" ht="7.5" customHeight="1" x14ac:dyDescent="0.25">
      <c r="A43" s="2561"/>
      <c r="B43" s="2562"/>
      <c r="C43" s="2562"/>
      <c r="D43" s="2563"/>
      <c r="E43" s="2562"/>
      <c r="F43" s="2562"/>
      <c r="G43" s="2562"/>
      <c r="H43" s="2562"/>
      <c r="I43" s="2562"/>
      <c r="J43" s="2562"/>
      <c r="K43" s="2562"/>
      <c r="L43" s="2562"/>
    </row>
    <row r="44" spans="1:12" ht="19.05" customHeight="1" x14ac:dyDescent="0.25">
      <c r="A44" s="2913" t="s">
        <v>1033</v>
      </c>
      <c r="B44" s="2913" t="s">
        <v>15</v>
      </c>
      <c r="C44" s="2913" t="s">
        <v>15</v>
      </c>
      <c r="D44" s="2913" t="s">
        <v>15</v>
      </c>
      <c r="E44" s="2913" t="s">
        <v>15</v>
      </c>
      <c r="F44" s="2913" t="s">
        <v>15</v>
      </c>
      <c r="G44" s="2913" t="s">
        <v>15</v>
      </c>
      <c r="H44" s="2913" t="s">
        <v>15</v>
      </c>
      <c r="I44" s="2913" t="s">
        <v>15</v>
      </c>
      <c r="J44" s="2913" t="s">
        <v>15</v>
      </c>
      <c r="K44" s="2913" t="s">
        <v>15</v>
      </c>
      <c r="L44" s="2913" t="s">
        <v>15</v>
      </c>
    </row>
    <row r="45" spans="1:12" ht="19.05" customHeight="1" x14ac:dyDescent="0.25">
      <c r="A45" s="2913" t="s">
        <v>1034</v>
      </c>
      <c r="B45" s="2913" t="s">
        <v>15</v>
      </c>
      <c r="C45" s="2913" t="s">
        <v>15</v>
      </c>
      <c r="D45" s="2913" t="s">
        <v>15</v>
      </c>
      <c r="E45" s="2913" t="s">
        <v>15</v>
      </c>
      <c r="F45" s="2913" t="s">
        <v>15</v>
      </c>
      <c r="G45" s="2913" t="s">
        <v>15</v>
      </c>
      <c r="H45" s="2913" t="s">
        <v>15</v>
      </c>
      <c r="I45" s="2913" t="s">
        <v>15</v>
      </c>
      <c r="J45" s="2913" t="s">
        <v>15</v>
      </c>
      <c r="K45" s="2913" t="s">
        <v>15</v>
      </c>
      <c r="L45" s="2913" t="s">
        <v>15</v>
      </c>
    </row>
    <row r="46" spans="1:12" ht="19.05" customHeight="1" x14ac:dyDescent="0.25">
      <c r="A46" s="2959"/>
      <c r="B46" s="2959" t="s">
        <v>15</v>
      </c>
      <c r="C46" s="2959" t="s">
        <v>15</v>
      </c>
      <c r="D46" s="2959" t="s">
        <v>15</v>
      </c>
      <c r="E46" s="2959" t="s">
        <v>15</v>
      </c>
      <c r="F46" s="2959" t="s">
        <v>15</v>
      </c>
      <c r="G46" s="2959" t="s">
        <v>15</v>
      </c>
      <c r="H46" s="2959" t="s">
        <v>15</v>
      </c>
      <c r="I46" s="2959" t="s">
        <v>15</v>
      </c>
      <c r="J46" s="2959" t="s">
        <v>15</v>
      </c>
      <c r="K46" s="2959" t="s">
        <v>15</v>
      </c>
      <c r="L46" s="2959" t="s">
        <v>15</v>
      </c>
    </row>
    <row r="47" spans="1:12" ht="19.05" customHeight="1" x14ac:dyDescent="0.25">
      <c r="A47" s="2561"/>
      <c r="B47" s="2562"/>
      <c r="C47" s="2562"/>
      <c r="D47" s="2563"/>
      <c r="E47" s="2562"/>
      <c r="F47" s="2562"/>
      <c r="G47" s="2562"/>
      <c r="H47" s="2562"/>
      <c r="I47" s="2562"/>
      <c r="J47" s="2562"/>
      <c r="K47" s="2562"/>
      <c r="L47" s="2562"/>
    </row>
  </sheetData>
  <mergeCells count="5">
    <mergeCell ref="A2:L2"/>
    <mergeCell ref="K3:L3"/>
    <mergeCell ref="A44:L44"/>
    <mergeCell ref="A45:L45"/>
    <mergeCell ref="A46:L46"/>
  </mergeCells>
  <hyperlinks>
    <hyperlink ref="A1" location="ToC!A2" display="Back to Table of Contents" xr:uid="{21AFB006-FCA2-4C5C-AD4A-DAF1886715BC}"/>
  </hyperlinks>
  <pageMargins left="0.5" right="0.5" top="0.5" bottom="0.5" header="0.25" footer="0.25"/>
  <pageSetup scale="43" orientation="landscape" horizontalDpi="72" verticalDpi="72" r:id="rId1"/>
  <headerFooter>
    <oddFooter>&amp;L&amp;G&amp;C&amp;"Scotia,Regular"&amp;9Supplementary Financial Information (SFI)&amp;R38&amp;"Scotia,Regular"&amp;7</oddFooter>
  </headerFooter>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F7DB-5D55-48E3-BA18-958E6CE8CEAC}">
  <sheetPr>
    <pageSetUpPr fitToPage="1"/>
  </sheetPr>
  <dimension ref="A1:L28"/>
  <sheetViews>
    <sheetView showGridLines="0" zoomScaleNormal="100" workbookViewId="0"/>
  </sheetViews>
  <sheetFormatPr defaultColWidth="8.77734375" defaultRowHeight="13.2" x14ac:dyDescent="0.25"/>
  <cols>
    <col min="1" max="1" width="70.77734375" style="23" customWidth="1"/>
    <col min="2" max="12" width="15.5546875" style="23" customWidth="1"/>
    <col min="13" max="16384" width="8.77734375" style="23"/>
  </cols>
  <sheetData>
    <row r="1" spans="1:12" ht="19.95" customHeight="1" x14ac:dyDescent="0.25">
      <c r="A1" s="22" t="s">
        <v>12</v>
      </c>
    </row>
    <row r="2" spans="1:12" ht="25.05" customHeight="1" x14ac:dyDescent="0.25">
      <c r="A2" s="2968" t="s">
        <v>969</v>
      </c>
      <c r="B2" s="2968" t="s">
        <v>15</v>
      </c>
      <c r="C2" s="2968" t="s">
        <v>15</v>
      </c>
      <c r="D2" s="2968" t="s">
        <v>15</v>
      </c>
      <c r="E2" s="2968" t="s">
        <v>15</v>
      </c>
      <c r="F2" s="2968" t="s">
        <v>15</v>
      </c>
      <c r="G2" s="2968" t="s">
        <v>15</v>
      </c>
      <c r="H2" s="2968" t="s">
        <v>15</v>
      </c>
      <c r="I2" s="2968" t="s">
        <v>15</v>
      </c>
      <c r="J2" s="2968" t="s">
        <v>15</v>
      </c>
      <c r="K2" s="2968" t="s">
        <v>15</v>
      </c>
      <c r="L2" s="2968" t="s">
        <v>15</v>
      </c>
    </row>
    <row r="3" spans="1:12" ht="18.600000000000001" customHeight="1" x14ac:dyDescent="0.25">
      <c r="A3" s="2564" t="s">
        <v>1066</v>
      </c>
      <c r="B3" s="2717"/>
      <c r="C3" s="2718"/>
      <c r="D3" s="2718"/>
      <c r="E3" s="2719"/>
      <c r="F3" s="2720"/>
      <c r="G3" s="2721" t="s">
        <v>15</v>
      </c>
      <c r="H3" s="2721" t="s">
        <v>15</v>
      </c>
      <c r="I3" s="2722" t="s">
        <v>15</v>
      </c>
      <c r="J3" s="2723"/>
      <c r="K3" s="2975" t="s">
        <v>163</v>
      </c>
      <c r="L3" s="2976" t="s">
        <v>15</v>
      </c>
    </row>
    <row r="4" spans="1:12" ht="18.600000000000001" customHeight="1" x14ac:dyDescent="0.25">
      <c r="A4" s="2566" t="s">
        <v>556</v>
      </c>
      <c r="B4" s="2567" t="s">
        <v>165</v>
      </c>
      <c r="C4" s="2568" t="s">
        <v>166</v>
      </c>
      <c r="D4" s="2568" t="s">
        <v>167</v>
      </c>
      <c r="E4" s="2569" t="s">
        <v>168</v>
      </c>
      <c r="F4" s="2570" t="s">
        <v>169</v>
      </c>
      <c r="G4" s="2568" t="s">
        <v>170</v>
      </c>
      <c r="H4" s="2568" t="s">
        <v>171</v>
      </c>
      <c r="I4" s="2569" t="s">
        <v>172</v>
      </c>
      <c r="J4" s="2571" t="s">
        <v>173</v>
      </c>
      <c r="K4" s="2570">
        <v>2025</v>
      </c>
      <c r="L4" s="2572">
        <v>2024</v>
      </c>
    </row>
    <row r="5" spans="1:12" ht="18.600000000000001" customHeight="1" x14ac:dyDescent="0.25">
      <c r="A5" s="2573" t="s">
        <v>1056</v>
      </c>
      <c r="B5" s="2574"/>
      <c r="C5" s="2575"/>
      <c r="D5" s="2576"/>
      <c r="E5" s="2577"/>
      <c r="F5" s="2578"/>
      <c r="G5" s="2575"/>
      <c r="H5" s="2575"/>
      <c r="I5" s="2577"/>
      <c r="J5" s="2579"/>
      <c r="K5" s="2580"/>
      <c r="L5" s="2581"/>
    </row>
    <row r="6" spans="1:12" ht="18.600000000000001" customHeight="1" x14ac:dyDescent="0.25">
      <c r="A6" s="2724" t="s">
        <v>1067</v>
      </c>
      <c r="B6" s="2725">
        <v>949382</v>
      </c>
      <c r="C6" s="2726">
        <v>946137</v>
      </c>
      <c r="D6" s="2726">
        <v>957641</v>
      </c>
      <c r="E6" s="2727">
        <v>954499</v>
      </c>
      <c r="F6" s="2728">
        <v>939382</v>
      </c>
      <c r="G6" s="2726">
        <v>925224</v>
      </c>
      <c r="H6" s="2726">
        <v>903881</v>
      </c>
      <c r="I6" s="2727">
        <v>903080</v>
      </c>
      <c r="J6" s="2729">
        <v>895889</v>
      </c>
      <c r="K6" s="2730">
        <v>951867</v>
      </c>
      <c r="L6" s="2726">
        <v>917958</v>
      </c>
    </row>
    <row r="7" spans="1:12" ht="18.600000000000001" customHeight="1" x14ac:dyDescent="0.25">
      <c r="A7" s="2731" t="s">
        <v>1068</v>
      </c>
      <c r="B7" s="2725">
        <v>20585</v>
      </c>
      <c r="C7" s="2726">
        <v>19679</v>
      </c>
      <c r="D7" s="2726">
        <v>20059</v>
      </c>
      <c r="E7" s="2727">
        <v>20368</v>
      </c>
      <c r="F7" s="2728">
        <v>19710</v>
      </c>
      <c r="G7" s="2726">
        <v>20958</v>
      </c>
      <c r="H7" s="2726">
        <v>21268</v>
      </c>
      <c r="I7" s="2727">
        <v>21003</v>
      </c>
      <c r="J7" s="2729">
        <v>20679</v>
      </c>
      <c r="K7" s="2730">
        <v>20174</v>
      </c>
      <c r="L7" s="2726">
        <v>20731</v>
      </c>
    </row>
    <row r="8" spans="1:12" ht="18.600000000000001" customHeight="1" x14ac:dyDescent="0.25">
      <c r="A8" s="2732" t="s">
        <v>1069</v>
      </c>
      <c r="B8" s="2725">
        <v>928797</v>
      </c>
      <c r="C8" s="2726">
        <v>926458</v>
      </c>
      <c r="D8" s="2726">
        <v>937582</v>
      </c>
      <c r="E8" s="2727">
        <v>934131</v>
      </c>
      <c r="F8" s="2728">
        <v>919672</v>
      </c>
      <c r="G8" s="2726">
        <v>904266</v>
      </c>
      <c r="H8" s="2726">
        <v>882613</v>
      </c>
      <c r="I8" s="2727">
        <v>882077</v>
      </c>
      <c r="J8" s="2729">
        <v>875210</v>
      </c>
      <c r="K8" s="2730">
        <v>931693</v>
      </c>
      <c r="L8" s="2726">
        <v>897227</v>
      </c>
    </row>
    <row r="9" spans="1:12" ht="18.600000000000001" customHeight="1" x14ac:dyDescent="0.25">
      <c r="A9" s="2732"/>
      <c r="B9" s="2725"/>
      <c r="C9" s="2726"/>
      <c r="D9" s="2726"/>
      <c r="E9" s="2727"/>
      <c r="F9" s="2728"/>
      <c r="G9" s="2726"/>
      <c r="H9" s="2726"/>
      <c r="I9" s="2727"/>
      <c r="J9" s="2729"/>
      <c r="K9" s="2730"/>
      <c r="L9" s="2726"/>
    </row>
    <row r="10" spans="1:12" ht="18.600000000000001" customHeight="1" x14ac:dyDescent="0.25">
      <c r="A10" s="2732" t="s">
        <v>1070</v>
      </c>
      <c r="B10" s="2725">
        <v>5753</v>
      </c>
      <c r="C10" s="2726">
        <v>5636</v>
      </c>
      <c r="D10" s="2726">
        <v>5405</v>
      </c>
      <c r="E10" s="2727">
        <v>5373</v>
      </c>
      <c r="F10" s="2728">
        <v>5081</v>
      </c>
      <c r="G10" s="2726">
        <v>4987</v>
      </c>
      <c r="H10" s="2726">
        <v>4833</v>
      </c>
      <c r="I10" s="2727">
        <v>4971</v>
      </c>
      <c r="J10" s="2729">
        <v>4863</v>
      </c>
      <c r="K10" s="2730">
        <v>22167</v>
      </c>
      <c r="L10" s="2726">
        <v>19872</v>
      </c>
    </row>
    <row r="11" spans="1:12" ht="14.55" customHeight="1" x14ac:dyDescent="0.25">
      <c r="A11" s="2731" t="s">
        <v>1071</v>
      </c>
      <c r="B11" s="2725">
        <v>244</v>
      </c>
      <c r="C11" s="2726">
        <v>242</v>
      </c>
      <c r="D11" s="2726">
        <v>250</v>
      </c>
      <c r="E11" s="2727">
        <v>283</v>
      </c>
      <c r="F11" s="2728">
        <v>288</v>
      </c>
      <c r="G11" s="2726">
        <v>291</v>
      </c>
      <c r="H11" s="2726">
        <v>296</v>
      </c>
      <c r="I11" s="2727">
        <v>281</v>
      </c>
      <c r="J11" s="2729">
        <v>266</v>
      </c>
      <c r="K11" s="2730">
        <v>1019</v>
      </c>
      <c r="L11" s="2726">
        <v>1156</v>
      </c>
    </row>
    <row r="12" spans="1:12" ht="18.600000000000001" customHeight="1" x14ac:dyDescent="0.25">
      <c r="A12" s="2732" t="s">
        <v>1072</v>
      </c>
      <c r="B12" s="2725">
        <v>5509</v>
      </c>
      <c r="C12" s="2726">
        <v>5394</v>
      </c>
      <c r="D12" s="2726">
        <v>5155</v>
      </c>
      <c r="E12" s="2727">
        <v>5090</v>
      </c>
      <c r="F12" s="2728">
        <v>4793</v>
      </c>
      <c r="G12" s="2726">
        <v>4696</v>
      </c>
      <c r="H12" s="2726">
        <v>4537</v>
      </c>
      <c r="I12" s="2727">
        <v>4690</v>
      </c>
      <c r="J12" s="2729">
        <v>4597</v>
      </c>
      <c r="K12" s="2730">
        <v>21148</v>
      </c>
      <c r="L12" s="2726">
        <v>18716</v>
      </c>
    </row>
    <row r="13" spans="1:12" ht="18.600000000000001" customHeight="1" x14ac:dyDescent="0.25">
      <c r="A13" s="2731"/>
      <c r="B13" s="2725"/>
      <c r="C13" s="2726"/>
      <c r="D13" s="2726"/>
      <c r="E13" s="2727"/>
      <c r="F13" s="2728"/>
      <c r="G13" s="2726"/>
      <c r="H13" s="2726"/>
      <c r="I13" s="2727"/>
      <c r="J13" s="2729"/>
      <c r="K13" s="2730"/>
      <c r="L13" s="2726"/>
    </row>
    <row r="14" spans="1:12" ht="18.600000000000001" customHeight="1" x14ac:dyDescent="0.25">
      <c r="A14" s="2733" t="s">
        <v>1073</v>
      </c>
      <c r="B14" s="2734">
        <v>2.3527056380824711</v>
      </c>
      <c r="C14" s="2735">
        <v>2.3112642266121899</v>
      </c>
      <c r="D14" s="2735">
        <v>2.25</v>
      </c>
      <c r="E14" s="2736">
        <v>2.1620663590180387</v>
      </c>
      <c r="F14" s="2737">
        <v>2.0739635591569643</v>
      </c>
      <c r="G14" s="2735">
        <v>2.0670105926206546</v>
      </c>
      <c r="H14" s="2735">
        <v>2.0911363675806411</v>
      </c>
      <c r="I14" s="2736">
        <v>2.11</v>
      </c>
      <c r="J14" s="2738">
        <v>2.08</v>
      </c>
      <c r="K14" s="2739">
        <v>2.2703069327257945</v>
      </c>
      <c r="L14" s="2735">
        <v>2.09</v>
      </c>
    </row>
    <row r="15" spans="1:12" ht="9" customHeight="1" x14ac:dyDescent="0.25">
      <c r="A15" s="2740"/>
      <c r="B15" s="2741"/>
      <c r="C15" s="2742"/>
      <c r="D15" s="2742"/>
      <c r="E15" s="2743"/>
      <c r="F15" s="2744"/>
      <c r="G15" s="2742"/>
      <c r="H15" s="2742"/>
      <c r="I15" s="2743"/>
      <c r="J15" s="2745"/>
      <c r="K15" s="2746"/>
      <c r="L15" s="2742"/>
    </row>
    <row r="16" spans="1:12" ht="18.600000000000001" customHeight="1" x14ac:dyDescent="0.25">
      <c r="A16" s="2573" t="s">
        <v>1065</v>
      </c>
      <c r="B16" s="2574"/>
      <c r="C16" s="2575"/>
      <c r="D16" s="2575"/>
      <c r="E16" s="2577"/>
      <c r="F16" s="2578"/>
      <c r="G16" s="2575"/>
      <c r="H16" s="2575"/>
      <c r="I16" s="2577"/>
      <c r="J16" s="2579"/>
      <c r="K16" s="2580"/>
      <c r="L16" s="2581"/>
    </row>
    <row r="17" spans="1:12" ht="18.600000000000001" customHeight="1" x14ac:dyDescent="0.25">
      <c r="A17" s="2724" t="s">
        <v>1067</v>
      </c>
      <c r="B17" s="2610">
        <v>196432</v>
      </c>
      <c r="C17" s="2742">
        <v>192713</v>
      </c>
      <c r="D17" s="2594">
        <v>197107</v>
      </c>
      <c r="E17" s="2595">
        <v>196779</v>
      </c>
      <c r="F17" s="2611">
        <v>192564</v>
      </c>
      <c r="G17" s="2594">
        <v>199229</v>
      </c>
      <c r="H17" s="2594">
        <v>200242</v>
      </c>
      <c r="I17" s="2595">
        <v>201552</v>
      </c>
      <c r="J17" s="2612">
        <v>201307</v>
      </c>
      <c r="K17" s="2613">
        <v>195747</v>
      </c>
      <c r="L17" s="2614">
        <v>198377</v>
      </c>
    </row>
    <row r="18" spans="1:12" ht="18.600000000000001" customHeight="1" x14ac:dyDescent="0.25">
      <c r="A18" s="2731" t="s">
        <v>1068</v>
      </c>
      <c r="B18" s="2747">
        <v>20307</v>
      </c>
      <c r="C18" s="2742">
        <v>19414</v>
      </c>
      <c r="D18" s="2748">
        <v>19793</v>
      </c>
      <c r="E18" s="2749">
        <v>20101</v>
      </c>
      <c r="F18" s="2750">
        <v>19459</v>
      </c>
      <c r="G18" s="2748">
        <v>20710</v>
      </c>
      <c r="H18" s="2748">
        <v>21016</v>
      </c>
      <c r="I18" s="2749">
        <v>20752</v>
      </c>
      <c r="J18" s="2751">
        <v>20444</v>
      </c>
      <c r="K18" s="2752">
        <v>19905</v>
      </c>
      <c r="L18" s="2748">
        <v>20481</v>
      </c>
    </row>
    <row r="19" spans="1:12" ht="18.600000000000001" customHeight="1" x14ac:dyDescent="0.25">
      <c r="A19" s="2732" t="s">
        <v>1069</v>
      </c>
      <c r="B19" s="2741">
        <v>176125</v>
      </c>
      <c r="C19" s="2742">
        <v>173299</v>
      </c>
      <c r="D19" s="2742">
        <v>177314</v>
      </c>
      <c r="E19" s="2743">
        <v>176678</v>
      </c>
      <c r="F19" s="2744">
        <v>173105</v>
      </c>
      <c r="G19" s="2742">
        <v>178519</v>
      </c>
      <c r="H19" s="2742">
        <v>179226</v>
      </c>
      <c r="I19" s="2743">
        <v>180800</v>
      </c>
      <c r="J19" s="2745">
        <v>180863</v>
      </c>
      <c r="K19" s="2746">
        <v>175842</v>
      </c>
      <c r="L19" s="2742">
        <v>177896</v>
      </c>
    </row>
    <row r="20" spans="1:12" ht="18.600000000000001" customHeight="1" x14ac:dyDescent="0.25">
      <c r="A20" s="2732"/>
      <c r="B20" s="2741"/>
      <c r="C20" s="2742"/>
      <c r="D20" s="2742"/>
      <c r="E20" s="2743"/>
      <c r="F20" s="2744"/>
      <c r="G20" s="2742"/>
      <c r="H20" s="2742"/>
      <c r="I20" s="2743"/>
      <c r="J20" s="2745"/>
      <c r="K20" s="2746"/>
      <c r="L20" s="2742"/>
    </row>
    <row r="21" spans="1:12" ht="18.600000000000001" customHeight="1" x14ac:dyDescent="0.25">
      <c r="A21" s="2732" t="s">
        <v>1070</v>
      </c>
      <c r="B21" s="2741">
        <v>2250</v>
      </c>
      <c r="C21" s="2742">
        <v>2207</v>
      </c>
      <c r="D21" s="2742">
        <v>2162</v>
      </c>
      <c r="E21" s="2743">
        <v>2181</v>
      </c>
      <c r="F21" s="2744">
        <v>2137</v>
      </c>
      <c r="G21" s="2742">
        <v>2207</v>
      </c>
      <c r="H21" s="2742">
        <v>2196</v>
      </c>
      <c r="I21" s="2743">
        <v>2204</v>
      </c>
      <c r="J21" s="2745">
        <v>2111</v>
      </c>
      <c r="K21" s="2746">
        <v>8800</v>
      </c>
      <c r="L21" s="2742">
        <v>8744</v>
      </c>
    </row>
    <row r="22" spans="1:12" ht="14.55" customHeight="1" x14ac:dyDescent="0.25">
      <c r="A22" s="2731" t="s">
        <v>1071</v>
      </c>
      <c r="B22" s="2741">
        <v>240</v>
      </c>
      <c r="C22" s="2742">
        <v>237</v>
      </c>
      <c r="D22" s="2742">
        <v>246</v>
      </c>
      <c r="E22" s="2743">
        <v>279</v>
      </c>
      <c r="F22" s="2744">
        <v>284</v>
      </c>
      <c r="G22" s="2742">
        <v>287</v>
      </c>
      <c r="H22" s="2742">
        <v>292</v>
      </c>
      <c r="I22" s="2743">
        <v>277</v>
      </c>
      <c r="J22" s="2745">
        <v>262</v>
      </c>
      <c r="K22" s="2746">
        <v>1002</v>
      </c>
      <c r="L22" s="2742">
        <v>1140</v>
      </c>
    </row>
    <row r="23" spans="1:12" ht="18.600000000000001" customHeight="1" x14ac:dyDescent="0.25">
      <c r="A23" s="2732" t="s">
        <v>1072</v>
      </c>
      <c r="B23" s="2741">
        <v>2010</v>
      </c>
      <c r="C23" s="2742">
        <v>1970</v>
      </c>
      <c r="D23" s="2742">
        <v>1916</v>
      </c>
      <c r="E23" s="2743">
        <v>1902</v>
      </c>
      <c r="F23" s="2744">
        <v>1853</v>
      </c>
      <c r="G23" s="2742">
        <v>1920</v>
      </c>
      <c r="H23" s="2742">
        <v>1904</v>
      </c>
      <c r="I23" s="2743">
        <v>1927</v>
      </c>
      <c r="J23" s="2745">
        <v>1849</v>
      </c>
      <c r="K23" s="2746">
        <v>7798</v>
      </c>
      <c r="L23" s="2742">
        <v>7604</v>
      </c>
    </row>
    <row r="24" spans="1:12" ht="18.600000000000001" customHeight="1" x14ac:dyDescent="0.25">
      <c r="A24" s="2731"/>
      <c r="B24" s="2741"/>
      <c r="C24" s="2742"/>
      <c r="D24" s="2742"/>
      <c r="E24" s="2743"/>
      <c r="F24" s="2744"/>
      <c r="G24" s="2742"/>
      <c r="H24" s="2742"/>
      <c r="I24" s="2743"/>
      <c r="J24" s="2745"/>
      <c r="K24" s="2746"/>
      <c r="L24" s="2742"/>
    </row>
    <row r="25" spans="1:12" ht="18.600000000000001" customHeight="1" x14ac:dyDescent="0.25">
      <c r="A25" s="2753" t="s">
        <v>1073</v>
      </c>
      <c r="B25" s="2754">
        <v>4.53</v>
      </c>
      <c r="C25" s="2755">
        <v>4.51</v>
      </c>
      <c r="D25" s="2755">
        <v>4.43</v>
      </c>
      <c r="E25" s="2756">
        <v>4.2699999999999996</v>
      </c>
      <c r="F25" s="2757">
        <v>4.26</v>
      </c>
      <c r="G25" s="2755">
        <v>4.28</v>
      </c>
      <c r="H25" s="2755">
        <v>4.32</v>
      </c>
      <c r="I25" s="2756">
        <v>4.24</v>
      </c>
      <c r="J25" s="2758">
        <v>4.0599999999999996</v>
      </c>
      <c r="K25" s="2757">
        <v>4.43</v>
      </c>
      <c r="L25" s="2755">
        <v>4.2699999999999996</v>
      </c>
    </row>
    <row r="26" spans="1:12" ht="13.95" customHeight="1" x14ac:dyDescent="0.25">
      <c r="A26" s="2759"/>
      <c r="B26" s="2759"/>
      <c r="C26" s="2759"/>
      <c r="D26" s="2759"/>
      <c r="E26" s="2759"/>
      <c r="F26" s="2759"/>
      <c r="G26" s="2759"/>
      <c r="H26" s="2759"/>
      <c r="I26" s="2759"/>
      <c r="J26" s="2759"/>
      <c r="K26" s="2759"/>
      <c r="L26" s="2759"/>
    </row>
    <row r="27" spans="1:12" ht="13.95" customHeight="1" x14ac:dyDescent="0.25">
      <c r="A27" s="2977" t="s">
        <v>1074</v>
      </c>
      <c r="B27" s="2977" t="s">
        <v>15</v>
      </c>
      <c r="C27" s="2977" t="s">
        <v>15</v>
      </c>
      <c r="D27" s="2977" t="s">
        <v>15</v>
      </c>
      <c r="E27" s="2977" t="s">
        <v>15</v>
      </c>
      <c r="F27" s="2977" t="s">
        <v>15</v>
      </c>
      <c r="G27" s="2977" t="s">
        <v>15</v>
      </c>
      <c r="H27" s="2977" t="s">
        <v>15</v>
      </c>
      <c r="I27" s="2977" t="s">
        <v>15</v>
      </c>
      <c r="J27" s="2977" t="s">
        <v>15</v>
      </c>
    </row>
    <row r="28" spans="1:12" ht="13.95" customHeight="1" x14ac:dyDescent="0.25">
      <c r="A28" s="2760" t="s">
        <v>1075</v>
      </c>
      <c r="B28" s="2761"/>
      <c r="C28" s="2760"/>
      <c r="D28" s="2760"/>
      <c r="E28" s="2761"/>
      <c r="F28" s="2761"/>
      <c r="G28" s="2761"/>
      <c r="H28" s="2761"/>
      <c r="I28" s="2761"/>
      <c r="J28" s="2761"/>
    </row>
  </sheetData>
  <mergeCells count="3">
    <mergeCell ref="A2:L2"/>
    <mergeCell ref="K3:L3"/>
    <mergeCell ref="A27:J27"/>
  </mergeCells>
  <hyperlinks>
    <hyperlink ref="A1" location="ToC!A2" display="Back to Table of Contents" xr:uid="{CE5B2BA3-1466-4BB0-8BCD-6BC5402AEDCC}"/>
  </hyperlinks>
  <pageMargins left="0.5" right="0.5" top="0.5" bottom="0.5" header="0.25" footer="0.25"/>
  <pageSetup scale="52" orientation="landscape" r:id="rId1"/>
  <headerFooter>
    <oddFooter>&amp;L&amp;G&amp;C&amp;"Scotia,Regular"&amp;9Supplementary Financial Information (SFI)&amp;R39&amp;"Scotia,Regular"&amp;7</oddFooter>
  </headerFooter>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0676-11DC-4922-9337-F496AE8E08CA}">
  <sheetPr>
    <pageSetUpPr fitToPage="1"/>
  </sheetPr>
  <dimension ref="A1:L52"/>
  <sheetViews>
    <sheetView showGridLines="0" zoomScaleNormal="100" workbookViewId="0"/>
  </sheetViews>
  <sheetFormatPr defaultColWidth="8.77734375" defaultRowHeight="13.2" x14ac:dyDescent="0.25"/>
  <cols>
    <col min="1" max="1" width="76.21875" style="23" customWidth="1"/>
    <col min="2" max="12" width="15.5546875" style="23" customWidth="1"/>
    <col min="13" max="16384" width="8.77734375" style="23"/>
  </cols>
  <sheetData>
    <row r="1" spans="1:12" ht="19.95" customHeight="1" x14ac:dyDescent="0.25">
      <c r="A1" s="22" t="s">
        <v>12</v>
      </c>
    </row>
    <row r="2" spans="1:12" ht="25.05" customHeight="1" x14ac:dyDescent="0.25">
      <c r="A2" s="2968" t="s">
        <v>969</v>
      </c>
      <c r="B2" s="2968" t="s">
        <v>15</v>
      </c>
      <c r="C2" s="2968" t="s">
        <v>15</v>
      </c>
      <c r="D2" s="2968" t="s">
        <v>15</v>
      </c>
      <c r="E2" s="2968" t="s">
        <v>15</v>
      </c>
      <c r="F2" s="2968" t="s">
        <v>15</v>
      </c>
      <c r="G2" s="2968" t="s">
        <v>15</v>
      </c>
      <c r="H2" s="2968" t="s">
        <v>15</v>
      </c>
      <c r="I2" s="2968" t="s">
        <v>15</v>
      </c>
      <c r="J2" s="2968" t="s">
        <v>15</v>
      </c>
      <c r="K2" s="2968" t="s">
        <v>15</v>
      </c>
      <c r="L2" s="2968" t="s">
        <v>15</v>
      </c>
    </row>
    <row r="3" spans="1:12" ht="18.600000000000001" customHeight="1" x14ac:dyDescent="0.25">
      <c r="A3" s="2564" t="s">
        <v>1076</v>
      </c>
      <c r="B3" s="2978"/>
      <c r="C3" s="2979" t="s">
        <v>15</v>
      </c>
      <c r="D3" s="2979" t="s">
        <v>15</v>
      </c>
      <c r="E3" s="2980" t="s">
        <v>15</v>
      </c>
      <c r="F3" s="2981"/>
      <c r="G3" s="2982" t="s">
        <v>15</v>
      </c>
      <c r="H3" s="2982" t="s">
        <v>15</v>
      </c>
      <c r="I3" s="2983" t="s">
        <v>15</v>
      </c>
      <c r="J3" s="2762"/>
      <c r="K3" s="2975" t="s">
        <v>163</v>
      </c>
      <c r="L3" s="2976" t="s">
        <v>15</v>
      </c>
    </row>
    <row r="4" spans="1:12" ht="18.600000000000001" customHeight="1" x14ac:dyDescent="0.25">
      <c r="A4" s="2566" t="s">
        <v>556</v>
      </c>
      <c r="B4" s="2567" t="s">
        <v>165</v>
      </c>
      <c r="C4" s="2568" t="s">
        <v>166</v>
      </c>
      <c r="D4" s="2568" t="s">
        <v>167</v>
      </c>
      <c r="E4" s="2569" t="s">
        <v>168</v>
      </c>
      <c r="F4" s="2570" t="s">
        <v>169</v>
      </c>
      <c r="G4" s="2568" t="s">
        <v>170</v>
      </c>
      <c r="H4" s="2568" t="s">
        <v>171</v>
      </c>
      <c r="I4" s="2569" t="s">
        <v>172</v>
      </c>
      <c r="J4" s="2571" t="s">
        <v>173</v>
      </c>
      <c r="K4" s="2570">
        <v>2025</v>
      </c>
      <c r="L4" s="2572">
        <v>2024</v>
      </c>
    </row>
    <row r="5" spans="1:12" ht="18.600000000000001" customHeight="1" x14ac:dyDescent="0.25">
      <c r="A5" s="2573" t="s">
        <v>1056</v>
      </c>
      <c r="B5" s="2574"/>
      <c r="C5" s="2575"/>
      <c r="D5" s="2576"/>
      <c r="E5" s="2577"/>
      <c r="F5" s="2578"/>
      <c r="G5" s="2575"/>
      <c r="H5" s="2575"/>
      <c r="I5" s="2577"/>
      <c r="J5" s="2579"/>
      <c r="K5" s="2580"/>
      <c r="L5" s="2581"/>
    </row>
    <row r="6" spans="1:12" ht="18.600000000000001" customHeight="1" x14ac:dyDescent="0.25">
      <c r="A6" s="2763" t="s">
        <v>1077</v>
      </c>
      <c r="B6" s="2593"/>
      <c r="C6" s="2585"/>
      <c r="D6" s="2764"/>
      <c r="E6" s="2595"/>
      <c r="F6" s="2596"/>
      <c r="G6" s="2594"/>
      <c r="H6" s="2594"/>
      <c r="I6" s="2595"/>
      <c r="J6" s="2612"/>
      <c r="K6" s="2598"/>
      <c r="L6" s="2594"/>
    </row>
    <row r="7" spans="1:12" ht="18.600000000000001" customHeight="1" x14ac:dyDescent="0.25">
      <c r="A7" s="2765" t="s">
        <v>1078</v>
      </c>
      <c r="B7" s="2766">
        <v>1113</v>
      </c>
      <c r="C7" s="2585">
        <v>1041</v>
      </c>
      <c r="D7" s="2726">
        <v>1397</v>
      </c>
      <c r="E7" s="2727">
        <v>1162</v>
      </c>
      <c r="F7" s="2728">
        <v>1030</v>
      </c>
      <c r="G7" s="2726">
        <v>1052</v>
      </c>
      <c r="H7" s="2726">
        <v>1009</v>
      </c>
      <c r="I7" s="2727">
        <v>963</v>
      </c>
      <c r="J7" s="2729">
        <v>1254</v>
      </c>
      <c r="K7" s="2767">
        <v>4713</v>
      </c>
      <c r="L7" s="2726">
        <v>4054</v>
      </c>
    </row>
    <row r="8" spans="1:12" ht="28.95" customHeight="1" x14ac:dyDescent="0.25">
      <c r="A8" s="2768" t="s">
        <v>1079</v>
      </c>
      <c r="B8" s="2766">
        <v>108</v>
      </c>
      <c r="C8" s="2585">
        <v>104</v>
      </c>
      <c r="D8" s="2726">
        <v>118</v>
      </c>
      <c r="E8" s="2727">
        <v>143</v>
      </c>
      <c r="F8" s="2728">
        <v>156</v>
      </c>
      <c r="G8" s="2726">
        <v>198</v>
      </c>
      <c r="H8" s="2726">
        <v>196</v>
      </c>
      <c r="I8" s="2727">
        <v>192</v>
      </c>
      <c r="J8" s="2729">
        <v>153</v>
      </c>
      <c r="K8" s="2728">
        <v>473</v>
      </c>
      <c r="L8" s="2726">
        <v>742</v>
      </c>
    </row>
    <row r="9" spans="1:12" ht="28.95" customHeight="1" x14ac:dyDescent="0.25">
      <c r="A9" s="2765" t="s">
        <v>1080</v>
      </c>
      <c r="B9" s="2584">
        <v>1005</v>
      </c>
      <c r="C9" s="2585">
        <v>937</v>
      </c>
      <c r="D9" s="2585">
        <v>1279</v>
      </c>
      <c r="E9" s="2586">
        <v>1019</v>
      </c>
      <c r="F9" s="2587">
        <v>874</v>
      </c>
      <c r="G9" s="2585">
        <v>854</v>
      </c>
      <c r="H9" s="2585">
        <v>813</v>
      </c>
      <c r="I9" s="2586">
        <v>771</v>
      </c>
      <c r="J9" s="2588">
        <v>1101</v>
      </c>
      <c r="K9" s="2587">
        <v>4240</v>
      </c>
      <c r="L9" s="2585">
        <v>3312</v>
      </c>
    </row>
    <row r="10" spans="1:12" ht="18.600000000000001" customHeight="1" x14ac:dyDescent="0.25">
      <c r="A10" s="2765"/>
      <c r="B10" s="2584"/>
      <c r="C10" s="2585"/>
      <c r="D10" s="2585"/>
      <c r="E10" s="2586"/>
      <c r="F10" s="2587"/>
      <c r="G10" s="2585"/>
      <c r="H10" s="2585"/>
      <c r="I10" s="2586"/>
      <c r="J10" s="2588"/>
      <c r="K10" s="2587"/>
      <c r="L10" s="2585"/>
    </row>
    <row r="11" spans="1:12" ht="14.55" customHeight="1" x14ac:dyDescent="0.25">
      <c r="A11" s="2765" t="s">
        <v>1081</v>
      </c>
      <c r="B11" s="2584">
        <v>764166</v>
      </c>
      <c r="C11" s="2585">
        <v>757078</v>
      </c>
      <c r="D11" s="2585">
        <v>760314</v>
      </c>
      <c r="E11" s="2586">
        <v>765407</v>
      </c>
      <c r="F11" s="2587">
        <v>756226</v>
      </c>
      <c r="G11" s="2585">
        <v>760595</v>
      </c>
      <c r="H11" s="2585">
        <v>757095</v>
      </c>
      <c r="I11" s="2586">
        <v>764302</v>
      </c>
      <c r="J11" s="2588">
        <v>763753</v>
      </c>
      <c r="K11" s="2587">
        <v>761753</v>
      </c>
      <c r="L11" s="2585">
        <v>759568</v>
      </c>
    </row>
    <row r="12" spans="1:12" ht="18.600000000000001" customHeight="1" x14ac:dyDescent="0.25">
      <c r="A12" s="2769" t="s">
        <v>1082</v>
      </c>
      <c r="B12" s="2584">
        <v>17421</v>
      </c>
      <c r="C12" s="2585">
        <v>16700</v>
      </c>
      <c r="D12" s="2585">
        <v>17053</v>
      </c>
      <c r="E12" s="2586">
        <v>17140</v>
      </c>
      <c r="F12" s="2587">
        <v>16806</v>
      </c>
      <c r="G12" s="2585">
        <v>17815</v>
      </c>
      <c r="H12" s="2585">
        <v>18235</v>
      </c>
      <c r="I12" s="2586">
        <v>18046</v>
      </c>
      <c r="J12" s="2588">
        <v>17844</v>
      </c>
      <c r="K12" s="2587">
        <v>17079</v>
      </c>
      <c r="L12" s="2585">
        <v>17723</v>
      </c>
    </row>
    <row r="13" spans="1:12" ht="18.600000000000001" customHeight="1" x14ac:dyDescent="0.25">
      <c r="A13" s="2731" t="s">
        <v>1083</v>
      </c>
      <c r="B13" s="2584">
        <v>746745</v>
      </c>
      <c r="C13" s="2585">
        <v>740378</v>
      </c>
      <c r="D13" s="2585">
        <v>743261</v>
      </c>
      <c r="E13" s="2586">
        <v>748267</v>
      </c>
      <c r="F13" s="2587">
        <v>739420</v>
      </c>
      <c r="G13" s="2585">
        <v>742780</v>
      </c>
      <c r="H13" s="2585">
        <v>738860</v>
      </c>
      <c r="I13" s="2586">
        <v>746256</v>
      </c>
      <c r="J13" s="2588">
        <v>745909</v>
      </c>
      <c r="K13" s="2587">
        <v>744674</v>
      </c>
      <c r="L13" s="2585">
        <v>741845</v>
      </c>
    </row>
    <row r="14" spans="1:12" ht="18.600000000000001" customHeight="1" x14ac:dyDescent="0.25">
      <c r="A14" s="2770"/>
      <c r="B14" s="2584"/>
      <c r="C14" s="2585"/>
      <c r="D14" s="2585"/>
      <c r="E14" s="2586"/>
      <c r="F14" s="2587"/>
      <c r="G14" s="2585"/>
      <c r="H14" s="2585"/>
      <c r="I14" s="2586"/>
      <c r="J14" s="2588"/>
      <c r="K14" s="2587"/>
      <c r="L14" s="2585"/>
    </row>
    <row r="15" spans="1:12" ht="18.600000000000001" customHeight="1" x14ac:dyDescent="0.25">
      <c r="A15" s="2733" t="s">
        <v>1084</v>
      </c>
      <c r="B15" s="2771">
        <v>5.3E-3</v>
      </c>
      <c r="C15" s="2772">
        <v>5.0000000000000001E-3</v>
      </c>
      <c r="D15" s="2772">
        <v>7.1000000000000004E-3</v>
      </c>
      <c r="E15" s="2773">
        <v>5.4000000000000003E-3</v>
      </c>
      <c r="F15" s="2774">
        <v>4.7000000000000002E-3</v>
      </c>
      <c r="G15" s="2772">
        <v>4.5999999999999999E-3</v>
      </c>
      <c r="H15" s="2772">
        <v>4.4999999999999997E-3</v>
      </c>
      <c r="I15" s="2773">
        <v>4.1000000000000003E-3</v>
      </c>
      <c r="J15" s="2775">
        <v>5.8999999999999999E-3</v>
      </c>
      <c r="K15" s="2774">
        <v>5.7000000000000002E-3</v>
      </c>
      <c r="L15" s="2772">
        <v>4.4999999999999997E-3</v>
      </c>
    </row>
    <row r="16" spans="1:12" ht="18.600000000000001" customHeight="1" x14ac:dyDescent="0.25">
      <c r="A16" s="2776"/>
      <c r="B16" s="2771"/>
      <c r="C16" s="2772"/>
      <c r="D16" s="2772"/>
      <c r="E16" s="2773"/>
      <c r="F16" s="2774"/>
      <c r="G16" s="2772"/>
      <c r="H16" s="2772"/>
      <c r="I16" s="2773"/>
      <c r="J16" s="2775"/>
      <c r="K16" s="2774"/>
      <c r="L16" s="2772"/>
    </row>
    <row r="17" spans="1:12" ht="18.600000000000001" customHeight="1" x14ac:dyDescent="0.25">
      <c r="A17" s="2763" t="s">
        <v>1085</v>
      </c>
      <c r="B17" s="2584"/>
      <c r="C17" s="2585"/>
      <c r="D17" s="2585"/>
      <c r="E17" s="2586"/>
      <c r="F17" s="2587"/>
      <c r="G17" s="2585"/>
      <c r="H17" s="2585"/>
      <c r="I17" s="2586"/>
      <c r="J17" s="2588"/>
      <c r="K17" s="2587"/>
      <c r="L17" s="2585"/>
    </row>
    <row r="18" spans="1:12" ht="18.600000000000001" customHeight="1" x14ac:dyDescent="0.25">
      <c r="A18" s="2765" t="s">
        <v>1086</v>
      </c>
      <c r="B18" s="2584">
        <v>1042</v>
      </c>
      <c r="C18" s="2585">
        <v>975</v>
      </c>
      <c r="D18" s="2585">
        <v>1052</v>
      </c>
      <c r="E18" s="2586">
        <v>1064</v>
      </c>
      <c r="F18" s="2587">
        <v>1043</v>
      </c>
      <c r="G18" s="2585">
        <v>970</v>
      </c>
      <c r="H18" s="2585">
        <v>975</v>
      </c>
      <c r="I18" s="2586">
        <v>942</v>
      </c>
      <c r="J18" s="2588">
        <v>802</v>
      </c>
      <c r="K18" s="2587">
        <v>4133</v>
      </c>
      <c r="L18" s="2585">
        <v>3930</v>
      </c>
    </row>
    <row r="19" spans="1:12" ht="28.95" customHeight="1" x14ac:dyDescent="0.25">
      <c r="A19" s="2768" t="s">
        <v>1079</v>
      </c>
      <c r="B19" s="2584">
        <v>104</v>
      </c>
      <c r="C19" s="2585">
        <v>99</v>
      </c>
      <c r="D19" s="2585">
        <v>129</v>
      </c>
      <c r="E19" s="2586">
        <v>181</v>
      </c>
      <c r="F19" s="2587">
        <v>166</v>
      </c>
      <c r="G19" s="2585">
        <v>208</v>
      </c>
      <c r="H19" s="2585">
        <v>199</v>
      </c>
      <c r="I19" s="2586">
        <v>181</v>
      </c>
      <c r="J19" s="2588">
        <v>148</v>
      </c>
      <c r="K19" s="2587">
        <v>513</v>
      </c>
      <c r="L19" s="2585">
        <v>754</v>
      </c>
    </row>
    <row r="20" spans="1:12" ht="28.95" customHeight="1" x14ac:dyDescent="0.25">
      <c r="A20" s="2765" t="s">
        <v>1087</v>
      </c>
      <c r="B20" s="2584">
        <v>938</v>
      </c>
      <c r="C20" s="2585">
        <v>876</v>
      </c>
      <c r="D20" s="2585">
        <v>923</v>
      </c>
      <c r="E20" s="2586">
        <v>883</v>
      </c>
      <c r="F20" s="2587">
        <v>877</v>
      </c>
      <c r="G20" s="2585">
        <v>762</v>
      </c>
      <c r="H20" s="2585">
        <v>776</v>
      </c>
      <c r="I20" s="2586">
        <v>761</v>
      </c>
      <c r="J20" s="2588">
        <v>654</v>
      </c>
      <c r="K20" s="2587">
        <v>3620</v>
      </c>
      <c r="L20" s="2585">
        <v>3176</v>
      </c>
    </row>
    <row r="21" spans="1:12" ht="18.600000000000001" customHeight="1" x14ac:dyDescent="0.25">
      <c r="A21" s="2765"/>
      <c r="B21" s="2584"/>
      <c r="C21" s="2585"/>
      <c r="D21" s="2585"/>
      <c r="E21" s="2586"/>
      <c r="F21" s="2587"/>
      <c r="G21" s="2585"/>
      <c r="H21" s="2585"/>
      <c r="I21" s="2586"/>
      <c r="J21" s="2588"/>
      <c r="K21" s="2587"/>
      <c r="L21" s="2585"/>
    </row>
    <row r="22" spans="1:12" ht="18.600000000000001" customHeight="1" x14ac:dyDescent="0.25">
      <c r="A22" s="2765" t="s">
        <v>1081</v>
      </c>
      <c r="B22" s="2584">
        <v>764166</v>
      </c>
      <c r="C22" s="2585">
        <v>757078</v>
      </c>
      <c r="D22" s="2585">
        <v>760314</v>
      </c>
      <c r="E22" s="2586">
        <v>765407</v>
      </c>
      <c r="F22" s="2587">
        <v>756226</v>
      </c>
      <c r="G22" s="2585">
        <v>760595</v>
      </c>
      <c r="H22" s="2585">
        <v>757095</v>
      </c>
      <c r="I22" s="2586">
        <v>764302</v>
      </c>
      <c r="J22" s="2588">
        <v>763753</v>
      </c>
      <c r="K22" s="2587">
        <v>761753</v>
      </c>
      <c r="L22" s="2585">
        <v>759568</v>
      </c>
    </row>
    <row r="23" spans="1:12" ht="18.600000000000001" customHeight="1" x14ac:dyDescent="0.25">
      <c r="A23" s="2769" t="s">
        <v>1082</v>
      </c>
      <c r="B23" s="2584">
        <v>17421</v>
      </c>
      <c r="C23" s="2585">
        <v>16700</v>
      </c>
      <c r="D23" s="2585">
        <v>17053</v>
      </c>
      <c r="E23" s="2586">
        <v>17140</v>
      </c>
      <c r="F23" s="2587">
        <v>16806</v>
      </c>
      <c r="G23" s="2585">
        <v>17815</v>
      </c>
      <c r="H23" s="2585">
        <v>18235</v>
      </c>
      <c r="I23" s="2586">
        <v>18046</v>
      </c>
      <c r="J23" s="2588">
        <v>17844</v>
      </c>
      <c r="K23" s="2587">
        <v>17079</v>
      </c>
      <c r="L23" s="2585">
        <v>17723</v>
      </c>
    </row>
    <row r="24" spans="1:12" ht="18.600000000000001" customHeight="1" x14ac:dyDescent="0.25">
      <c r="A24" s="2731" t="s">
        <v>1083</v>
      </c>
      <c r="B24" s="2584">
        <v>746745</v>
      </c>
      <c r="C24" s="2585">
        <v>740378</v>
      </c>
      <c r="D24" s="2585">
        <v>743261</v>
      </c>
      <c r="E24" s="2586">
        <v>748267</v>
      </c>
      <c r="F24" s="2587">
        <v>739420</v>
      </c>
      <c r="G24" s="2585">
        <v>742780</v>
      </c>
      <c r="H24" s="2585">
        <v>738860</v>
      </c>
      <c r="I24" s="2586">
        <v>746256</v>
      </c>
      <c r="J24" s="2588">
        <v>745909</v>
      </c>
      <c r="K24" s="2587">
        <v>744674</v>
      </c>
      <c r="L24" s="2585">
        <v>741845</v>
      </c>
    </row>
    <row r="25" spans="1:12" ht="18.600000000000001" customHeight="1" x14ac:dyDescent="0.25">
      <c r="A25" s="2732"/>
      <c r="B25" s="2584"/>
      <c r="C25" s="2585"/>
      <c r="D25" s="2585"/>
      <c r="E25" s="2586"/>
      <c r="F25" s="2587"/>
      <c r="G25" s="2585"/>
      <c r="H25" s="2585"/>
      <c r="I25" s="2586"/>
      <c r="J25" s="2588"/>
      <c r="K25" s="2587"/>
      <c r="L25" s="2585"/>
    </row>
    <row r="26" spans="1:12" ht="18.600000000000001" customHeight="1" x14ac:dyDescent="0.25">
      <c r="A26" s="2733" t="s">
        <v>1088</v>
      </c>
      <c r="B26" s="2771">
        <v>5.0000000000000001E-3</v>
      </c>
      <c r="C26" s="2772">
        <v>4.7000000000000002E-3</v>
      </c>
      <c r="D26" s="2772">
        <v>5.1000000000000004E-3</v>
      </c>
      <c r="E26" s="2773">
        <v>4.7000000000000002E-3</v>
      </c>
      <c r="F26" s="2774">
        <v>4.7000000000000002E-3</v>
      </c>
      <c r="G26" s="2772">
        <v>4.1000000000000003E-3</v>
      </c>
      <c r="H26" s="2772">
        <v>4.3E-3</v>
      </c>
      <c r="I26" s="2773">
        <v>4.1000000000000003E-3</v>
      </c>
      <c r="J26" s="2775">
        <v>3.5000000000000001E-3</v>
      </c>
      <c r="K26" s="2774">
        <v>4.8999999999999998E-3</v>
      </c>
      <c r="L26" s="2772">
        <v>4.3E-3</v>
      </c>
    </row>
    <row r="27" spans="1:12" ht="9" customHeight="1" x14ac:dyDescent="0.25">
      <c r="A27" s="2590"/>
      <c r="B27" s="2777"/>
      <c r="C27" s="2778"/>
      <c r="D27" s="2778"/>
      <c r="E27" s="2779"/>
      <c r="F27" s="2780"/>
      <c r="G27" s="2778"/>
      <c r="H27" s="2778"/>
      <c r="I27" s="2779"/>
      <c r="J27" s="2781"/>
      <c r="K27" s="2780"/>
      <c r="L27" s="2778"/>
    </row>
    <row r="28" spans="1:12" ht="18.600000000000001" customHeight="1" x14ac:dyDescent="0.25">
      <c r="A28" s="2573" t="s">
        <v>1065</v>
      </c>
      <c r="B28" s="2574"/>
      <c r="C28" s="2575"/>
      <c r="D28" s="2575"/>
      <c r="E28" s="2577"/>
      <c r="F28" s="2578"/>
      <c r="G28" s="2575"/>
      <c r="H28" s="2575"/>
      <c r="I28" s="2577"/>
      <c r="J28" s="2579"/>
      <c r="K28" s="2580"/>
      <c r="L28" s="2581"/>
    </row>
    <row r="29" spans="1:12" ht="18.600000000000001" customHeight="1" x14ac:dyDescent="0.25">
      <c r="A29" s="2763" t="s">
        <v>1077</v>
      </c>
      <c r="B29" s="2593"/>
      <c r="C29" s="2585"/>
      <c r="D29" s="2764"/>
      <c r="E29" s="2595"/>
      <c r="F29" s="2596"/>
      <c r="G29" s="2594"/>
      <c r="H29" s="2594"/>
      <c r="I29" s="2595"/>
      <c r="J29" s="2612"/>
      <c r="K29" s="2598"/>
      <c r="L29" s="2594"/>
    </row>
    <row r="30" spans="1:12" ht="18.600000000000001" customHeight="1" x14ac:dyDescent="0.25">
      <c r="A30" s="2765" t="s">
        <v>1078</v>
      </c>
      <c r="B30" s="2766">
        <v>595</v>
      </c>
      <c r="C30" s="2585">
        <v>562</v>
      </c>
      <c r="D30" s="2726">
        <v>550</v>
      </c>
      <c r="E30" s="2727">
        <v>602</v>
      </c>
      <c r="F30" s="2728">
        <v>556</v>
      </c>
      <c r="G30" s="2726">
        <v>589</v>
      </c>
      <c r="H30" s="2726">
        <v>566</v>
      </c>
      <c r="I30" s="2727">
        <v>574</v>
      </c>
      <c r="J30" s="2729">
        <v>512</v>
      </c>
      <c r="K30" s="2767">
        <v>2309</v>
      </c>
      <c r="L30" s="2726">
        <v>2285</v>
      </c>
    </row>
    <row r="31" spans="1:12" ht="28.95" customHeight="1" x14ac:dyDescent="0.25">
      <c r="A31" s="2768" t="s">
        <v>1079</v>
      </c>
      <c r="B31" s="2584">
        <v>108</v>
      </c>
      <c r="C31" s="2585">
        <v>104</v>
      </c>
      <c r="D31" s="2585">
        <v>118</v>
      </c>
      <c r="E31" s="2586">
        <v>143</v>
      </c>
      <c r="F31" s="2587">
        <v>156</v>
      </c>
      <c r="G31" s="2585">
        <v>198</v>
      </c>
      <c r="H31" s="2585">
        <v>196</v>
      </c>
      <c r="I31" s="2586">
        <v>192</v>
      </c>
      <c r="J31" s="2588">
        <v>153</v>
      </c>
      <c r="K31" s="2589">
        <v>473</v>
      </c>
      <c r="L31" s="2585">
        <v>742</v>
      </c>
    </row>
    <row r="32" spans="1:12" ht="28.95" customHeight="1" x14ac:dyDescent="0.25">
      <c r="A32" s="2765" t="s">
        <v>1080</v>
      </c>
      <c r="B32" s="2584">
        <v>487</v>
      </c>
      <c r="C32" s="2585">
        <v>458</v>
      </c>
      <c r="D32" s="2585">
        <v>432</v>
      </c>
      <c r="E32" s="2586">
        <v>459</v>
      </c>
      <c r="F32" s="2587">
        <v>400</v>
      </c>
      <c r="G32" s="2585">
        <v>391</v>
      </c>
      <c r="H32" s="2585">
        <v>370</v>
      </c>
      <c r="I32" s="2586">
        <v>382</v>
      </c>
      <c r="J32" s="2588">
        <v>359</v>
      </c>
      <c r="K32" s="2589">
        <v>1836</v>
      </c>
      <c r="L32" s="2585">
        <v>1543</v>
      </c>
    </row>
    <row r="33" spans="1:12" ht="18.600000000000001" customHeight="1" x14ac:dyDescent="0.25">
      <c r="A33" s="2765"/>
      <c r="B33" s="2584"/>
      <c r="C33" s="2585"/>
      <c r="D33" s="2585"/>
      <c r="E33" s="2586"/>
      <c r="F33" s="2587"/>
      <c r="G33" s="2585"/>
      <c r="H33" s="2585"/>
      <c r="I33" s="2586"/>
      <c r="J33" s="2588"/>
      <c r="K33" s="2589"/>
      <c r="L33" s="2585"/>
    </row>
    <row r="34" spans="1:12" ht="14.55" customHeight="1" x14ac:dyDescent="0.25">
      <c r="A34" s="2765" t="s">
        <v>1081</v>
      </c>
      <c r="B34" s="2584">
        <v>163709</v>
      </c>
      <c r="C34" s="2585">
        <v>160850</v>
      </c>
      <c r="D34" s="2585">
        <v>164183</v>
      </c>
      <c r="E34" s="2586">
        <v>163819</v>
      </c>
      <c r="F34" s="2587">
        <v>162074</v>
      </c>
      <c r="G34" s="2585">
        <v>167986</v>
      </c>
      <c r="H34" s="2585">
        <v>167317</v>
      </c>
      <c r="I34" s="2586">
        <v>169509</v>
      </c>
      <c r="J34" s="2588">
        <v>170608</v>
      </c>
      <c r="K34" s="2589">
        <v>163132</v>
      </c>
      <c r="L34" s="2585">
        <v>166718</v>
      </c>
    </row>
    <row r="35" spans="1:12" ht="18.600000000000001" customHeight="1" x14ac:dyDescent="0.25">
      <c r="A35" s="2769" t="s">
        <v>1082</v>
      </c>
      <c r="B35" s="2584">
        <v>17216</v>
      </c>
      <c r="C35" s="2585">
        <v>16506</v>
      </c>
      <c r="D35" s="2585">
        <v>16859</v>
      </c>
      <c r="E35" s="2586">
        <v>16948</v>
      </c>
      <c r="F35" s="2587">
        <v>16628</v>
      </c>
      <c r="G35" s="2585">
        <v>17639</v>
      </c>
      <c r="H35" s="2585">
        <v>18054</v>
      </c>
      <c r="I35" s="2586">
        <v>17864</v>
      </c>
      <c r="J35" s="2588">
        <v>17665</v>
      </c>
      <c r="K35" s="2589">
        <v>16882</v>
      </c>
      <c r="L35" s="2585">
        <v>17544</v>
      </c>
    </row>
    <row r="36" spans="1:12" ht="18.600000000000001" customHeight="1" x14ac:dyDescent="0.25">
      <c r="A36" s="2731" t="s">
        <v>1083</v>
      </c>
      <c r="B36" s="2584">
        <v>146493</v>
      </c>
      <c r="C36" s="2585">
        <v>144344</v>
      </c>
      <c r="D36" s="2585">
        <v>147324</v>
      </c>
      <c r="E36" s="2586">
        <v>146871</v>
      </c>
      <c r="F36" s="2587">
        <v>145446</v>
      </c>
      <c r="G36" s="2585">
        <v>150347</v>
      </c>
      <c r="H36" s="2585">
        <v>149263</v>
      </c>
      <c r="I36" s="2586">
        <v>151645</v>
      </c>
      <c r="J36" s="2588">
        <v>152943</v>
      </c>
      <c r="K36" s="2589">
        <v>146250</v>
      </c>
      <c r="L36" s="2585">
        <v>149174</v>
      </c>
    </row>
    <row r="37" spans="1:12" ht="18.600000000000001" customHeight="1" x14ac:dyDescent="0.25">
      <c r="A37" s="2770"/>
      <c r="B37" s="2584"/>
      <c r="C37" s="2585"/>
      <c r="D37" s="2585"/>
      <c r="E37" s="2586"/>
      <c r="F37" s="2587"/>
      <c r="G37" s="2585"/>
      <c r="H37" s="2585"/>
      <c r="I37" s="2586"/>
      <c r="J37" s="2588"/>
      <c r="K37" s="2589"/>
      <c r="L37" s="2585"/>
    </row>
    <row r="38" spans="1:12" ht="18.600000000000001" customHeight="1" x14ac:dyDescent="0.25">
      <c r="A38" s="2733" t="s">
        <v>1084</v>
      </c>
      <c r="B38" s="2771">
        <v>1.32E-2</v>
      </c>
      <c r="C38" s="2772">
        <v>1.26E-2</v>
      </c>
      <c r="D38" s="2772">
        <v>1.2E-2</v>
      </c>
      <c r="E38" s="2773">
        <v>1.24E-2</v>
      </c>
      <c r="F38" s="2774">
        <v>1.0999999999999999E-2</v>
      </c>
      <c r="G38" s="2772">
        <v>1.03E-2</v>
      </c>
      <c r="H38" s="2772">
        <v>1.01E-2</v>
      </c>
      <c r="I38" s="2773">
        <v>0.01</v>
      </c>
      <c r="J38" s="2775">
        <v>9.2999999999999992E-3</v>
      </c>
      <c r="K38" s="2782">
        <v>1.2500000000000001E-2</v>
      </c>
      <c r="L38" s="2772">
        <v>1.04E-2</v>
      </c>
    </row>
    <row r="39" spans="1:12" ht="18.600000000000001" customHeight="1" x14ac:dyDescent="0.25">
      <c r="A39" s="2776"/>
      <c r="B39" s="2584"/>
      <c r="C39" s="2585"/>
      <c r="D39" s="2585"/>
      <c r="E39" s="2586"/>
      <c r="F39" s="2587"/>
      <c r="G39" s="2585"/>
      <c r="H39" s="2585"/>
      <c r="I39" s="2586"/>
      <c r="J39" s="2588"/>
      <c r="K39" s="2589"/>
      <c r="L39" s="2585"/>
    </row>
    <row r="40" spans="1:12" ht="18.600000000000001" customHeight="1" x14ac:dyDescent="0.25">
      <c r="A40" s="2763" t="s">
        <v>1085</v>
      </c>
      <c r="B40" s="2584"/>
      <c r="C40" s="2585"/>
      <c r="D40" s="2585"/>
      <c r="E40" s="2586"/>
      <c r="F40" s="2587"/>
      <c r="G40" s="2585"/>
      <c r="H40" s="2585"/>
      <c r="I40" s="2586"/>
      <c r="J40" s="2588"/>
      <c r="K40" s="2589"/>
      <c r="L40" s="2585"/>
    </row>
    <row r="41" spans="1:12" ht="18.600000000000001" customHeight="1" x14ac:dyDescent="0.25">
      <c r="A41" s="2765" t="s">
        <v>1086</v>
      </c>
      <c r="B41" s="2584">
        <v>557</v>
      </c>
      <c r="C41" s="2585">
        <v>525</v>
      </c>
      <c r="D41" s="2585">
        <v>523</v>
      </c>
      <c r="E41" s="2586">
        <v>575</v>
      </c>
      <c r="F41" s="2587">
        <v>576</v>
      </c>
      <c r="G41" s="2585">
        <v>617</v>
      </c>
      <c r="H41" s="2585">
        <v>567</v>
      </c>
      <c r="I41" s="2586">
        <v>577</v>
      </c>
      <c r="J41" s="2588">
        <v>505</v>
      </c>
      <c r="K41" s="2587">
        <v>2180</v>
      </c>
      <c r="L41" s="2585">
        <v>2337</v>
      </c>
    </row>
    <row r="42" spans="1:12" ht="28.95" customHeight="1" x14ac:dyDescent="0.25">
      <c r="A42" s="2768" t="s">
        <v>1079</v>
      </c>
      <c r="B42" s="2584">
        <v>104</v>
      </c>
      <c r="C42" s="2585">
        <v>99</v>
      </c>
      <c r="D42" s="2585">
        <v>129</v>
      </c>
      <c r="E42" s="2586">
        <v>181</v>
      </c>
      <c r="F42" s="2587">
        <v>166</v>
      </c>
      <c r="G42" s="2585">
        <v>208</v>
      </c>
      <c r="H42" s="2585">
        <v>199</v>
      </c>
      <c r="I42" s="2586">
        <v>181</v>
      </c>
      <c r="J42" s="2588">
        <v>148</v>
      </c>
      <c r="K42" s="2587">
        <v>513</v>
      </c>
      <c r="L42" s="2585">
        <v>754</v>
      </c>
    </row>
    <row r="43" spans="1:12" ht="28.95" customHeight="1" x14ac:dyDescent="0.25">
      <c r="A43" s="2765" t="s">
        <v>1087</v>
      </c>
      <c r="B43" s="2584">
        <v>453</v>
      </c>
      <c r="C43" s="2585">
        <v>426</v>
      </c>
      <c r="D43" s="2585">
        <v>394</v>
      </c>
      <c r="E43" s="2586">
        <v>394</v>
      </c>
      <c r="F43" s="2587">
        <v>410</v>
      </c>
      <c r="G43" s="2585">
        <v>409</v>
      </c>
      <c r="H43" s="2585">
        <v>368</v>
      </c>
      <c r="I43" s="2586">
        <v>396</v>
      </c>
      <c r="J43" s="2588">
        <v>357</v>
      </c>
      <c r="K43" s="2587">
        <v>1667</v>
      </c>
      <c r="L43" s="2585">
        <v>1583</v>
      </c>
    </row>
    <row r="44" spans="1:12" ht="18.600000000000001" customHeight="1" x14ac:dyDescent="0.25">
      <c r="A44" s="2765"/>
      <c r="B44" s="2584"/>
      <c r="C44" s="2585"/>
      <c r="D44" s="2585"/>
      <c r="E44" s="2586"/>
      <c r="F44" s="2587"/>
      <c r="G44" s="2585"/>
      <c r="H44" s="2585"/>
      <c r="I44" s="2586"/>
      <c r="J44" s="2588"/>
      <c r="K44" s="2587"/>
      <c r="L44" s="2585"/>
    </row>
    <row r="45" spans="1:12" ht="18.600000000000001" customHeight="1" x14ac:dyDescent="0.25">
      <c r="A45" s="2765" t="s">
        <v>1081</v>
      </c>
      <c r="B45" s="2584">
        <v>163709</v>
      </c>
      <c r="C45" s="2585">
        <v>160850</v>
      </c>
      <c r="D45" s="2585">
        <v>164183</v>
      </c>
      <c r="E45" s="2586">
        <v>163819</v>
      </c>
      <c r="F45" s="2587">
        <v>162074</v>
      </c>
      <c r="G45" s="2585">
        <v>167986</v>
      </c>
      <c r="H45" s="2585">
        <v>167317</v>
      </c>
      <c r="I45" s="2586">
        <v>169509</v>
      </c>
      <c r="J45" s="2588">
        <v>170608</v>
      </c>
      <c r="K45" s="2587">
        <v>163132</v>
      </c>
      <c r="L45" s="2585">
        <v>166718</v>
      </c>
    </row>
    <row r="46" spans="1:12" ht="18.600000000000001" customHeight="1" x14ac:dyDescent="0.25">
      <c r="A46" s="2769" t="s">
        <v>1082</v>
      </c>
      <c r="B46" s="2584">
        <v>17216</v>
      </c>
      <c r="C46" s="2585">
        <v>16506</v>
      </c>
      <c r="D46" s="2585">
        <v>16859</v>
      </c>
      <c r="E46" s="2586">
        <v>16948</v>
      </c>
      <c r="F46" s="2587">
        <v>16628</v>
      </c>
      <c r="G46" s="2585">
        <v>17639</v>
      </c>
      <c r="H46" s="2585">
        <v>18054</v>
      </c>
      <c r="I46" s="2586">
        <v>17864</v>
      </c>
      <c r="J46" s="2588">
        <v>17665</v>
      </c>
      <c r="K46" s="2587">
        <v>16882</v>
      </c>
      <c r="L46" s="2585">
        <v>17544</v>
      </c>
    </row>
    <row r="47" spans="1:12" ht="18.600000000000001" customHeight="1" x14ac:dyDescent="0.25">
      <c r="A47" s="2731" t="s">
        <v>1083</v>
      </c>
      <c r="B47" s="2584">
        <v>146493</v>
      </c>
      <c r="C47" s="2585">
        <v>144344</v>
      </c>
      <c r="D47" s="2585">
        <v>147324</v>
      </c>
      <c r="E47" s="2586">
        <v>146871</v>
      </c>
      <c r="F47" s="2587">
        <v>145446</v>
      </c>
      <c r="G47" s="2585">
        <v>150347</v>
      </c>
      <c r="H47" s="2585">
        <v>149263</v>
      </c>
      <c r="I47" s="2586">
        <v>151645</v>
      </c>
      <c r="J47" s="2588">
        <v>152943</v>
      </c>
      <c r="K47" s="2587">
        <v>146250</v>
      </c>
      <c r="L47" s="2585">
        <v>149174</v>
      </c>
    </row>
    <row r="48" spans="1:12" ht="18.600000000000001" customHeight="1" x14ac:dyDescent="0.25">
      <c r="A48" s="2732"/>
      <c r="B48" s="2584"/>
      <c r="C48" s="2585"/>
      <c r="D48" s="2585"/>
      <c r="E48" s="2586"/>
      <c r="F48" s="2587"/>
      <c r="G48" s="2585"/>
      <c r="H48" s="2585"/>
      <c r="I48" s="2586"/>
      <c r="J48" s="2588"/>
      <c r="K48" s="2589"/>
      <c r="L48" s="2585"/>
    </row>
    <row r="49" spans="1:12" ht="18.600000000000001" customHeight="1" x14ac:dyDescent="0.25">
      <c r="A49" s="2783" t="s">
        <v>1089</v>
      </c>
      <c r="B49" s="2777">
        <v>1.23E-2</v>
      </c>
      <c r="C49" s="2778">
        <v>1.17E-2</v>
      </c>
      <c r="D49" s="2778">
        <v>1.0999999999999999E-2</v>
      </c>
      <c r="E49" s="2779">
        <v>1.06E-2</v>
      </c>
      <c r="F49" s="2780">
        <v>1.12E-2</v>
      </c>
      <c r="G49" s="2778">
        <v>1.0800000000000001E-2</v>
      </c>
      <c r="H49" s="2778">
        <v>0.01</v>
      </c>
      <c r="I49" s="2779">
        <v>1.04E-2</v>
      </c>
      <c r="J49" s="2781">
        <v>9.2999999999999992E-3</v>
      </c>
      <c r="K49" s="2784">
        <v>1.14E-2</v>
      </c>
      <c r="L49" s="2778">
        <v>1.06E-2</v>
      </c>
    </row>
    <row r="50" spans="1:12" ht="13.95" customHeight="1" x14ac:dyDescent="0.25">
      <c r="A50" s="2620"/>
      <c r="B50" s="2620"/>
      <c r="C50" s="2620"/>
      <c r="D50" s="2620"/>
      <c r="E50" s="2620"/>
      <c r="F50" s="2620"/>
      <c r="G50" s="2620"/>
      <c r="H50" s="2620"/>
      <c r="I50" s="2620"/>
      <c r="J50" s="2620"/>
      <c r="K50" s="2620"/>
      <c r="L50" s="2620"/>
    </row>
    <row r="51" spans="1:12" ht="13.95" customHeight="1" x14ac:dyDescent="0.25">
      <c r="A51" s="2682" t="s">
        <v>1090</v>
      </c>
      <c r="B51" s="2621"/>
      <c r="C51" s="2621"/>
      <c r="D51" s="2621"/>
    </row>
    <row r="52" spans="1:12" ht="13.95" customHeight="1" x14ac:dyDescent="0.25">
      <c r="A52" s="2682" t="s">
        <v>1091</v>
      </c>
      <c r="B52" s="2621"/>
      <c r="C52" s="2621"/>
      <c r="D52" s="2621"/>
    </row>
  </sheetData>
  <mergeCells count="4">
    <mergeCell ref="A2:L2"/>
    <mergeCell ref="B3:E3"/>
    <mergeCell ref="F3:I3"/>
    <mergeCell ref="K3:L3"/>
  </mergeCells>
  <hyperlinks>
    <hyperlink ref="A1" location="ToC!A2" display="Back to Table of Contents" xr:uid="{A246022E-0870-4A8E-BEE9-E4BC848CC4A8}"/>
  </hyperlinks>
  <pageMargins left="0.5" right="0.5" top="0.5" bottom="0.5" header="0.25" footer="0.25"/>
  <pageSetup scale="51" orientation="landscape" r:id="rId1"/>
  <headerFooter>
    <oddFooter>&amp;L&amp;G&amp;C&amp;"Scotia,Regular"&amp;9Supplementary Financial Information (SFI)&amp;R40&amp;"Scotia,Regular"&amp;7</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2</vt:i4>
      </vt:variant>
    </vt:vector>
  </HeadingPairs>
  <TitlesOfParts>
    <vt:vector size="48" baseType="lpstr">
      <vt:lpstr>Cover</vt:lpstr>
      <vt:lpstr>ToC</vt:lpstr>
      <vt:lpstr>Notes_1</vt:lpstr>
      <vt:lpstr>Notes_2</vt:lpstr>
      <vt:lpstr>Notes_3</vt:lpstr>
      <vt:lpstr>EDTF</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Cover!Cover</vt:lpstr>
      <vt:lpstr>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Q425_Supplementary_Financial_Information-EN</dc:title>
  <dc:creator>Wang, Christina (Jue)</dc:creator>
  <cp:lastModifiedBy>Price, Laura</cp:lastModifiedBy>
  <dcterms:created xsi:type="dcterms:W3CDTF">2025-12-01T19:52:34Z</dcterms:created>
  <dcterms:modified xsi:type="dcterms:W3CDTF">2025-12-02T09:57:31Z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